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c1323b45746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正式比较" sheetId="1" r:id="R886fba472e264a1b"/>
    <x:sheet xmlns:r="http://schemas.openxmlformats.org/officeDocument/2006/relationships" name="正式逐次" sheetId="2" r:id="Rf266030522db4a20"/>
    <x:sheet xmlns:r="http://schemas.openxmlformats.org/officeDocument/2006/relationships" name="频次顺序消融" sheetId="3" r:id="Rbfac810eed124d81"/>
    <x:sheet xmlns:r="http://schemas.openxmlformats.org/officeDocument/2006/relationships" name="新先验逐次" sheetId="4" r:id="Rf88838d229e0438e"/>
    <x:sheet xmlns:r="http://schemas.openxmlformats.org/officeDocument/2006/relationships" name="计时与路径" sheetId="5" r:id="R4186ea580da940f3"/>
    <x:sheet xmlns:r="http://schemas.openxmlformats.org/officeDocument/2006/relationships" name="口径与来源" sheetId="6" r:id="R9e5bff98bca343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"/>
    <x:numFmt numFmtId="201" formatCode="#,##0"/>
    <x:numFmt numFmtId="202" formatCode="0.00%;-0.00%;0.00%"/>
    <x:numFmt numFmtId="203" formatCode="0.00"/>
    <x:numFmt numFmtId="204" formatCode="0.00000%;-0.00000%;0.00000%"/>
    <x:numFmt numFmtId="205" formatCode="#,##0.0"/>
    <x:numFmt numFmtId="206" formatCode="0.000"/>
  </x:numFmts>
  <x:fonts count="5">
    <x:font>
      <x:sz val="11"/>
      <x:name val="Carlito"/>
    </x:font>
    <x:font>
      <x:sz val="10"/>
      <x:color rgb="FF202938"/>
      <x:name val="Arial"/>
    </x:font>
    <x:font>
      <x:b/>
      <x:sz val="15"/>
      <x:color rgb="FF202938"/>
      <x:name val="Arial"/>
    </x:font>
    <x:font>
      <x:i/>
      <x:sz val="10"/>
      <x:color rgb="FF55617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74E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vertical="center"/>
    </x:xf>
    <x:xf numFmtId="206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4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721447a81146ea" /><Relationship Type="http://schemas.openxmlformats.org/officeDocument/2006/relationships/theme" Target="/xl/theme/theme1.xml" Id="R3d2c690100ac45ec" /><Relationship Type="http://schemas.openxmlformats.org/officeDocument/2006/relationships/sharedStrings" Target="/xl/sharedStrings.xml" Id="Rcd48abe417954b59" /><Relationship Type="http://schemas.openxmlformats.org/officeDocument/2006/relationships/worksheet" Target="/xl/worksheets/sheet1.xml" Id="R886fba472e264a1b" /><Relationship Type="http://schemas.openxmlformats.org/officeDocument/2006/relationships/worksheet" Target="/xl/worksheets/sheet2.xml" Id="Rf266030522db4a20" /><Relationship Type="http://schemas.openxmlformats.org/officeDocument/2006/relationships/worksheet" Target="/xl/worksheets/sheet3.xml" Id="Rbfac810eed124d81" /><Relationship Type="http://schemas.openxmlformats.org/officeDocument/2006/relationships/worksheet" Target="/xl/worksheets/sheet4.xml" Id="Rf88838d229e0438e" /><Relationship Type="http://schemas.openxmlformats.org/officeDocument/2006/relationships/worksheet" Target="/xl/worksheets/sheet5.xml" Id="R4186ea580da940f3" /><Relationship Type="http://schemas.openxmlformats.org/officeDocument/2006/relationships/worksheet" Target="/xl/worksheets/sheet6.xml" Id="R9e5bff98bca343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7" hidden="0" customWidth="1"/>
    <x:col min="4" max="4" width="21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4" hidden="0" customWidth="1"/>
    <x:col min="10" max="10" width="2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原GNN、质量补强版与主对照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 t="str">
        <x:v>同一八日期、每方法两次计时；宏平均按日期等权，查询比例为汇总口径。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4" customHeight="1">
      <x:c r="A5" s="8" t="str">
        <x:v>方法</x:v>
      </x:c>
      <x:c r="B5" s="8" t="str">
        <x:v>完成/16</x:v>
      </x:c>
      <x:c r="C5" s="8" t="str">
        <x:v>质量通过/16</x:v>
      </x:c>
      <x:c r="D5" s="8" t="str">
        <x:v>控制减少/FULL
日期宏平均</x:v>
      </x:c>
      <x:c r="E5" s="8" t="str">
        <x:v>N1查询减少/FULL
汇总比例</x:v>
      </x:c>
      <x:c r="F5" s="8" t="str">
        <x:v>平均每周控制(s)</x:v>
      </x:c>
      <x:c r="G5" s="8" t="str">
        <x:v>平均成本变化/FULL</x:v>
      </x:c>
      <x:c r="H5" s="8" t="str">
        <x:v>最坏成本变化/FULL</x:v>
      </x:c>
      <x:c r="I5" s="8" t="str">
        <x:v>决策p95(ms)
日期平均</x:v>
      </x:c>
      <x:c r="J5" s="8" t="str">
        <x:v>方法ID</x:v>
      </x:c>
    </x:row>
    <x:row r="6" ht="23" customHeight="1">
      <x:c r="A6" s="2" t="str">
        <x:v>FULL完整搜索</x:v>
      </x:c>
      <x:c r="B6" s="2" t="n">
        <x:f>SUM('正式逐次'!E6,'正式逐次'!E21,'正式逐次'!E28,'正式逐次'!E35,'正式逐次'!E42,'正式逐次'!E49,'正式逐次'!E56,'正式逐次'!E63,'正式逐次'!E73,'正式逐次'!E82,'正式逐次'!E91,'正式逐次'!E100,'正式逐次'!E109,'正式逐次'!E110,'正式逐次'!E119,'正式逐次'!E128)</x:f>
        <x:v>16</x:v>
      </x:c>
      <x:c r="C6" s="2" t="n">
        <x:f>SUM('正式逐次'!M6,'正式逐次'!M21,'正式逐次'!M28,'正式逐次'!M35,'正式逐次'!M42,'正式逐次'!M49,'正式逐次'!M56,'正式逐次'!M63,'正式逐次'!M73,'正式逐次'!M82,'正式逐次'!M91,'正式逐次'!M100,'正式逐次'!M109,'正式逐次'!M110,'正式逐次'!M119,'正式逐次'!M128)</x:f>
        <x:v>16</x:v>
      </x:c>
      <x:c r="D6" s="14" t="n">
        <x:f>AVERAGE('正式逐次'!K6,'正式逐次'!K21,'正式逐次'!K28,'正式逐次'!K35,'正式逐次'!K42,'正式逐次'!K49,'正式逐次'!K56,'正式逐次'!K63,'正式逐次'!K73,'正式逐次'!K82,'正式逐次'!K91,'正式逐次'!K100,'正式逐次'!K109,'正式逐次'!K110,'正式逐次'!K119,'正式逐次'!K128)</x:f>
        <x:v>0</x:v>
      </x:c>
      <x:c r="E6" s="14" t="n">
        <x:f>1-SUM('正式逐次'!I6,'正式逐次'!I21,'正式逐次'!I28,'正式逐次'!I35,'正式逐次'!I42,'正式逐次'!I49,'正式逐次'!I56,'正式逐次'!I63,'正式逐次'!I73,'正式逐次'!I82,'正式逐次'!I91,'正式逐次'!I100,'正式逐次'!I109,'正式逐次'!I110,'正式逐次'!I119,'正式逐次'!I128)/SUM('正式逐次'!I6,'正式逐次'!I21,'正式逐次'!I28,'正式逐次'!I35,'正式逐次'!I42,'正式逐次'!I49,'正式逐次'!I56,'正式逐次'!I63,'正式逐次'!I73,'正式逐次'!I82,'正式逐次'!I91,'正式逐次'!I100,'正式逐次'!I109,'正式逐次'!I110,'正式逐次'!I119,'正式逐次'!I128)</x:f>
        <x:v>0</x:v>
      </x:c>
      <x:c r="F6" s="16" t="n">
        <x:f>AVERAGE('正式逐次'!H6,'正式逐次'!H21,'正式逐次'!H28,'正式逐次'!H35,'正式逐次'!H42,'正式逐次'!H49,'正式逐次'!H56,'正式逐次'!H63,'正式逐次'!H73,'正式逐次'!H82,'正式逐次'!H91,'正式逐次'!H100,'正式逐次'!H109,'正式逐次'!H110,'正式逐次'!H119,'正式逐次'!H128)</x:f>
        <x:v>81.94901673125092</x:v>
      </x:c>
      <x:c r="G6" s="14" t="n">
        <x:f>AVERAGE('正式逐次'!J6,'正式逐次'!J21,'正式逐次'!J28,'正式逐次'!J35,'正式逐次'!J42,'正式逐次'!J49,'正式逐次'!J56,'正式逐次'!J63,'正式逐次'!J73,'正式逐次'!J82,'正式逐次'!J91,'正式逐次'!J100,'正式逐次'!J109,'正式逐次'!J110,'正式逐次'!J119,'正式逐次'!J128)</x:f>
        <x:v>0</x:v>
      </x:c>
      <x:c r="H6" s="18" t="n">
        <x:f>MAX('正式逐次'!J6,'正式逐次'!J21,'正式逐次'!J28,'正式逐次'!J35,'正式逐次'!J42,'正式逐次'!J49,'正式逐次'!J56,'正式逐次'!J63,'正式逐次'!J73,'正式逐次'!J82,'正式逐次'!J91,'正式逐次'!J100,'正式逐次'!J109,'正式逐次'!J110,'正式逐次'!J119,'正式逐次'!J128)</x:f>
        <x:v>0</x:v>
      </x:c>
      <x:c r="I6" s="16" t="n">
        <x:v>30.03056749927559</x:v>
      </x:c>
      <x:c r="J6" s="2" t="str">
        <x:v>FULL</x:v>
      </x:c>
    </x:row>
    <x:row r="7" ht="23" customHeight="1">
      <x:c r="A7" s="9" t="str">
        <x:v>SoftGNN seed 0</x:v>
      </x:c>
      <x:c r="B7" s="9" t="n">
        <x:f>SUM('正式逐次'!E7,'正式逐次'!E14,'正式逐次'!E29,'正式逐次'!E36,'正式逐次'!E43,'正式逐次'!E50,'正式逐次'!E57,'正式逐次'!E64,'正式逐次'!E72,'正式逐次'!E81,'正式逐次'!E90,'正式逐次'!E99,'正式逐次'!E108,'正式逐次'!E117,'正式逐次'!E118,'正式逐次'!E127)</x:f>
        <x:v>16</x:v>
      </x:c>
      <x:c r="C7" s="9" t="n">
        <x:f>SUM('正式逐次'!M7,'正式逐次'!M14,'正式逐次'!M29,'正式逐次'!M36,'正式逐次'!M43,'正式逐次'!M50,'正式逐次'!M57,'正式逐次'!M64,'正式逐次'!M72,'正式逐次'!M81,'正式逐次'!M90,'正式逐次'!M99,'正式逐次'!M108,'正式逐次'!M117,'正式逐次'!M118,'正式逐次'!M127)</x:f>
        <x:v>16</x:v>
      </x:c>
      <x:c r="D7" s="15" t="n">
        <x:f>AVERAGE('正式逐次'!K7,'正式逐次'!K14,'正式逐次'!K29,'正式逐次'!K36,'正式逐次'!K43,'正式逐次'!K50,'正式逐次'!K57,'正式逐次'!K64,'正式逐次'!K72,'正式逐次'!K81,'正式逐次'!K90,'正式逐次'!K99,'正式逐次'!K108,'正式逐次'!K117,'正式逐次'!K118,'正式逐次'!K127)</x:f>
        <x:v>0.1677487460772966</x:v>
      </x:c>
      <x:c r="E7" s="15" t="n">
        <x:f>1-SUM('正式逐次'!I7,'正式逐次'!I14,'正式逐次'!I29,'正式逐次'!I36,'正式逐次'!I43,'正式逐次'!I50,'正式逐次'!I57,'正式逐次'!I64,'正式逐次'!I72,'正式逐次'!I81,'正式逐次'!I90,'正式逐次'!I99,'正式逐次'!I108,'正式逐次'!I117,'正式逐次'!I118,'正式逐次'!I127)/SUM('正式逐次'!I6,'正式逐次'!I21,'正式逐次'!I28,'正式逐次'!I35,'正式逐次'!I42,'正式逐次'!I49,'正式逐次'!I56,'正式逐次'!I63,'正式逐次'!I73,'正式逐次'!I82,'正式逐次'!I91,'正式逐次'!I100,'正式逐次'!I109,'正式逐次'!I110,'正式逐次'!I119,'正式逐次'!I128)</x:f>
        <x:v>0.6707823697843394</x:v>
      </x:c>
      <x:c r="F7" s="17" t="n">
        <x:f>AVERAGE('正式逐次'!H7,'正式逐次'!H14,'正式逐次'!H29,'正式逐次'!H36,'正式逐次'!H43,'正式逐次'!H50,'正式逐次'!H57,'正式逐次'!H64,'正式逐次'!H72,'正式逐次'!H81,'正式逐次'!H90,'正式逐次'!H99,'正式逐次'!H108,'正式逐次'!H117,'正式逐次'!H118,'正式逐次'!H127)</x:f>
        <x:v>68.29099290618582</x:v>
      </x:c>
      <x:c r="G7" s="15" t="n">
        <x:f>AVERAGE('正式逐次'!J7,'正式逐次'!J14,'正式逐次'!J29,'正式逐次'!J36,'正式逐次'!J43,'正式逐次'!J50,'正式逐次'!J57,'正式逐次'!J64,'正式逐次'!J72,'正式逐次'!J81,'正式逐次'!J90,'正式逐次'!J99,'正式逐次'!J108,'正式逐次'!J117,'正式逐次'!J118,'正式逐次'!J127)</x:f>
        <x:v>-0.004431185918963263</x:v>
      </x:c>
      <x:c r="H7" s="19" t="n">
        <x:f>MAX('正式逐次'!J7,'正式逐次'!J14,'正式逐次'!J29,'正式逐次'!J36,'正式逐次'!J43,'正式逐次'!J50,'正式逐次'!J57,'正式逐次'!J64,'正式逐次'!J72,'正式逐次'!J81,'正式逐次'!J90,'正式逐次'!J99,'正式逐次'!J108,'正式逐次'!J117,'正式逐次'!J118,'正式逐次'!J127)</x:f>
        <x:v>0.001769585856915879</x:v>
      </x:c>
      <x:c r="I7" s="17" t="n">
        <x:v>30.7797350003653</x:v>
      </x:c>
      <x:c r="J7" s="9" t="str">
        <x:v>SOFTGNN0</x:v>
      </x:c>
    </x:row>
    <x:row r="8" ht="23" customHeight="1">
      <x:c r="A8" s="2" t="str">
        <x:v>SoftGNN seed 1</x:v>
      </x:c>
      <x:c r="B8" s="2" t="n">
        <x:f>SUM('正式逐次'!E8,'正式逐次'!E15,'正式逐次'!E22,'正式逐次'!E37,'正式逐次'!E44,'正式逐次'!E51,'正式逐次'!E58,'正式逐次'!E65,'正式逐次'!E71,'正式逐次'!E80,'正式逐次'!E89,'正式逐次'!E98,'正式逐次'!E107,'正式逐次'!E116,'正式逐次'!E125,'正式逐次'!E126)</x:f>
        <x:v>16</x:v>
      </x:c>
      <x:c r="C8" s="2" t="n">
        <x:f>SUM('正式逐次'!M8,'正式逐次'!M15,'正式逐次'!M22,'正式逐次'!M37,'正式逐次'!M44,'正式逐次'!M51,'正式逐次'!M58,'正式逐次'!M65,'正式逐次'!M71,'正式逐次'!M80,'正式逐次'!M89,'正式逐次'!M98,'正式逐次'!M107,'正式逐次'!M116,'正式逐次'!M125,'正式逐次'!M126)</x:f>
        <x:v>16</x:v>
      </x:c>
      <x:c r="D8" s="14" t="n">
        <x:f>AVERAGE('正式逐次'!K8,'正式逐次'!K15,'正式逐次'!K22,'正式逐次'!K37,'正式逐次'!K44,'正式逐次'!K51,'正式逐次'!K58,'正式逐次'!K65,'正式逐次'!K71,'正式逐次'!K80,'正式逐次'!K89,'正式逐次'!K98,'正式逐次'!K107,'正式逐次'!K116,'正式逐次'!K125,'正式逐次'!K126)</x:f>
        <x:v>0.17062443562111637</x:v>
      </x:c>
      <x:c r="E8" s="14" t="n">
        <x:f>1-SUM('正式逐次'!I8,'正式逐次'!I15,'正式逐次'!I22,'正式逐次'!I37,'正式逐次'!I44,'正式逐次'!I51,'正式逐次'!I58,'正式逐次'!I65,'正式逐次'!I71,'正式逐次'!I80,'正式逐次'!I89,'正式逐次'!I98,'正式逐次'!I107,'正式逐次'!I116,'正式逐次'!I125,'正式逐次'!I126)/SUM('正式逐次'!I6,'正式逐次'!I21,'正式逐次'!I28,'正式逐次'!I35,'正式逐次'!I42,'正式逐次'!I49,'正式逐次'!I56,'正式逐次'!I63,'正式逐次'!I73,'正式逐次'!I82,'正式逐次'!I91,'正式逐次'!I100,'正式逐次'!I109,'正式逐次'!I110,'正式逐次'!I119,'正式逐次'!I128)</x:f>
        <x:v>0.6771710885648554</x:v>
      </x:c>
      <x:c r="F8" s="16" t="n">
        <x:f>AVERAGE('正式逐次'!H8,'正式逐次'!H15,'正式逐次'!H22,'正式逐次'!H37,'正式逐次'!H44,'正式逐次'!H51,'正式逐次'!H58,'正式逐次'!H65,'正式逐次'!H71,'正式逐次'!H80,'正式逐次'!H89,'正式逐次'!H98,'正式逐次'!H107,'正式逐次'!H116,'正式逐次'!H125,'正式逐次'!H126)</x:f>
        <x:v>68.44619461253558</x:v>
      </x:c>
      <x:c r="G8" s="14" t="n">
        <x:f>AVERAGE('正式逐次'!J8,'正式逐次'!J15,'正式逐次'!J22,'正式逐次'!J37,'正式逐次'!J44,'正式逐次'!J51,'正式逐次'!J58,'正式逐次'!J65,'正式逐次'!J71,'正式逐次'!J80,'正式逐次'!J89,'正式逐次'!J98,'正式逐次'!J107,'正式逐次'!J116,'正式逐次'!J125,'正式逐次'!J126)</x:f>
        <x:v>-0.00981143056497806</x:v>
      </x:c>
      <x:c r="H8" s="18" t="n">
        <x:f>MAX('正式逐次'!J8,'正式逐次'!J15,'正式逐次'!J22,'正式逐次'!J37,'正式逐次'!J44,'正式逐次'!J51,'正式逐次'!J58,'正式逐次'!J65,'正式逐次'!J71,'正式逐次'!J80,'正式逐次'!J89,'正式逐次'!J98,'正式逐次'!J107,'正式逐次'!J116,'正式逐次'!J125,'正式逐次'!J126)</x:f>
        <x:v>0.0016893021375117472</x:v>
      </x:c>
      <x:c r="I8" s="16" t="n">
        <x:v>30.521222500050225</x:v>
      </x:c>
      <x:c r="J8" s="2" t="str">
        <x:v>SOFTGNN1</x:v>
      </x:c>
    </x:row>
    <x:row r="9" ht="23" customHeight="1">
      <x:c r="A9" s="9" t="str">
        <x:v>作者PPO辅助搜索</x:v>
      </x:c>
      <x:c r="B9" s="9" t="n">
        <x:f>SUM('正式逐次'!E9,'正式逐次'!E16,'正式逐次'!E23,'正式逐次'!E30,'正式逐次'!E45,'正式逐次'!E52,'正式逐次'!E59,'正式逐次'!E66,'正式逐次'!E70,'正式逐次'!E79,'正式逐次'!E88,'正式逐次'!E97,'正式逐次'!E106,'正式逐次'!E115,'正式逐次'!E124,'正式逐次'!E133)</x:f>
        <x:v>16</x:v>
      </x:c>
      <x:c r="C9" s="9" t="n">
        <x:f>SUM('正式逐次'!M9,'正式逐次'!M16,'正式逐次'!M23,'正式逐次'!M30,'正式逐次'!M45,'正式逐次'!M52,'正式逐次'!M59,'正式逐次'!M66,'正式逐次'!M70,'正式逐次'!M79,'正式逐次'!M88,'正式逐次'!M97,'正式逐次'!M106,'正式逐次'!M115,'正式逐次'!M124,'正式逐次'!M133)</x:f>
        <x:v>12</x:v>
      </x:c>
      <x:c r="D9" s="15" t="n">
        <x:f>AVERAGE('正式逐次'!K9,'正式逐次'!K16,'正式逐次'!K23,'正式逐次'!K30,'正式逐次'!K45,'正式逐次'!K52,'正式逐次'!K59,'正式逐次'!K66,'正式逐次'!K70,'正式逐次'!K79,'正式逐次'!K88,'正式逐次'!K97,'正式逐次'!K106,'正式逐次'!K115,'正式逐次'!K124,'正式逐次'!K133)</x:f>
        <x:v>0.18072614702794376</x:v>
      </x:c>
      <x:c r="E9" s="15" t="n">
        <x:f>1-SUM('正式逐次'!I9,'正式逐次'!I16,'正式逐次'!I23,'正式逐次'!I30,'正式逐次'!I45,'正式逐次'!I52,'正式逐次'!I59,'正式逐次'!I66,'正式逐次'!I70,'正式逐次'!I79,'正式逐次'!I88,'正式逐次'!I97,'正式逐次'!I106,'正式逐次'!I115,'正式逐次'!I124,'正式逐次'!I133)/SUM('正式逐次'!I6,'正式逐次'!I21,'正式逐次'!I28,'正式逐次'!I35,'正式逐次'!I42,'正式逐次'!I49,'正式逐次'!I56,'正式逐次'!I63,'正式逐次'!I73,'正式逐次'!I82,'正式逐次'!I91,'正式逐次'!I100,'正式逐次'!I109,'正式逐次'!I110,'正式逐次'!I119,'正式逐次'!I128)</x:f>
        <x:v>0.7167281815322994</x:v>
      </x:c>
      <x:c r="F9" s="17" t="n">
        <x:f>AVERAGE('正式逐次'!H9,'正式逐次'!H16,'正式逐次'!H23,'正式逐次'!H30,'正式逐次'!H45,'正式逐次'!H52,'正式逐次'!H59,'正式逐次'!H66,'正式逐次'!H70,'正式逐次'!H79,'正式逐次'!H88,'正式逐次'!H97,'正式逐次'!H106,'正式逐次'!H115,'正式逐次'!H124,'正式逐次'!H133)</x:f>
        <x:v>66.53278269375762</x:v>
      </x:c>
      <x:c r="G9" s="15" t="n">
        <x:f>AVERAGE('正式逐次'!J9,'正式逐次'!J16,'正式逐次'!J23,'正式逐次'!J30,'正式逐次'!J45,'正式逐次'!J52,'正式逐次'!J59,'正式逐次'!J66,'正式逐次'!J70,'正式逐次'!J79,'正式逐次'!J88,'正式逐次'!J97,'正式逐次'!J106,'正式逐次'!J115,'正式逐次'!J124,'正式逐次'!J133)</x:f>
        <x:v>0.016457126326255594</x:v>
      </x:c>
      <x:c r="H9" s="19" t="n">
        <x:f>MAX('正式逐次'!J9,'正式逐次'!J16,'正式逐次'!J23,'正式逐次'!J30,'正式逐次'!J45,'正式逐次'!J52,'正式逐次'!J59,'正式逐次'!J66,'正式逐次'!J70,'正式逐次'!J79,'正式逐次'!J88,'正式逐次'!J97,'正式逐次'!J106,'正式逐次'!J115,'正式逐次'!J124,'正式逐次'!J133)</x:f>
        <x:v>0.12434177158458394</x:v>
      </x:c>
      <x:c r="I9" s="17" t="n">
        <x:v>33.21181500022211</x:v>
      </x:c>
      <x:c r="J9" s="9" t="str">
        <x:v>LOCAL_PPO</x:v>
      </x:c>
    </x:row>
    <x:row r="10" ht="23" customHeight="1">
      <x:c r="A10" s="2" t="str">
        <x:v>质量补强GNN seed 0</x:v>
      </x:c>
      <x:c r="B10" s="2" t="n">
        <x:f>SUM('正式逐次'!E10,'正式逐次'!E17,'正式逐次'!E24,'正式逐次'!E31,'正式逐次'!E38,'正式逐次'!E53,'正式逐次'!E60,'正式逐次'!E67,'正式逐次'!E77,'正式逐次'!E78,'正式逐次'!E87,'正式逐次'!E96,'正式逐次'!E105,'正式逐次'!E114,'正式逐次'!E123,'正式逐次'!E132)</x:f>
        <x:v>16</x:v>
      </x:c>
      <x:c r="C10" s="2" t="n">
        <x:f>SUM('正式逐次'!M10,'正式逐次'!M17,'正式逐次'!M24,'正式逐次'!M31,'正式逐次'!M38,'正式逐次'!M53,'正式逐次'!M60,'正式逐次'!M67,'正式逐次'!M77,'正式逐次'!M78,'正式逐次'!M87,'正式逐次'!M96,'正式逐次'!M105,'正式逐次'!M114,'正式逐次'!M123,'正式逐次'!M132)</x:f>
        <x:v>16</x:v>
      </x:c>
      <x:c r="D10" s="14" t="n">
        <x:f>AVERAGE('正式逐次'!K10,'正式逐次'!K17,'正式逐次'!K24,'正式逐次'!K31,'正式逐次'!K38,'正式逐次'!K53,'正式逐次'!K60,'正式逐次'!K67,'正式逐次'!K77,'正式逐次'!K78,'正式逐次'!K87,'正式逐次'!K96,'正式逐次'!K105,'正式逐次'!K114,'正式逐次'!K123,'正式逐次'!K132)</x:f>
        <x:v>0.15437932921045727</x:v>
      </x:c>
      <x:c r="E10" s="14" t="n">
        <x:f>1-SUM('正式逐次'!I10,'正式逐次'!I17,'正式逐次'!I24,'正式逐次'!I31,'正式逐次'!I38,'正式逐次'!I53,'正式逐次'!I60,'正式逐次'!I67,'正式逐次'!I77,'正式逐次'!I78,'正式逐次'!I87,'正式逐次'!I96,'正式逐次'!I105,'正式逐次'!I114,'正式逐次'!I123,'正式逐次'!I132)/SUM('正式逐次'!I6,'正式逐次'!I21,'正式逐次'!I28,'正式逐次'!I35,'正式逐次'!I42,'正式逐次'!I49,'正式逐次'!I56,'正式逐次'!I63,'正式逐次'!I73,'正式逐次'!I82,'正式逐次'!I91,'正式逐次'!I100,'正式逐次'!I109,'正式逐次'!I110,'正式逐次'!I119,'正式逐次'!I128)</x:f>
        <x:v>0.6999784835895992</x:v>
      </x:c>
      <x:c r="F10" s="16" t="n">
        <x:f>AVERAGE('正式逐次'!H10,'正式逐次'!H17,'正式逐次'!H24,'正式逐次'!H31,'正式逐次'!H38,'正式逐次'!H53,'正式逐次'!H60,'正式逐次'!H67,'正式逐次'!H77,'正式逐次'!H78,'正式逐次'!H87,'正式逐次'!H96,'正式逐次'!H105,'正式逐次'!H114,'正式逐次'!H123,'正式逐次'!H132)</x:f>
        <x:v>70.82757978749079</x:v>
      </x:c>
      <x:c r="G10" s="14" t="n">
        <x:f>AVERAGE('正式逐次'!J10,'正式逐次'!J17,'正式逐次'!J24,'正式逐次'!J31,'正式逐次'!J38,'正式逐次'!J53,'正式逐次'!J60,'正式逐次'!J67,'正式逐次'!J77,'正式逐次'!J78,'正式逐次'!J87,'正式逐次'!J96,'正式逐次'!J105,'正式逐次'!J114,'正式逐次'!J123,'正式逐次'!J132)</x:f>
        <x:v>-0.009366979948068514</x:v>
      </x:c>
      <x:c r="H10" s="18" t="n">
        <x:f>MAX('正式逐次'!J10,'正式逐次'!J17,'正式逐次'!J24,'正式逐次'!J31,'正式逐次'!J38,'正式逐次'!J53,'正式逐次'!J60,'正式逐次'!J67,'正式逐次'!J77,'正式逐次'!J78,'正式逐次'!J87,'正式逐次'!J96,'正式逐次'!J105,'正式逐次'!J114,'正式逐次'!J123,'正式逐次'!J132)</x:f>
        <x:v>0.0008044936193065155</x:v>
      </x:c>
      <x:c r="I10" s="16" t="n">
        <x:v>72.7533712494304</x:v>
      </x:c>
      <x:c r="J10" s="2" t="str">
        <x:v>COMPRESSED_GNN0</x:v>
      </x:c>
    </x:row>
    <x:row r="11" ht="23" customHeight="1">
      <x:c r="A11" s="9" t="str">
        <x:v>质量补强GNN seed 1</x:v>
      </x:c>
      <x:c r="B11" s="9" t="n">
        <x:f>SUM('正式逐次'!E11,'正式逐次'!E18,'正式逐次'!E25,'正式逐次'!E32,'正式逐次'!E39,'正式逐次'!E46,'正式逐次'!E61,'正式逐次'!E68,'正式逐次'!E76,'正式逐次'!E85,'正式逐次'!E86,'正式逐次'!E95,'正式逐次'!E104,'正式逐次'!E113,'正式逐次'!E122,'正式逐次'!E131)</x:f>
        <x:v>16</x:v>
      </x:c>
      <x:c r="C11" s="9" t="n">
        <x:f>SUM('正式逐次'!M11,'正式逐次'!M18,'正式逐次'!M25,'正式逐次'!M32,'正式逐次'!M39,'正式逐次'!M46,'正式逐次'!M61,'正式逐次'!M68,'正式逐次'!M76,'正式逐次'!M85,'正式逐次'!M86,'正式逐次'!M95,'正式逐次'!M104,'正式逐次'!M113,'正式逐次'!M122,'正式逐次'!M131)</x:f>
        <x:v>16</x:v>
      </x:c>
      <x:c r="D11" s="15" t="n">
        <x:f>AVERAGE('正式逐次'!K11,'正式逐次'!K18,'正式逐次'!K25,'正式逐次'!K32,'正式逐次'!K39,'正式逐次'!K46,'正式逐次'!K61,'正式逐次'!K68,'正式逐次'!K76,'正式逐次'!K85,'正式逐次'!K86,'正式逐次'!K95,'正式逐次'!K104,'正式逐次'!K113,'正式逐次'!K122,'正式逐次'!K131)</x:f>
        <x:v>0.16065120083090192</x:v>
      </x:c>
      <x:c r="E11" s="15" t="n">
        <x:f>1-SUM('正式逐次'!I11,'正式逐次'!I18,'正式逐次'!I25,'正式逐次'!I32,'正式逐次'!I39,'正式逐次'!I46,'正式逐次'!I61,'正式逐次'!I68,'正式逐次'!I76,'正式逐次'!I85,'正式逐次'!I86,'正式逐次'!I95,'正式逐次'!I104,'正式逐次'!I113,'正式逐次'!I122,'正式逐次'!I131)/SUM('正式逐次'!I6,'正式逐次'!I21,'正式逐次'!I28,'正式逐次'!I35,'正式逐次'!I42,'正式逐次'!I49,'正式逐次'!I56,'正式逐次'!I63,'正式逐次'!I73,'正式逐次'!I82,'正式逐次'!I91,'正式逐次'!I100,'正式逐次'!I109,'正式逐次'!I110,'正式逐次'!I119,'正式逐次'!I128)</x:f>
        <x:v>0.7062016915208792</x:v>
      </x:c>
      <x:c r="F11" s="17" t="n">
        <x:f>AVERAGE('正式逐次'!H11,'正式逐次'!H18,'正式逐次'!H25,'正式逐次'!H32,'正式逐次'!H39,'正式逐次'!H46,'正式逐次'!H61,'正式逐次'!H68,'正式逐次'!H76,'正式逐次'!H85,'正式逐次'!H86,'正式逐次'!H95,'正式逐次'!H104,'正式逐次'!H113,'正式逐次'!H122,'正式逐次'!H131)</x:f>
        <x:v>70.25823460002381</x:v>
      </x:c>
      <x:c r="G11" s="15" t="n">
        <x:f>AVERAGE('正式逐次'!J11,'正式逐次'!J18,'正式逐次'!J25,'正式逐次'!J32,'正式逐次'!J39,'正式逐次'!J46,'正式逐次'!J61,'正式逐次'!J68,'正式逐次'!J76,'正式逐次'!J85,'正式逐次'!J86,'正式逐次'!J95,'正式逐次'!J104,'正式逐次'!J113,'正式逐次'!J122,'正式逐次'!J131)</x:f>
        <x:v>-0.01036117554059453</x:v>
      </x:c>
      <x:c r="H11" s="19" t="n">
        <x:f>MAX('正式逐次'!J11,'正式逐次'!J18,'正式逐次'!J25,'正式逐次'!J32,'正式逐次'!J39,'正式逐次'!J46,'正式逐次'!J61,'正式逐次'!J68,'正式逐次'!J76,'正式逐次'!J85,'正式逐次'!J86,'正式逐次'!J95,'正式逐次'!J104,'正式逐次'!J113,'正式逐次'!J122,'正式逐次'!J131)</x:f>
        <x:v>0.0008044936193065155</x:v>
      </x:c>
      <x:c r="I11" s="17" t="n">
        <x:v>72.49485125041403</x:v>
      </x:c>
      <x:c r="J11" s="9" t="str">
        <x:v>COMPRESSED_GNN1</x:v>
      </x:c>
    </x:row>
    <x:row r="12" ht="23" customHeight="1">
      <x:c r="A12" s="2" t="str">
        <x:v>原GNN seed 0</x:v>
      </x:c>
      <x:c r="B12" s="2" t="n">
        <x:f>SUM('正式逐次'!E12,'正式逐次'!E19,'正式逐次'!E26,'正式逐次'!E33,'正式逐次'!E40,'正式逐次'!E47,'正式逐次'!E54,'正式逐次'!E69,'正式逐次'!E75,'正式逐次'!E84,'正式逐次'!E93,'正式逐次'!E94,'正式逐次'!E103,'正式逐次'!E112,'正式逐次'!E121,'正式逐次'!E130)</x:f>
        <x:v>16</x:v>
      </x:c>
      <x:c r="C12" s="2" t="n">
        <x:f>SUM('正式逐次'!M12,'正式逐次'!M19,'正式逐次'!M26,'正式逐次'!M33,'正式逐次'!M40,'正式逐次'!M47,'正式逐次'!M54,'正式逐次'!M69,'正式逐次'!M75,'正式逐次'!M84,'正式逐次'!M93,'正式逐次'!M94,'正式逐次'!M103,'正式逐次'!M112,'正式逐次'!M121,'正式逐次'!M130)</x:f>
        <x:v>14</x:v>
      </x:c>
      <x:c r="D12" s="14" t="n">
        <x:f>AVERAGE('正式逐次'!K12,'正式逐次'!K19,'正式逐次'!K26,'正式逐次'!K33,'正式逐次'!K40,'正式逐次'!K47,'正式逐次'!K54,'正式逐次'!K69,'正式逐次'!K75,'正式逐次'!K84,'正式逐次'!K93,'正式逐次'!K94,'正式逐次'!K103,'正式逐次'!K112,'正式逐次'!K121,'正式逐次'!K130)</x:f>
        <x:v>0.18335794863255028</x:v>
      </x:c>
      <x:c r="E12" s="14" t="n">
        <x:f>1-SUM('正式逐次'!I12,'正式逐次'!I19,'正式逐次'!I26,'正式逐次'!I33,'正式逐次'!I40,'正式逐次'!I47,'正式逐次'!I54,'正式逐次'!I69,'正式逐次'!I75,'正式逐次'!I84,'正式逐次'!I93,'正式逐次'!I94,'正式逐次'!I103,'正式逐次'!I112,'正式逐次'!I121,'正式逐次'!I130)/SUM('正式逐次'!I6,'正式逐次'!I21,'正式逐次'!I28,'正式逐次'!I35,'正式逐次'!I42,'正式逐次'!I49,'正式逐次'!I56,'正式逐次'!I63,'正式逐次'!I73,'正式逐次'!I82,'正式逐次'!I91,'正式逐次'!I100,'正式逐次'!I109,'正式逐次'!I110,'正式逐次'!I119,'正式逐次'!I128)</x:f>
        <x:v>0.6929111703272149</x:v>
      </x:c>
      <x:c r="F12" s="16" t="n">
        <x:f>AVERAGE('正式逐次'!H12,'正式逐次'!H19,'正式逐次'!H26,'正式逐次'!H33,'正式逐次'!H40,'正式逐次'!H47,'正式逐次'!H54,'正式逐次'!H69,'正式逐次'!H75,'正式逐次'!H84,'正式逐次'!H93,'正式逐次'!H94,'正式逐次'!H103,'正式逐次'!H112,'正式逐次'!H121,'正式逐次'!H130)</x:f>
        <x:v>67.0028142187424</x:v>
      </x:c>
      <x:c r="G12" s="14" t="n">
        <x:f>AVERAGE('正式逐次'!J12,'正式逐次'!J19,'正式逐次'!J26,'正式逐次'!J33,'正式逐次'!J40,'正式逐次'!J47,'正式逐次'!J54,'正式逐次'!J69,'正式逐次'!J75,'正式逐次'!J84,'正式逐次'!J93,'正式逐次'!J94,'正式逐次'!J103,'正式逐次'!J112,'正式逐次'!J121,'正式逐次'!J130)</x:f>
        <x:v>-0.002715289608548643</x:v>
      </x:c>
      <x:c r="H12" s="18" t="n">
        <x:f>MAX('正式逐次'!J12,'正式逐次'!J19,'正式逐次'!J26,'正式逐次'!J33,'正式逐次'!J40,'正式逐次'!J47,'正式逐次'!J54,'正式逐次'!J69,'正式逐次'!J75,'正式逐次'!J84,'正式逐次'!J93,'正式逐次'!J94,'正式逐次'!J103,'正式逐次'!J112,'正式逐次'!J121,'正式逐次'!J130)</x:f>
        <x:v>0.017403612716870926</x:v>
      </x:c>
      <x:c r="I12" s="16" t="n">
        <x:v>37.33770624980474</x:v>
      </x:c>
      <x:c r="J12" s="2" t="str">
        <x:v>LOCAL_GNN0</x:v>
      </x:c>
    </x:row>
    <x:row r="13" ht="23" customHeight="1">
      <x:c r="A13" s="9" t="str">
        <x:v>原GNN seed 1</x:v>
      </x:c>
      <x:c r="B13" s="9" t="n">
        <x:f>SUM('正式逐次'!E13,'正式逐次'!E20,'正式逐次'!E27,'正式逐次'!E34,'正式逐次'!E41,'正式逐次'!E48,'正式逐次'!E55,'正式逐次'!E62,'正式逐次'!E74,'正式逐次'!E83,'正式逐次'!E92,'正式逐次'!E101,'正式逐次'!E102,'正式逐次'!E111,'正式逐次'!E120,'正式逐次'!E129)</x:f>
        <x:v>16</x:v>
      </x:c>
      <x:c r="C13" s="9" t="n">
        <x:f>SUM('正式逐次'!M13,'正式逐次'!M20,'正式逐次'!M27,'正式逐次'!M34,'正式逐次'!M41,'正式逐次'!M48,'正式逐次'!M55,'正式逐次'!M62,'正式逐次'!M74,'正式逐次'!M83,'正式逐次'!M92,'正式逐次'!M101,'正式逐次'!M102,'正式逐次'!M111,'正式逐次'!M120,'正式逐次'!M129)</x:f>
        <x:v>14</x:v>
      </x:c>
      <x:c r="D13" s="15" t="n">
        <x:f>AVERAGE('正式逐次'!K13,'正式逐次'!K20,'正式逐次'!K27,'正式逐次'!K34,'正式逐次'!K41,'正式逐次'!K48,'正式逐次'!K55,'正式逐次'!K62,'正式逐次'!K74,'正式逐次'!K83,'正式逐次'!K92,'正式逐次'!K101,'正式逐次'!K102,'正式逐次'!K111,'正式逐次'!K120,'正式逐次'!K129)</x:f>
        <x:v>0.18428749693807378</x:v>
      </x:c>
      <x:c r="E13" s="15" t="n">
        <x:f>1-SUM('正式逐次'!I13,'正式逐次'!I20,'正式逐次'!I27,'正式逐次'!I34,'正式逐次'!I41,'正式逐次'!I48,'正式逐次'!I55,'正式逐次'!I62,'正式逐次'!I74,'正式逐次'!I83,'正式逐次'!I92,'正式逐次'!I101,'正式逐次'!I102,'正式逐次'!I111,'正式逐次'!I120,'正式逐次'!I129)/SUM('正式逐次'!I6,'正式逐次'!I21,'正式逐次'!I28,'正式逐次'!I35,'正式逐次'!I42,'正式逐次'!I49,'正式逐次'!I56,'正式逐次'!I63,'正式逐次'!I73,'正式逐次'!I82,'正式逐次'!I91,'正式逐次'!I100,'正式逐次'!I109,'正式逐次'!I110,'正式逐次'!I119,'正式逐次'!I128)</x:f>
        <x:v>0.6951786689617505</x:v>
      </x:c>
      <x:c r="F13" s="17" t="n">
        <x:f>AVERAGE('正式逐次'!H13,'正式逐次'!H20,'正式逐次'!H27,'正式逐次'!H34,'正式逐次'!H41,'正式逐次'!H48,'正式逐次'!H55,'正式逐次'!H62,'正式逐次'!H74,'正式逐次'!H83,'正式逐次'!H92,'正式逐次'!H101,'正式逐次'!H102,'正式逐次'!H111,'正式逐次'!H120,'正式逐次'!H129)</x:f>
        <x:v>66.94078993749069</x:v>
      </x:c>
      <x:c r="G13" s="15" t="n">
        <x:f>AVERAGE('正式逐次'!J13,'正式逐次'!J20,'正式逐次'!J27,'正式逐次'!J34,'正式逐次'!J41,'正式逐次'!J48,'正式逐次'!J55,'正式逐次'!J62,'正式逐次'!J74,'正式逐次'!J83,'正式逐次'!J92,'正式逐次'!J101,'正式逐次'!J102,'正式逐次'!J111,'正式逐次'!J120,'正式逐次'!J129)</x:f>
        <x:v>-0.002779368519076046</x:v>
      </x:c>
      <x:c r="H13" s="19" t="n">
        <x:f>MAX('正式逐次'!J13,'正式逐次'!J20,'正式逐次'!J27,'正式逐次'!J34,'正式逐次'!J41,'正式逐次'!J48,'正式逐次'!J55,'正式逐次'!J62,'正式逐次'!J74,'正式逐次'!J83,'正式逐次'!J92,'正式逐次'!J101,'正式逐次'!J102,'正式逐次'!J111,'正式逐次'!J120,'正式逐次'!J129)</x:f>
        <x:v>0.017043839508039844</x:v>
      </x:c>
      <x:c r="I13" s="17" t="n">
        <x:v>42.3605412499036</x:v>
      </x:c>
      <x:c r="J13" s="9" t="str">
        <x:v>LOCAL_GNN1</x:v>
      </x:c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3" customHeight="1">
      <x:c r="A16" s="2" t="str">
        <x:v>质量：完成整周、无提前失败、成本不高于FULL的0.5%。该门槛是工程筛查尺度。</x:v>
      </x:c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3" customHeight="1">
      <x:c r="A18" s="2" t="str">
        <x:v>原GNN更快但成本尾部较差。质量补强版守住尺度，PPO和SoftGNN仍略快。</x:v>
      </x:c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3" customHeight="1">
      <x:c r="A20" s="2" t="str">
        <x:v>p95表示绝大多数单步决策的延迟，不等于整周控制总时间。</x:v>
      </x:c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27" hidden="0" customWidth="1"/>
    <x:col min="5" max="5" width="12" hidden="0" customWidth="1"/>
    <x:col min="6" max="6" width="12" hidden="0" customWidth="1"/>
    <x:col min="7" max="7" width="21" hidden="0" customWidth="1"/>
    <x:col min="8" max="8" width="18" hidden="0" customWidth="1"/>
    <x:col min="9" max="9" width="16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3" t="str">
        <x:v>八日期正式比较：128个计时槽位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4" t="str">
        <x:v>逻辑重复1中的受影响日期统一使用实际重复2；原始重复未删除。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4" customHeight="1">
      <x:c r="A5" s="8" t="str">
        <x:v>逻辑重复</x:v>
      </x:c>
      <x:c r="B5" s="8" t="str">
        <x:v>实际重复</x:v>
      </x:c>
      <x:c r="C5" s="8" t="str">
        <x:v>日期</x:v>
      </x:c>
      <x:c r="D5" s="8" t="str">
        <x:v>方法ID</x:v>
      </x:c>
      <x:c r="E5" s="8" t="str">
        <x:v>完成(1/0)</x:v>
      </x:c>
      <x:c r="F5" s="8" t="str">
        <x:v>步数</x:v>
      </x:c>
      <x:c r="G5" s="8" t="str">
        <x:v>累计模拟成本</x:v>
      </x:c>
      <x:c r="H5" s="8" t="str">
        <x:v>控制时间(s)</x:v>
      </x:c>
      <x:c r="I5" s="8" t="str">
        <x:v>N1查询数</x:v>
      </x:c>
      <x:c r="J5" s="8" t="str">
        <x:v>成本变化/FULL</x:v>
      </x:c>
      <x:c r="K5" s="8" t="str">
        <x:v>控制减少/FULL</x:v>
      </x:c>
      <x:c r="L5" s="8" t="str">
        <x:v>无提前失败(1/0)</x:v>
      </x:c>
      <x:c r="M5" s="8" t="str">
        <x:v>质量通过(1/0)</x:v>
      </x:c>
      <x:c r="N5" s="8" t="str">
        <x:v>N1搜索时间(s)</x:v>
      </x:c>
    </x:row>
    <x:row r="6" ht="23" customHeight="1">
      <x:c r="A6" s="2" t="n">
        <x:v>0</x:v>
      </x:c>
      <x:c r="B6" s="2" t="n">
        <x:v>0</x:v>
      </x:c>
      <x:c r="C6" s="2" t="str">
        <x:v>2035-01-22_2</x:v>
      </x:c>
      <x:c r="D6" s="2" t="str">
        <x:v>FULL</x:v>
      </x:c>
      <x:c r="E6" s="2" t="n">
        <x:v>1</x:v>
      </x:c>
      <x:c r="F6" s="2" t="n">
        <x:v>2017</x:v>
      </x:c>
      <x:c r="G6" s="10" t="n">
        <x:v>3206792.7822875977</x:v>
      </x:c>
      <x:c r="H6" s="10" t="n">
        <x:v>183.5101399999694</x:v>
      </x:c>
      <x:c r="I6" s="12" t="n">
        <x:v>16545</x:v>
      </x:c>
      <x:c r="J6" s="14" t="n">
        <x:f>(G6-G6)/ABS(G6)</x:f>
        <x:v>0</x:v>
      </x:c>
      <x:c r="K6" s="14" t="n">
        <x:f>1-H6/H6</x:f>
        <x:v>0</x:v>
      </x:c>
      <x:c r="L6" s="2" t="n">
        <x:v>1</x:v>
      </x:c>
      <x:c r="M6" s="2" t="n">
        <x:v>1</x:v>
      </x:c>
      <x:c r="N6" s="16" t="n">
        <x:v>44.626458199996705</x:v>
      </x:c>
    </x:row>
    <x:row r="7" ht="23" customHeight="1">
      <x:c r="A7" s="9" t="n">
        <x:v>0</x:v>
      </x:c>
      <x:c r="B7" s="9" t="n">
        <x:v>0</x:v>
      </x:c>
      <x:c r="C7" s="9" t="str">
        <x:v>2035-01-22_2</x:v>
      </x:c>
      <x:c r="D7" s="9" t="str">
        <x:v>SOFTGNN0</x:v>
      </x:c>
      <x:c r="E7" s="9" t="n">
        <x:v>1</x:v>
      </x:c>
      <x:c r="F7" s="9" t="n">
        <x:v>2017</x:v>
      </x:c>
      <x:c r="G7" s="11" t="n">
        <x:v>3119052.8111572266</x:v>
      </x:c>
      <x:c r="H7" s="11" t="n">
        <x:v>157.7514516999545</x:v>
      </x:c>
      <x:c r="I7" s="13" t="n">
        <x:v>7158</x:v>
      </x:c>
      <x:c r="J7" s="15" t="n">
        <x:f>(G7-G6)/ABS(G6)</x:f>
        <x:v>-0.027360661285940936</x:v>
      </x:c>
      <x:c r="K7" s="15" t="n">
        <x:f>1-H7/H6</x:f>
        <x:v>0.14036656666503122</x:v>
      </x:c>
      <x:c r="L7" s="9" t="n">
        <x:v>1</x:v>
      </x:c>
      <x:c r="M7" s="9" t="n">
        <x:v>1</x:v>
      </x:c>
      <x:c r="N7" s="17" t="n">
        <x:v>18.99506459999975</x:v>
      </x:c>
    </x:row>
    <x:row r="8" ht="23" customHeight="1">
      <x:c r="A8" s="2" t="n">
        <x:v>0</x:v>
      </x:c>
      <x:c r="B8" s="2" t="n">
        <x:v>0</x:v>
      </x:c>
      <x:c r="C8" s="2" t="str">
        <x:v>2035-01-22_2</x:v>
      </x:c>
      <x:c r="D8" s="2" t="str">
        <x:v>SOFTGNN1</x:v>
      </x:c>
      <x:c r="E8" s="2" t="n">
        <x:v>1</x:v>
      </x:c>
      <x:c r="F8" s="2" t="n">
        <x:v>2017</x:v>
      </x:c>
      <x:c r="G8" s="10" t="n">
        <x:v>3119052.8111572266</x:v>
      </x:c>
      <x:c r="H8" s="10" t="n">
        <x:v>159.42390460002207</x:v>
      </x:c>
      <x:c r="I8" s="12" t="n">
        <x:v>7398</x:v>
      </x:c>
      <x:c r="J8" s="14" t="n">
        <x:f>(G8-G6)/ABS(G6)</x:f>
        <x:v>-0.027360661285940936</x:v>
      </x:c>
      <x:c r="K8" s="14" t="n">
        <x:f>1-H8/H6</x:f>
        <x:v>0.1312528855351064</x:v>
      </x:c>
      <x:c r="L8" s="2" t="n">
        <x:v>1</x:v>
      </x:c>
      <x:c r="M8" s="2" t="n">
        <x:v>1</x:v>
      </x:c>
      <x:c r="N8" s="16" t="n">
        <x:v>19.94999679999819</x:v>
      </x:c>
    </x:row>
    <x:row r="9" ht="23" customHeight="1">
      <x:c r="A9" s="9" t="n">
        <x:v>0</x:v>
      </x:c>
      <x:c r="B9" s="9" t="n">
        <x:v>0</x:v>
      </x:c>
      <x:c r="C9" s="9" t="str">
        <x:v>2035-01-22_2</x:v>
      </x:c>
      <x:c r="D9" s="9" t="str">
        <x:v>LOCAL_PPO</x:v>
      </x:c>
      <x:c r="E9" s="9" t="n">
        <x:v>1</x:v>
      </x:c>
      <x:c r="F9" s="9" t="n">
        <x:v>2017</x:v>
      </x:c>
      <x:c r="G9" s="11" t="n">
        <x:v>3605531.0779418945</x:v>
      </x:c>
      <x:c r="H9" s="11" t="n">
        <x:v>145.42321159990388</x:v>
      </x:c>
      <x:c r="I9" s="13" t="n">
        <x:v>5890</x:v>
      </x:c>
      <x:c r="J9" s="15" t="n">
        <x:f>(G9-G6)/ABS(G6)</x:f>
        <x:v>0.12434177158458394</x:v>
      </x:c>
      <x:c r="K9" s="15" t="n">
        <x:f>1-H9/H6</x:f>
        <x:v>0.20754672412146746</x:v>
      </x:c>
      <x:c r="L9" s="9" t="n">
        <x:v>1</x:v>
      </x:c>
      <x:c r="M9" s="9" t="n">
        <x:v>0</x:v>
      </x:c>
      <x:c r="N9" s="17" t="n">
        <x:v>18.037269500000548</x:v>
      </x:c>
    </x:row>
    <x:row r="10" ht="23" customHeight="1">
      <x:c r="A10" s="2" t="n">
        <x:v>0</x:v>
      </x:c>
      <x:c r="B10" s="2" t="n">
        <x:v>0</x:v>
      </x:c>
      <x:c r="C10" s="2" t="str">
        <x:v>2035-01-22_2</x:v>
      </x:c>
      <x:c r="D10" s="2" t="str">
        <x:v>COMPRESSED_GNN0</x:v>
      </x:c>
      <x:c r="E10" s="2" t="n">
        <x:v>1</x:v>
      </x:c>
      <x:c r="F10" s="2" t="n">
        <x:v>2017</x:v>
      </x:c>
      <x:c r="G10" s="10" t="n">
        <x:v>2987553.496459961</x:v>
      </x:c>
      <x:c r="H10" s="10" t="n">
        <x:v>168.53040930011048</x:v>
      </x:c>
      <x:c r="I10" s="12" t="n">
        <x:v>6982</x:v>
      </x:c>
      <x:c r="J10" s="14" t="n">
        <x:f>(G10-G6)/ABS(G6)</x:f>
        <x:v>-0.06836715083013259</x:v>
      </x:c>
      <x:c r="K10" s="14" t="n">
        <x:f>1-H10/H6</x:f>
        <x:v>0.08162889908896265</x:v>
      </x:c>
      <x:c r="L10" s="2" t="n">
        <x:v>1</x:v>
      </x:c>
      <x:c r="M10" s="2" t="n">
        <x:v>1</x:v>
      </x:c>
      <x:c r="N10" s="16" t="n">
        <x:v>21.7289626999991</x:v>
      </x:c>
    </x:row>
    <x:row r="11" ht="23" customHeight="1">
      <x:c r="A11" s="9" t="n">
        <x:v>0</x:v>
      </x:c>
      <x:c r="B11" s="9" t="n">
        <x:v>0</x:v>
      </x:c>
      <x:c r="C11" s="9" t="str">
        <x:v>2035-01-22_2</x:v>
      </x:c>
      <x:c r="D11" s="9" t="str">
        <x:v>COMPRESSED_GNN1</x:v>
      </x:c>
      <x:c r="E11" s="9" t="n">
        <x:v>1</x:v>
      </x:c>
      <x:c r="F11" s="9" t="n">
        <x:v>2017</x:v>
      </x:c>
      <x:c r="G11" s="11" t="n">
        <x:v>2987553.496459961</x:v>
      </x:c>
      <x:c r="H11" s="11" t="n">
        <x:v>168.91481480005677</x:v>
      </x:c>
      <x:c r="I11" s="13" t="n">
        <x:v>7040</x:v>
      </x:c>
      <x:c r="J11" s="15" t="n">
        <x:f>(G11-G6)/ABS(G6)</x:f>
        <x:v>-0.06836715083013259</x:v>
      </x:c>
      <x:c r="K11" s="15" t="n">
        <x:f>1-H11/H6</x:f>
        <x:v>0.07953416198099494</x:v>
      </x:c>
      <x:c r="L11" s="9" t="n">
        <x:v>1</x:v>
      </x:c>
      <x:c r="M11" s="9" t="n">
        <x:v>1</x:v>
      </x:c>
      <x:c r="N11" s="17" t="n">
        <x:v>21.728490099991177</x:v>
      </x:c>
    </x:row>
    <x:row r="12" ht="23" customHeight="1">
      <x:c r="A12" s="2" t="n">
        <x:v>0</x:v>
      </x:c>
      <x:c r="B12" s="2" t="n">
        <x:v>0</x:v>
      </x:c>
      <x:c r="C12" s="2" t="str">
        <x:v>2035-01-22_2</x:v>
      </x:c>
      <x:c r="D12" s="2" t="str">
        <x:v>LOCAL_GNN0</x:v>
      </x:c>
      <x:c r="E12" s="2" t="n">
        <x:v>1</x:v>
      </x:c>
      <x:c r="F12" s="2" t="n">
        <x:v>2017</x:v>
      </x:c>
      <x:c r="G12" s="10" t="n">
        <x:v>3094270.9108276367</x:v>
      </x:c>
      <x:c r="H12" s="10" t="n">
        <x:v>155.5339001000284</x:v>
      </x:c>
      <x:c r="I12" s="12" t="n">
        <x:v>6981</x:v>
      </x:c>
      <x:c r="J12" s="14" t="n">
        <x:f>(G12-G6)/ABS(G6)</x:f>
        <x:v>-0.03508860069832524</x:v>
      </x:c>
      <x:c r="K12" s="14" t="n">
        <x:f>1-H12/H6</x:f>
        <x:v>0.15245064877584236</x:v>
      </x:c>
      <x:c r="L12" s="2" t="n">
        <x:v>1</x:v>
      </x:c>
      <x:c r="M12" s="2" t="n">
        <x:v>1</x:v>
      </x:c>
      <x:c r="N12" s="16" t="n">
        <x:v>21.761872800012497</x:v>
      </x:c>
    </x:row>
    <x:row r="13" ht="23" customHeight="1">
      <x:c r="A13" s="9" t="n">
        <x:v>0</x:v>
      </x:c>
      <x:c r="B13" s="9" t="n">
        <x:v>0</x:v>
      </x:c>
      <x:c r="C13" s="9" t="str">
        <x:v>2035-01-22_2</x:v>
      </x:c>
      <x:c r="D13" s="9" t="str">
        <x:v>LOCAL_GNN1</x:v>
      </x:c>
      <x:c r="E13" s="9" t="n">
        <x:v>1</x:v>
      </x:c>
      <x:c r="F13" s="9" t="n">
        <x:v>2017</x:v>
      </x:c>
      <x:c r="G13" s="11" t="n">
        <x:v>3094270.9108276367</x:v>
      </x:c>
      <x:c r="H13" s="11" t="n">
        <x:v>154.429056999943</x:v>
      </x:c>
      <x:c r="I13" s="13" t="n">
        <x:v>6926</x:v>
      </x:c>
      <x:c r="J13" s="15" t="n">
        <x:f>(G13-G6)/ABS(G6)</x:f>
        <x:v>-0.03508860069832524</x:v>
      </x:c>
      <x:c r="K13" s="15" t="n">
        <x:f>1-H13/H6</x:f>
        <x:v>0.15847125940850604</x:v>
      </x:c>
      <x:c r="L13" s="9" t="n">
        <x:v>1</x:v>
      </x:c>
      <x:c r="M13" s="9" t="n">
        <x:v>1</x:v>
      </x:c>
      <x:c r="N13" s="17" t="n">
        <x:v>21.01146100000915</x:v>
      </x:c>
    </x:row>
    <x:row r="14" ht="23" customHeight="1">
      <x:c r="A14" s="2" t="n">
        <x:v>0</x:v>
      </x:c>
      <x:c r="B14" s="2" t="n">
        <x:v>0</x:v>
      </x:c>
      <x:c r="C14" s="2" t="str">
        <x:v>2035-02-26_13</x:v>
      </x:c>
      <x:c r="D14" s="2" t="str">
        <x:v>SOFTGNN0</x:v>
      </x:c>
      <x:c r="E14" s="2" t="n">
        <x:v>1</x:v>
      </x:c>
      <x:c r="F14" s="2" t="n">
        <x:v>2017</x:v>
      </x:c>
      <x:c r="G14" s="10" t="n">
        <x:v>2764953.554748535</x:v>
      </x:c>
      <x:c r="H14" s="10" t="n">
        <x:v>104.77311920000284</x:v>
      </x:c>
      <x:c r="I14" s="12" t="n">
        <x:v>2166</x:v>
      </x:c>
      <x:c r="J14" s="14" t="n">
        <x:f>(G14-G21)/ABS(G21)</x:f>
        <x:v>-0.007061289738434314</x:v>
      </x:c>
      <x:c r="K14" s="14" t="n">
        <x:f>1-H14/H21</x:f>
        <x:v>0.1267081218552646</x:v>
      </x:c>
      <x:c r="L14" s="2" t="n">
        <x:v>1</x:v>
      </x:c>
      <x:c r="M14" s="2" t="n">
        <x:v>1</x:v>
      </x:c>
      <x:c r="N14" s="16" t="n">
        <x:v>6.650704499999847</x:v>
      </x:c>
    </x:row>
    <x:row r="15" ht="23" customHeight="1">
      <x:c r="A15" s="9" t="n">
        <x:v>0</x:v>
      </x:c>
      <x:c r="B15" s="9" t="n">
        <x:v>0</x:v>
      </x:c>
      <x:c r="C15" s="9" t="str">
        <x:v>2035-02-26_13</x:v>
      </x:c>
      <x:c r="D15" s="9" t="str">
        <x:v>SOFTGNN1</x:v>
      </x:c>
      <x:c r="E15" s="9" t="n">
        <x:v>1</x:v>
      </x:c>
      <x:c r="F15" s="9" t="n">
        <x:v>2017</x:v>
      </x:c>
      <x:c r="G15" s="11" t="n">
        <x:v>2759128.7057495117</x:v>
      </x:c>
      <x:c r="H15" s="11" t="n">
        <x:v>105.15112000004592</x:v>
      </x:c>
      <x:c r="I15" s="13" t="n">
        <x:v>1941</x:v>
      </x:c>
      <x:c r="J15" s="15" t="n">
        <x:f>(G15-G21)/ABS(G21)</x:f>
        <x:v>-0.009153085473167628</x:v>
      </x:c>
      <x:c r="K15" s="15" t="n">
        <x:f>1-H15/H21</x:f>
        <x:v>0.12355745657842299</x:v>
      </x:c>
      <x:c r="L15" s="9" t="n">
        <x:v>1</x:v>
      </x:c>
      <x:c r="M15" s="9" t="n">
        <x:v>1</x:v>
      </x:c>
      <x:c r="N15" s="17" t="n">
        <x:v>6.0078915000012785</x:v>
      </x:c>
    </x:row>
    <x:row r="16" ht="23" customHeight="1">
      <x:c r="A16" s="2" t="n">
        <x:v>0</x:v>
      </x:c>
      <x:c r="B16" s="2" t="n">
        <x:v>0</x:v>
      </x:c>
      <x:c r="C16" s="2" t="str">
        <x:v>2035-02-26_13</x:v>
      </x:c>
      <x:c r="D16" s="2" t="str">
        <x:v>LOCAL_PPO</x:v>
      </x:c>
      <x:c r="E16" s="2" t="n">
        <x:v>1</x:v>
      </x:c>
      <x:c r="F16" s="2" t="n">
        <x:v>2017</x:v>
      </x:c>
      <x:c r="G16" s="10" t="n">
        <x:v>2786856.7451782227</x:v>
      </x:c>
      <x:c r="H16" s="10" t="n">
        <x:v>110.02816360013458</x:v>
      </x:c>
      <x:c r="I16" s="12" t="n">
        <x:v>2623</x:v>
      </x:c>
      <x:c r="J16" s="14" t="n">
        <x:f>(G16-G21)/ABS(G21)</x:f>
        <x:v>0.0008044936193065155</x:v>
      </x:c>
      <x:c r="K16" s="14" t="n">
        <x:f>1-H16/H21</x:f>
        <x:v>0.08290692905919395</x:v>
      </x:c>
      <x:c r="L16" s="2" t="n">
        <x:v>1</x:v>
      </x:c>
      <x:c r="M16" s="2" t="n">
        <x:v>1</x:v>
      </x:c>
      <x:c r="N16" s="16" t="n">
        <x:v>8.226791600005527</x:v>
      </x:c>
    </x:row>
    <x:row r="17" ht="23" customHeight="1">
      <x:c r="A17" s="9" t="n">
        <x:v>0</x:v>
      </x:c>
      <x:c r="B17" s="9" t="n">
        <x:v>0</x:v>
      </x:c>
      <x:c r="C17" s="9" t="str">
        <x:v>2035-02-26_13</x:v>
      </x:c>
      <x:c r="D17" s="9" t="str">
        <x:v>COMPRESSED_GNN0</x:v>
      </x:c>
      <x:c r="E17" s="9" t="n">
        <x:v>1</x:v>
      </x:c>
      <x:c r="F17" s="9" t="n">
        <x:v>2017</x:v>
      </x:c>
      <x:c r="G17" s="11" t="n">
        <x:v>2786856.7451782227</x:v>
      </x:c>
      <x:c r="H17" s="11" t="n">
        <x:v>109.91799600001468</x:v>
      </x:c>
      <x:c r="I17" s="13" t="n">
        <x:v>2541</x:v>
      </x:c>
      <x:c r="J17" s="15" t="n">
        <x:f>(G17-G21)/ABS(G21)</x:f>
        <x:v>0.0008044936193065155</x:v>
      </x:c>
      <x:c r="K17" s="15" t="n">
        <x:f>1-H17/H21</x:f>
        <x:v>0.08382518434408004</x:v>
      </x:c>
      <x:c r="L17" s="9" t="n">
        <x:v>1</x:v>
      </x:c>
      <x:c r="M17" s="9" t="n">
        <x:v>1</x:v>
      </x:c>
      <x:c r="N17" s="17" t="n">
        <x:v>7.883653000000777</x:v>
      </x:c>
    </x:row>
    <x:row r="18" ht="23" customHeight="1">
      <x:c r="A18" s="2" t="n">
        <x:v>0</x:v>
      </x:c>
      <x:c r="B18" s="2" t="n">
        <x:v>0</x:v>
      </x:c>
      <x:c r="C18" s="2" t="str">
        <x:v>2035-02-26_13</x:v>
      </x:c>
      <x:c r="D18" s="2" t="str">
        <x:v>COMPRESSED_GNN1</x:v>
      </x:c>
      <x:c r="E18" s="2" t="n">
        <x:v>1</x:v>
      </x:c>
      <x:c r="F18" s="2" t="n">
        <x:v>2017</x:v>
      </x:c>
      <x:c r="G18" s="10" t="n">
        <x:v>2786856.7451782227</x:v>
      </x:c>
      <x:c r="H18" s="10" t="n">
        <x:v>110.38064529998155</x:v>
      </x:c>
      <x:c r="I18" s="12" t="n">
        <x:v>2550</x:v>
      </x:c>
      <x:c r="J18" s="14" t="n">
        <x:f>(G18-G21)/ABS(G21)</x:f>
        <x:v>0.0008044936193065155</x:v>
      </x:c>
      <x:c r="K18" s="14" t="n">
        <x:f>1-H18/H21</x:f>
        <x:v>0.07996896741386561</x:v>
      </x:c>
      <x:c r="L18" s="2" t="n">
        <x:v>1</x:v>
      </x:c>
      <x:c r="M18" s="2" t="n">
        <x:v>1</x:v>
      </x:c>
      <x:c r="N18" s="16" t="n">
        <x:v>8.08582729999398</x:v>
      </x:c>
    </x:row>
    <x:row r="19" ht="23" customHeight="1">
      <x:c r="A19" s="9" t="n">
        <x:v>0</x:v>
      </x:c>
      <x:c r="B19" s="9" t="n">
        <x:v>0</x:v>
      </x:c>
      <x:c r="C19" s="9" t="str">
        <x:v>2035-02-26_13</x:v>
      </x:c>
      <x:c r="D19" s="9" t="str">
        <x:v>LOCAL_GNN0</x:v>
      </x:c>
      <x:c r="E19" s="9" t="n">
        <x:v>1</x:v>
      </x:c>
      <x:c r="F19" s="9" t="n">
        <x:v>2017</x:v>
      </x:c>
      <x:c r="G19" s="11" t="n">
        <x:v>2786856.7451782227</x:v>
      </x:c>
      <x:c r="H19" s="11" t="n">
        <x:v>109.55395759989915</x:v>
      </x:c>
      <x:c r="I19" s="13" t="n">
        <x:v>2556</x:v>
      </x:c>
      <x:c r="J19" s="15" t="n">
        <x:f>(G19-G21)/ABS(G21)</x:f>
        <x:v>0.0008044936193065155</x:v>
      </x:c>
      <x:c r="K19" s="15" t="n">
        <x:f>1-H19/H21</x:f>
        <x:v>0.08685947196080002</x:v>
      </x:c>
      <x:c r="L19" s="9" t="n">
        <x:v>1</x:v>
      </x:c>
      <x:c r="M19" s="9" t="n">
        <x:v>1</x:v>
      </x:c>
      <x:c r="N19" s="17" t="n">
        <x:v>8.074341300001834</x:v>
      </x:c>
    </x:row>
    <x:row r="20" ht="23" customHeight="1">
      <x:c r="A20" s="2" t="n">
        <x:v>0</x:v>
      </x:c>
      <x:c r="B20" s="2" t="n">
        <x:v>0</x:v>
      </x:c>
      <x:c r="C20" s="2" t="str">
        <x:v>2035-02-26_13</x:v>
      </x:c>
      <x:c r="D20" s="2" t="str">
        <x:v>LOCAL_GNN1</x:v>
      </x:c>
      <x:c r="E20" s="2" t="n">
        <x:v>1</x:v>
      </x:c>
      <x:c r="F20" s="2" t="n">
        <x:v>2017</x:v>
      </x:c>
      <x:c r="G20" s="10" t="n">
        <x:v>2786856.7451782227</x:v>
      </x:c>
      <x:c r="H20" s="10" t="n">
        <x:v>108.71480619997237</x:v>
      </x:c>
      <x:c r="I20" s="12" t="n">
        <x:v>2544</x:v>
      </x:c>
      <x:c r="J20" s="14" t="n">
        <x:f>(G20-G21)/ABS(G21)</x:f>
        <x:v>0.0008044936193065155</x:v>
      </x:c>
      <x:c r="K20" s="14" t="n">
        <x:f>1-H20/H21</x:f>
        <x:v>0.09385386238923554</x:v>
      </x:c>
      <x:c r="L20" s="2" t="n">
        <x:v>1</x:v>
      </x:c>
      <x:c r="M20" s="2" t="n">
        <x:v>1</x:v>
      </x:c>
      <x:c r="N20" s="16" t="n">
        <x:v>7.9219258000048285</x:v>
      </x:c>
    </x:row>
    <x:row r="21" ht="23" customHeight="1">
      <x:c r="A21" s="9" t="n">
        <x:v>0</x:v>
      </x:c>
      <x:c r="B21" s="9" t="n">
        <x:v>0</x:v>
      </x:c>
      <x:c r="C21" s="9" t="str">
        <x:v>2035-02-26_13</x:v>
      </x:c>
      <x:c r="D21" s="9" t="str">
        <x:v>FULL</x:v>
      </x:c>
      <x:c r="E21" s="9" t="n">
        <x:v>1</x:v>
      </x:c>
      <x:c r="F21" s="9" t="n">
        <x:v>2017</x:v>
      </x:c>
      <x:c r="G21" s="11" t="n">
        <x:v>2784616.5389404297</x:v>
      </x:c>
      <x:c r="H21" s="11" t="n">
        <x:v>119.97491540009287</x:v>
      </x:c>
      <x:c r="I21" s="13" t="n">
        <x:v>7257</x:v>
      </x:c>
      <x:c r="J21" s="15" t="n">
        <x:f>(G21-G21)/ABS(G21)</x:f>
        <x:v>0</x:v>
      </x:c>
      <x:c r="K21" s="15" t="n">
        <x:f>1-H21/H21</x:f>
        <x:v>0</x:v>
      </x:c>
      <x:c r="L21" s="9" t="n">
        <x:v>1</x:v>
      </x:c>
      <x:c r="M21" s="9" t="n">
        <x:v>1</x:v>
      </x:c>
      <x:c r="N21" s="17" t="n">
        <x:v>19.116585799994937</x:v>
      </x:c>
    </x:row>
    <x:row r="22" ht="23" customHeight="1">
      <x:c r="A22" s="2" t="n">
        <x:v>0</x:v>
      </x:c>
      <x:c r="B22" s="2" t="n">
        <x:v>0</x:v>
      </x:c>
      <x:c r="C22" s="2" t="str">
        <x:v>2035-05-28_0</x:v>
      </x:c>
      <x:c r="D22" s="2" t="str">
        <x:v>SOFTGNN1</x:v>
      </x:c>
      <x:c r="E22" s="2" t="n">
        <x:v>1</x:v>
      </x:c>
      <x:c r="F22" s="2" t="n">
        <x:v>2017</x:v>
      </x:c>
      <x:c r="G22" s="10" t="n">
        <x:v>1621952.9942626953</x:v>
      </x:c>
      <x:c r="H22" s="10" t="n">
        <x:v>7.894650199970783</x:v>
      </x:c>
      <x:c r="I22" s="12" t="n">
        <x:v>0</x:v>
      </x:c>
      <x:c r="J22" s="14" t="n">
        <x:f>(G22-G28)/ABS(G28)</x:f>
        <x:v>0</x:v>
      </x:c>
      <x:c r="K22" s="14" t="n">
        <x:f>1-H22/H28</x:f>
        <x:v>-0.006207588133043451</x:v>
      </x:c>
      <x:c r="L22" s="2" t="n">
        <x:v>1</x:v>
      </x:c>
      <x:c r="M22" s="2" t="n">
        <x:v>1</x:v>
      </x:c>
      <x:c r="N22" s="16" t="n">
        <x:v>0</x:v>
      </x:c>
    </x:row>
    <x:row r="23" ht="23" customHeight="1">
      <x:c r="A23" s="9" t="n">
        <x:v>0</x:v>
      </x:c>
      <x:c r="B23" s="9" t="n">
        <x:v>0</x:v>
      </x:c>
      <x:c r="C23" s="9" t="str">
        <x:v>2035-05-28_0</x:v>
      </x:c>
      <x:c r="D23" s="9" t="str">
        <x:v>LOCAL_PPO</x:v>
      </x:c>
      <x:c r="E23" s="9" t="n">
        <x:v>1</x:v>
      </x:c>
      <x:c r="F23" s="9" t="n">
        <x:v>2017</x:v>
      </x:c>
      <x:c r="G23" s="11" t="n">
        <x:v>1621952.9942626953</x:v>
      </x:c>
      <x:c r="H23" s="11" t="n">
        <x:v>7.860107899941795</x:v>
      </x:c>
      <x:c r="I23" s="13" t="n">
        <x:v>0</x:v>
      </x:c>
      <x:c r="J23" s="15" t="n">
        <x:f>(G23-G28)/ABS(G28)</x:f>
        <x:v>0</x:v>
      </x:c>
      <x:c r="K23" s="15" t="n">
        <x:f>1-H23/H28</x:f>
        <x:v>-0.0018050213922313763</x:v>
      </x:c>
      <x:c r="L23" s="9" t="n">
        <x:v>1</x:v>
      </x:c>
      <x:c r="M23" s="9" t="n">
        <x:v>1</x:v>
      </x:c>
      <x:c r="N23" s="17" t="n">
        <x:v>0</x:v>
      </x:c>
    </x:row>
    <x:row r="24" ht="23" customHeight="1">
      <x:c r="A24" s="2" t="n">
        <x:v>0</x:v>
      </x:c>
      <x:c r="B24" s="2" t="n">
        <x:v>0</x:v>
      </x:c>
      <x:c r="C24" s="2" t="str">
        <x:v>2035-05-28_0</x:v>
      </x:c>
      <x:c r="D24" s="2" t="str">
        <x:v>COMPRESSED_GNN0</x:v>
      </x:c>
      <x:c r="E24" s="2" t="n">
        <x:v>1</x:v>
      </x:c>
      <x:c r="F24" s="2" t="n">
        <x:v>2017</x:v>
      </x:c>
      <x:c r="G24" s="10" t="n">
        <x:v>1621952.9942626953</x:v>
      </x:c>
      <x:c r="H24" s="10" t="n">
        <x:v>7.919404700001905</x:v>
      </x:c>
      <x:c r="I24" s="12" t="n">
        <x:v>0</x:v>
      </x:c>
      <x:c r="J24" s="14" t="n">
        <x:f>(G24-G28)/ABS(G28)</x:f>
        <x:v>0</x:v>
      </x:c>
      <x:c r="K24" s="14" t="n">
        <x:f>1-H24/H28</x:f>
        <x:v>-0.00936265708997408</x:v>
      </x:c>
      <x:c r="L24" s="2" t="n">
        <x:v>1</x:v>
      </x:c>
      <x:c r="M24" s="2" t="n">
        <x:v>1</x:v>
      </x:c>
      <x:c r="N24" s="16" t="n">
        <x:v>0</x:v>
      </x:c>
    </x:row>
    <x:row r="25" ht="23" customHeight="1">
      <x:c r="A25" s="9" t="n">
        <x:v>0</x:v>
      </x:c>
      <x:c r="B25" s="9" t="n">
        <x:v>0</x:v>
      </x:c>
      <x:c r="C25" s="9" t="str">
        <x:v>2035-05-28_0</x:v>
      </x:c>
      <x:c r="D25" s="9" t="str">
        <x:v>COMPRESSED_GNN1</x:v>
      </x:c>
      <x:c r="E25" s="9" t="n">
        <x:v>1</x:v>
      </x:c>
      <x:c r="F25" s="9" t="n">
        <x:v>2017</x:v>
      </x:c>
      <x:c r="G25" s="11" t="n">
        <x:v>1621952.9942626953</x:v>
      </x:c>
      <x:c r="H25" s="11" t="n">
        <x:v>7.86366549999002</x:v>
      </x:c>
      <x:c r="I25" s="13" t="n">
        <x:v>0</x:v>
      </x:c>
      <x:c r="J25" s="15" t="n">
        <x:f>(G25-G28)/ABS(G28)</x:f>
        <x:v>0</x:v>
      </x:c>
      <x:c r="K25" s="15" t="n">
        <x:f>1-H25/H28</x:f>
        <x:v>-0.002258453029275964</x:v>
      </x:c>
      <x:c r="L25" s="9" t="n">
        <x:v>1</x:v>
      </x:c>
      <x:c r="M25" s="9" t="n">
        <x:v>1</x:v>
      </x:c>
      <x:c r="N25" s="17" t="n">
        <x:v>0</x:v>
      </x:c>
    </x:row>
    <x:row r="26" ht="23" customHeight="1">
      <x:c r="A26" s="2" t="n">
        <x:v>0</x:v>
      </x:c>
      <x:c r="B26" s="2" t="n">
        <x:v>0</x:v>
      </x:c>
      <x:c r="C26" s="2" t="str">
        <x:v>2035-05-28_0</x:v>
      </x:c>
      <x:c r="D26" s="2" t="str">
        <x:v>LOCAL_GNN0</x:v>
      </x:c>
      <x:c r="E26" s="2" t="n">
        <x:v>1</x:v>
      </x:c>
      <x:c r="F26" s="2" t="n">
        <x:v>2017</x:v>
      </x:c>
      <x:c r="G26" s="10" t="n">
        <x:v>1621952.9942626953</x:v>
      </x:c>
      <x:c r="H26" s="10" t="n">
        <x:v>7.8899777000006</x:v>
      </x:c>
      <x:c r="I26" s="12" t="n">
        <x:v>0</x:v>
      </x:c>
      <x:c r="J26" s="14" t="n">
        <x:f>(G26-G28)/ABS(G28)</x:f>
        <x:v>0</x:v>
      </x:c>
      <x:c r="K26" s="14" t="n">
        <x:f>1-H26/H28</x:f>
        <x:v>-0.005612057640056234</x:v>
      </x:c>
      <x:c r="L26" s="2" t="n">
        <x:v>1</x:v>
      </x:c>
      <x:c r="M26" s="2" t="n">
        <x:v>1</x:v>
      </x:c>
      <x:c r="N26" s="16" t="n">
        <x:v>0</x:v>
      </x:c>
    </x:row>
    <x:row r="27" ht="23" customHeight="1">
      <x:c r="A27" s="9" t="n">
        <x:v>0</x:v>
      </x:c>
      <x:c r="B27" s="9" t="n">
        <x:v>0</x:v>
      </x:c>
      <x:c r="C27" s="9" t="str">
        <x:v>2035-05-28_0</x:v>
      </x:c>
      <x:c r="D27" s="9" t="str">
        <x:v>LOCAL_GNN1</x:v>
      </x:c>
      <x:c r="E27" s="9" t="n">
        <x:v>1</x:v>
      </x:c>
      <x:c r="F27" s="9" t="n">
        <x:v>2017</x:v>
      </x:c>
      <x:c r="G27" s="11" t="n">
        <x:v>1621952.9942626953</x:v>
      </x:c>
      <x:c r="H27" s="11" t="n">
        <x:v>7.8127210000493506</x:v>
      </x:c>
      <x:c r="I27" s="13" t="n">
        <x:v>0</x:v>
      </x:c>
      <x:c r="J27" s="15" t="n">
        <x:f>(G27-G28)/ABS(G28)</x:f>
        <x:v>0</x:v>
      </x:c>
      <x:c r="K27" s="15" t="n">
        <x:f>1-H27/H28</x:f>
        <x:v>0.004234645602774312</x:v>
      </x:c>
      <x:c r="L27" s="9" t="n">
        <x:v>1</x:v>
      </x:c>
      <x:c r="M27" s="9" t="n">
        <x:v>1</x:v>
      </x:c>
      <x:c r="N27" s="17" t="n">
        <x:v>0</x:v>
      </x:c>
    </x:row>
    <x:row r="28" ht="23" customHeight="1">
      <x:c r="A28" s="2" t="n">
        <x:v>0</x:v>
      </x:c>
      <x:c r="B28" s="2" t="n">
        <x:v>0</x:v>
      </x:c>
      <x:c r="C28" s="2" t="str">
        <x:v>2035-05-28_0</x:v>
      </x:c>
      <x:c r="D28" s="2" t="str">
        <x:v>FULL</x:v>
      </x:c>
      <x:c r="E28" s="2" t="n">
        <x:v>1</x:v>
      </x:c>
      <x:c r="F28" s="2" t="n">
        <x:v>2017</x:v>
      </x:c>
      <x:c r="G28" s="10" t="n">
        <x:v>1621952.9942626953</x:v>
      </x:c>
      <x:c r="H28" s="10" t="n">
        <x:v>7.845945799930632</x:v>
      </x:c>
      <x:c r="I28" s="12" t="n">
        <x:v>0</x:v>
      </x:c>
      <x:c r="J28" s="14" t="n">
        <x:f>(G28-G28)/ABS(G28)</x:f>
        <x:v>0</x:v>
      </x:c>
      <x:c r="K28" s="14" t="n">
        <x:f>1-H28/H28</x:f>
        <x:v>0</x:v>
      </x:c>
      <x:c r="L28" s="2" t="n">
        <x:v>1</x:v>
      </x:c>
      <x:c r="M28" s="2" t="n">
        <x:v>1</x:v>
      </x:c>
      <x:c r="N28" s="16" t="n">
        <x:v>0</x:v>
      </x:c>
    </x:row>
    <x:row r="29" ht="23" customHeight="1">
      <x:c r="A29" s="9" t="n">
        <x:v>0</x:v>
      </x:c>
      <x:c r="B29" s="9" t="n">
        <x:v>0</x:v>
      </x:c>
      <x:c r="C29" s="9" t="str">
        <x:v>2035-05-28_0</x:v>
      </x:c>
      <x:c r="D29" s="9" t="str">
        <x:v>SOFTGNN0</x:v>
      </x:c>
      <x:c r="E29" s="9" t="n">
        <x:v>1</x:v>
      </x:c>
      <x:c r="F29" s="9" t="n">
        <x:v>2017</x:v>
      </x:c>
      <x:c r="G29" s="11" t="n">
        <x:v>1621952.9942626953</x:v>
      </x:c>
      <x:c r="H29" s="11" t="n">
        <x:v>7.809253500025079</x:v>
      </x:c>
      <x:c r="I29" s="13" t="n">
        <x:v>0</x:v>
      </x:c>
      <x:c r="J29" s="15" t="n">
        <x:f>(G29-G28)/ABS(G28)</x:f>
        <x:v>0</x:v>
      </x:c>
      <x:c r="K29" s="15" t="n">
        <x:f>1-H29/H28</x:f>
        <x:v>0.0046765935989357965</x:v>
      </x:c>
      <x:c r="L29" s="9" t="n">
        <x:v>1</x:v>
      </x:c>
      <x:c r="M29" s="9" t="n">
        <x:v>1</x:v>
      </x:c>
      <x:c r="N29" s="17" t="n">
        <x:v>0</x:v>
      </x:c>
    </x:row>
    <x:row r="30" ht="23" customHeight="1">
      <x:c r="A30" s="2" t="n">
        <x:v>0</x:v>
      </x:c>
      <x:c r="B30" s="2" t="n">
        <x:v>0</x:v>
      </x:c>
      <x:c r="C30" s="2" t="str">
        <x:v>2035-06-04_6</x:v>
      </x:c>
      <x:c r="D30" s="2" t="str">
        <x:v>LOCAL_PPO</x:v>
      </x:c>
      <x:c r="E30" s="2" t="n">
        <x:v>1</x:v>
      </x:c>
      <x:c r="F30" s="2" t="n">
        <x:v>2017</x:v>
      </x:c>
      <x:c r="G30" s="10" t="n">
        <x:v>1730516.9721679688</x:v>
      </x:c>
      <x:c r="H30" s="10" t="n">
        <x:v>39.940138699930685</x:v>
      </x:c>
      <x:c r="I30" s="12" t="n">
        <x:v>1650</x:v>
      </x:c>
      <x:c r="J30" s="14" t="n">
        <x:f>(G30-G35)/ABS(G35)</x:f>
        <x:v>-0.0017443946275142077</x:v>
      </x:c>
      <x:c r="K30" s="14" t="n">
        <x:f>1-H30/H35</x:f>
        <x:v>0.18580169850229422</x:v>
      </x:c>
      <x:c r="L30" s="2" t="n">
        <x:v>1</x:v>
      </x:c>
      <x:c r="M30" s="2" t="n">
        <x:v>1</x:v>
      </x:c>
      <x:c r="N30" s="16" t="n">
        <x:v>5.276147099997615</x:v>
      </x:c>
    </x:row>
    <x:row r="31" ht="23" customHeight="1">
      <x:c r="A31" s="9" t="n">
        <x:v>0</x:v>
      </x:c>
      <x:c r="B31" s="9" t="n">
        <x:v>0</x:v>
      </x:c>
      <x:c r="C31" s="9" t="str">
        <x:v>2035-06-04_6</x:v>
      </x:c>
      <x:c r="D31" s="9" t="str">
        <x:v>COMPRESSED_GNN0</x:v>
      </x:c>
      <x:c r="E31" s="9" t="n">
        <x:v>1</x:v>
      </x:c>
      <x:c r="F31" s="9" t="n">
        <x:v>2017</x:v>
      </x:c>
      <x:c r="G31" s="11" t="n">
        <x:v>1730516.9721679688</x:v>
      </x:c>
      <x:c r="H31" s="11" t="n">
        <x:v>39.99567799983561</x:v>
      </x:c>
      <x:c r="I31" s="13" t="n">
        <x:v>1595</x:v>
      </x:c>
      <x:c r="J31" s="15" t="n">
        <x:f>(G31-G35)/ABS(G35)</x:f>
        <x:v>-0.0017443946275142077</x:v>
      </x:c>
      <x:c r="K31" s="15" t="n">
        <x:f>1-H31/H35</x:f>
        <x:v>0.18466950404526705</x:v>
      </x:c>
      <x:c r="L31" s="9" t="n">
        <x:v>1</x:v>
      </x:c>
      <x:c r="M31" s="9" t="n">
        <x:v>1</x:v>
      </x:c>
      <x:c r="N31" s="17" t="n">
        <x:v>4.7364353999982995</x:v>
      </x:c>
    </x:row>
    <x:row r="32" ht="23" customHeight="1">
      <x:c r="A32" s="2" t="n">
        <x:v>0</x:v>
      </x:c>
      <x:c r="B32" s="2" t="n">
        <x:v>0</x:v>
      </x:c>
      <x:c r="C32" s="2" t="str">
        <x:v>2035-06-04_6</x:v>
      </x:c>
      <x:c r="D32" s="2" t="str">
        <x:v>COMPRESSED_GNN1</x:v>
      </x:c>
      <x:c r="E32" s="2" t="n">
        <x:v>1</x:v>
      </x:c>
      <x:c r="F32" s="2" t="n">
        <x:v>2017</x:v>
      </x:c>
      <x:c r="G32" s="10" t="n">
        <x:v>1730516.9721679688</x:v>
      </x:c>
      <x:c r="H32" s="10" t="n">
        <x:v>40.064422800121974</x:v>
      </x:c>
      <x:c r="I32" s="12" t="n">
        <x:v>1606</x:v>
      </x:c>
      <x:c r="J32" s="14" t="n">
        <x:f>(G32-G35)/ABS(G35)</x:f>
        <x:v>-0.0017443946275142077</x:v>
      </x:c>
      <x:c r="K32" s="14" t="n">
        <x:f>1-H32/H35</x:f>
        <x:v>0.18326810932176663</x:v>
      </x:c>
      <x:c r="L32" s="2" t="n">
        <x:v>1</x:v>
      </x:c>
      <x:c r="M32" s="2" t="n">
        <x:v>1</x:v>
      </x:c>
      <x:c r="N32" s="16" t="n">
        <x:v>4.730207299999165</x:v>
      </x:c>
    </x:row>
    <x:row r="33" ht="23" customHeight="1">
      <x:c r="A33" s="9" t="n">
        <x:v>0</x:v>
      </x:c>
      <x:c r="B33" s="9" t="n">
        <x:v>0</x:v>
      </x:c>
      <x:c r="C33" s="9" t="str">
        <x:v>2035-06-04_6</x:v>
      </x:c>
      <x:c r="D33" s="9" t="str">
        <x:v>LOCAL_GNN0</x:v>
      </x:c>
      <x:c r="E33" s="9" t="n">
        <x:v>1</x:v>
      </x:c>
      <x:c r="F33" s="9" t="n">
        <x:v>2017</x:v>
      </x:c>
      <x:c r="G33" s="11" t="n">
        <x:v>1730516.9721679688</x:v>
      </x:c>
      <x:c r="H33" s="11" t="n">
        <x:v>40.35219150006742</x:v>
      </x:c>
      <x:c r="I33" s="13" t="n">
        <x:v>1610</x:v>
      </x:c>
      <x:c r="J33" s="15" t="n">
        <x:f>(G33-G35)/ABS(G35)</x:f>
        <x:v>-0.0017443946275142077</x:v>
      </x:c>
      <x:c r="K33" s="15" t="n">
        <x:f>1-H33/H35</x:f>
        <x:v>0.17740181054699067</x:v>
      </x:c>
      <x:c r="L33" s="9" t="n">
        <x:v>1</x:v>
      </x:c>
      <x:c r="M33" s="9" t="n">
        <x:v>1</x:v>
      </x:c>
      <x:c r="N33" s="17" t="n">
        <x:v>4.809364099997765</x:v>
      </x:c>
    </x:row>
    <x:row r="34" ht="23" customHeight="1">
      <x:c r="A34" s="2" t="n">
        <x:v>0</x:v>
      </x:c>
      <x:c r="B34" s="2" t="n">
        <x:v>0</x:v>
      </x:c>
      <x:c r="C34" s="2" t="str">
        <x:v>2035-06-04_6</x:v>
      </x:c>
      <x:c r="D34" s="2" t="str">
        <x:v>LOCAL_GNN1</x:v>
      </x:c>
      <x:c r="E34" s="2" t="n">
        <x:v>1</x:v>
      </x:c>
      <x:c r="F34" s="2" t="n">
        <x:v>2017</x:v>
      </x:c>
      <x:c r="G34" s="10" t="n">
        <x:v>1730516.9721679688</x:v>
      </x:c>
      <x:c r="H34" s="10" t="n">
        <x:v>39.7828249999875</x:v>
      </x:c>
      <x:c r="I34" s="12" t="n">
        <x:v>1583</x:v>
      </x:c>
      <x:c r="J34" s="14" t="n">
        <x:f>(G34-G35)/ABS(G35)</x:f>
        <x:v>-0.0017443946275142077</x:v>
      </x:c>
      <x:c r="K34" s="14" t="n">
        <x:f>1-H34/H35</x:f>
        <x:v>0.1890086114341285</x:v>
      </x:c>
      <x:c r="L34" s="2" t="n">
        <x:v>1</x:v>
      </x:c>
      <x:c r="M34" s="2" t="n">
        <x:v>1</x:v>
      </x:c>
      <x:c r="N34" s="16" t="n">
        <x:v>4.666481700001896</x:v>
      </x:c>
    </x:row>
    <x:row r="35" ht="23" customHeight="1">
      <x:c r="A35" s="9" t="n">
        <x:v>0</x:v>
      </x:c>
      <x:c r="B35" s="9" t="n">
        <x:v>0</x:v>
      </x:c>
      <x:c r="C35" s="9" t="str">
        <x:v>2035-06-04_6</x:v>
      </x:c>
      <x:c r="D35" s="9" t="str">
        <x:v>FULL</x:v>
      </x:c>
      <x:c r="E35" s="9" t="n">
        <x:v>1</x:v>
      </x:c>
      <x:c r="F35" s="9" t="n">
        <x:v>2017</x:v>
      </x:c>
      <x:c r="G35" s="11" t="n">
        <x:v>1733540.9516906738</x:v>
      </x:c>
      <x:c r="H35" s="11" t="n">
        <x:v>49.05455909999</x:v>
      </x:c>
      <x:c r="I35" s="13" t="n">
        <x:v>4526</x:v>
      </x:c>
      <x:c r="J35" s="15" t="n">
        <x:f>(G35-G35)/ABS(G35)</x:f>
        <x:v>0</x:v>
      </x:c>
      <x:c r="K35" s="15" t="n">
        <x:f>1-H35/H35</x:f>
        <x:v>0</x:v>
      </x:c>
      <x:c r="L35" s="9" t="n">
        <x:v>1</x:v>
      </x:c>
      <x:c r="M35" s="9" t="n">
        <x:v>1</x:v>
      </x:c>
      <x:c r="N35" s="17" t="n">
        <x:v>11.711044499999844</x:v>
      </x:c>
    </x:row>
    <x:row r="36" ht="23" customHeight="1">
      <x:c r="A36" s="2" t="n">
        <x:v>0</x:v>
      </x:c>
      <x:c r="B36" s="2" t="n">
        <x:v>0</x:v>
      </x:c>
      <x:c r="C36" s="2" t="str">
        <x:v>2035-06-04_6</x:v>
      </x:c>
      <x:c r="D36" s="2" t="str">
        <x:v>SOFTGNN0</x:v>
      </x:c>
      <x:c r="E36" s="2" t="n">
        <x:v>1</x:v>
      </x:c>
      <x:c r="F36" s="2" t="n">
        <x:v>2017</x:v>
      </x:c>
      <x:c r="G36" s="10" t="n">
        <x:v>1733540.9516906738</x:v>
      </x:c>
      <x:c r="H36" s="10" t="n">
        <x:v>42.79042349987867</x:v>
      </x:c>
      <x:c r="I36" s="12" t="n">
        <x:v>2129</x:v>
      </x:c>
      <x:c r="J36" s="14" t="n">
        <x:f>(G36-G35)/ABS(G35)</x:f>
        <x:v>0</x:v>
      </x:c>
      <x:c r="K36" s="14" t="n">
        <x:f>1-H36/H35</x:f>
        <x:v>0.1276973173348246</x:v>
      </x:c>
      <x:c r="L36" s="2" t="n">
        <x:v>1</x:v>
      </x:c>
      <x:c r="M36" s="2" t="n">
        <x:v>1</x:v>
      </x:c>
      <x:c r="N36" s="16" t="n">
        <x:v>5.901886299998296</x:v>
      </x:c>
    </x:row>
    <x:row r="37" ht="23" customHeight="1">
      <x:c r="A37" s="9" t="n">
        <x:v>0</x:v>
      </x:c>
      <x:c r="B37" s="9" t="n">
        <x:v>0</x:v>
      </x:c>
      <x:c r="C37" s="9" t="str">
        <x:v>2035-06-04_6</x:v>
      </x:c>
      <x:c r="D37" s="9" t="str">
        <x:v>SOFTGNN1</x:v>
      </x:c>
      <x:c r="E37" s="9" t="n">
        <x:v>1</x:v>
      </x:c>
      <x:c r="F37" s="9" t="n">
        <x:v>2017</x:v>
      </x:c>
      <x:c r="G37" s="11" t="n">
        <x:v>1662911.2288513184</x:v>
      </x:c>
      <x:c r="H37" s="11" t="n">
        <x:v>39.20716060009727</x:v>
      </x:c>
      <x:c r="I37" s="13" t="n">
        <x:v>1808</x:v>
      </x:c>
      <x:c r="J37" s="15" t="n">
        <x:f>(G37-G35)/ABS(G35)</x:f>
        <x:v>-0.040743036829024595</x:v>
      </x:c>
      <x:c r="K37" s="15" t="n">
        <x:f>1-H37/H35</x:f>
        <x:v>0.20074379793772812</x:v>
      </x:c>
      <x:c r="L37" s="9" t="n">
        <x:v>1</x:v>
      </x:c>
      <x:c r="M37" s="9" t="n">
        <x:v>1</x:v>
      </x:c>
      <x:c r="N37" s="17" t="n">
        <x:v>5.0198107000069285</x:v>
      </x:c>
    </x:row>
    <x:row r="38" ht="23" customHeight="1">
      <x:c r="A38" s="2" t="n">
        <x:v>0</x:v>
      </x:c>
      <x:c r="B38" s="2" t="n">
        <x:v>0</x:v>
      </x:c>
      <x:c r="C38" s="2" t="str">
        <x:v>2035-07-30_12</x:v>
      </x:c>
      <x:c r="D38" s="2" t="str">
        <x:v>COMPRESSED_GNN0</x:v>
      </x:c>
      <x:c r="E38" s="2" t="n">
        <x:v>1</x:v>
      </x:c>
      <x:c r="F38" s="2" t="n">
        <x:v>2017</x:v>
      </x:c>
      <x:c r="G38" s="10" t="n">
        <x:v>1067349.4080047607</x:v>
      </x:c>
      <x:c r="H38" s="10" t="n">
        <x:v>45.741334900001675</x:v>
      </x:c>
      <x:c r="I38" s="12" t="n">
        <x:v>1024</x:v>
      </x:c>
      <x:c r="J38" s="14" t="n">
        <x:f>(G38-G42)/ABS(G42)</x:f>
        <x:v>-0.0028221622723357564</x:v>
      </x:c>
      <x:c r="K38" s="14" t="n">
        <x:f>1-H38/H42</x:f>
        <x:v>0.25896230183066726</x:v>
      </x:c>
      <x:c r="L38" s="2" t="n">
        <x:v>1</x:v>
      </x:c>
      <x:c r="M38" s="2" t="n">
        <x:v>1</x:v>
      </x:c>
      <x:c r="N38" s="16" t="n">
        <x:v>4.117030599998543</x:v>
      </x:c>
    </x:row>
    <x:row r="39" ht="23" customHeight="1">
      <x:c r="A39" s="9" t="n">
        <x:v>0</x:v>
      </x:c>
      <x:c r="B39" s="9" t="n">
        <x:v>0</x:v>
      </x:c>
      <x:c r="C39" s="9" t="str">
        <x:v>2035-07-30_12</x:v>
      </x:c>
      <x:c r="D39" s="9" t="str">
        <x:v>COMPRESSED_GNN1</x:v>
      </x:c>
      <x:c r="E39" s="9" t="n">
        <x:v>1</x:v>
      </x:c>
      <x:c r="F39" s="9" t="n">
        <x:v>2017</x:v>
      </x:c>
      <x:c r="G39" s="11" t="n">
        <x:v>1067349.4080047607</x:v>
      </x:c>
      <x:c r="H39" s="11" t="n">
        <x:v>45.500136800117616</x:v>
      </x:c>
      <x:c r="I39" s="13" t="n">
        <x:v>1024</x:v>
      </x:c>
      <x:c r="J39" s="15" t="n">
        <x:f>(G39-G42)/ABS(G42)</x:f>
        <x:v>-0.0028221622723357564</x:v>
      </x:c>
      <x:c r="K39" s="15" t="n">
        <x:f>1-H39/H42</x:f>
        <x:v>0.2628698590790871</x:v>
      </x:c>
      <x:c r="L39" s="9" t="n">
        <x:v>1</x:v>
      </x:c>
      <x:c r="M39" s="9" t="n">
        <x:v>1</x:v>
      </x:c>
      <x:c r="N39" s="17" t="n">
        <x:v>4.117553999996744</x:v>
      </x:c>
    </x:row>
    <x:row r="40" ht="23" customHeight="1">
      <x:c r="A40" s="2" t="n">
        <x:v>0</x:v>
      </x:c>
      <x:c r="B40" s="2" t="n">
        <x:v>0</x:v>
      </x:c>
      <x:c r="C40" s="2" t="str">
        <x:v>2035-07-30_12</x:v>
      </x:c>
      <x:c r="D40" s="2" t="str">
        <x:v>LOCAL_GNN0</x:v>
      </x:c>
      <x:c r="E40" s="2" t="n">
        <x:v>1</x:v>
      </x:c>
      <x:c r="F40" s="2" t="n">
        <x:v>2017</x:v>
      </x:c>
      <x:c r="G40" s="10" t="n">
        <x:v>1067164.088546753</x:v>
      </x:c>
      <x:c r="H40" s="10" t="n">
        <x:v>45.15618079994965</x:v>
      </x:c>
      <x:c r="I40" s="12" t="n">
        <x:v>1024</x:v>
      </x:c>
      <x:c r="J40" s="14" t="n">
        <x:f>(G40-G42)/ABS(G42)</x:f>
        <x:v>-0.002995298131164348</x:v>
      </x:c>
      <x:c r="K40" s="14" t="n">
        <x:f>1-H40/H42</x:f>
        <x:v>0.2684421573776221</x:v>
      </x:c>
      <x:c r="L40" s="2" t="n">
        <x:v>1</x:v>
      </x:c>
      <x:c r="M40" s="2" t="n">
        <x:v>1</x:v>
      </x:c>
      <x:c r="N40" s="16" t="n">
        <x:v>4.080264699998224</x:v>
      </x:c>
    </x:row>
    <x:row r="41" ht="23" customHeight="1">
      <x:c r="A41" s="9" t="n">
        <x:v>0</x:v>
      </x:c>
      <x:c r="B41" s="9" t="n">
        <x:v>0</x:v>
      </x:c>
      <x:c r="C41" s="9" t="str">
        <x:v>2035-07-30_12</x:v>
      </x:c>
      <x:c r="D41" s="9" t="str">
        <x:v>LOCAL_GNN1</x:v>
      </x:c>
      <x:c r="E41" s="9" t="n">
        <x:v>1</x:v>
      </x:c>
      <x:c r="F41" s="9" t="n">
        <x:v>2017</x:v>
      </x:c>
      <x:c r="G41" s="11" t="n">
        <x:v>1067164.088546753</x:v>
      </x:c>
      <x:c r="H41" s="11" t="n">
        <x:v>45.162576299975626</x:v>
      </x:c>
      <x:c r="I41" s="13" t="n">
        <x:v>1024</x:v>
      </x:c>
      <x:c r="J41" s="15" t="n">
        <x:f>(G41-G42)/ABS(G42)</x:f>
        <x:v>-0.002995298131164348</x:v>
      </x:c>
      <x:c r="K41" s="15" t="n">
        <x:f>1-H41/H42</x:f>
        <x:v>0.26833854635209675</x:v>
      </x:c>
      <x:c r="L41" s="9" t="n">
        <x:v>1</x:v>
      </x:c>
      <x:c r="M41" s="9" t="n">
        <x:v>1</x:v>
      </x:c>
      <x:c r="N41" s="17" t="n">
        <x:v>4.0566372000103</x:v>
      </x:c>
    </x:row>
    <x:row r="42" ht="23" customHeight="1">
      <x:c r="A42" s="2" t="n">
        <x:v>0</x:v>
      </x:c>
      <x:c r="B42" s="2" t="n">
        <x:v>0</x:v>
      </x:c>
      <x:c r="C42" s="2" t="str">
        <x:v>2035-07-30_12</x:v>
      </x:c>
      <x:c r="D42" s="2" t="str">
        <x:v>FULL</x:v>
      </x:c>
      <x:c r="E42" s="2" t="n">
        <x:v>1</x:v>
      </x:c>
      <x:c r="F42" s="2" t="n">
        <x:v>2017</x:v>
      </x:c>
      <x:c r="G42" s="10" t="n">
        <x:v>1070370.166305542</x:v>
      </x:c>
      <x:c r="H42" s="10" t="n">
        <x:v>61.7260566000914</x:v>
      </x:c>
      <x:c r="I42" s="12" t="n">
        <x:v>7240</x:v>
      </x:c>
      <x:c r="J42" s="14" t="n">
        <x:f>(G42-G42)/ABS(G42)</x:f>
        <x:v>0</x:v>
      </x:c>
      <x:c r="K42" s="14" t="n">
        <x:f>1-H42/H42</x:f>
        <x:v>0</x:v>
      </x:c>
      <x:c r="L42" s="2" t="n">
        <x:v>1</x:v>
      </x:c>
      <x:c r="M42" s="2" t="n">
        <x:v>1</x:v>
      </x:c>
      <x:c r="N42" s="16" t="n">
        <x:v>19.992690699997183</x:v>
      </x:c>
    </x:row>
    <x:row r="43" ht="23" customHeight="1">
      <x:c r="A43" s="9" t="n">
        <x:v>0</x:v>
      </x:c>
      <x:c r="B43" s="9" t="n">
        <x:v>0</x:v>
      </x:c>
      <x:c r="C43" s="9" t="str">
        <x:v>2035-07-30_12</x:v>
      </x:c>
      <x:c r="D43" s="9" t="str">
        <x:v>SOFTGNN0</x:v>
      </x:c>
      <x:c r="E43" s="9" t="n">
        <x:v>1</x:v>
      </x:c>
      <x:c r="F43" s="9" t="n">
        <x:v>2017</x:v>
      </x:c>
      <x:c r="G43" s="11" t="n">
        <x:v>1072264.278213501</x:v>
      </x:c>
      <x:c r="H43" s="11" t="n">
        <x:v>45.599914199912746</x:v>
      </x:c>
      <x:c r="I43" s="13" t="n">
        <x:v>1024</x:v>
      </x:c>
      <x:c r="J43" s="15" t="n">
        <x:f>(G43-G42)/ABS(G42)</x:f>
        <x:v>0.001769585856915879</x:v>
      </x:c>
      <x:c r="K43" s="15" t="n">
        <x:f>1-H43/H42</x:f>
        <x:v>0.2612534039661101</x:v>
      </x:c>
      <x:c r="L43" s="9" t="n">
        <x:v>1</x:v>
      </x:c>
      <x:c r="M43" s="9" t="n">
        <x:v>1</x:v>
      </x:c>
      <x:c r="N43" s="17" t="n">
        <x:v>3.733071499998914</x:v>
      </x:c>
    </x:row>
    <x:row r="44" ht="23" customHeight="1">
      <x:c r="A44" s="2" t="n">
        <x:v>0</x:v>
      </x:c>
      <x:c r="B44" s="2" t="n">
        <x:v>0</x:v>
      </x:c>
      <x:c r="C44" s="2" t="str">
        <x:v>2035-07-30_12</x:v>
      </x:c>
      <x:c r="D44" s="2" t="str">
        <x:v>SOFTGNN1</x:v>
      </x:c>
      <x:c r="E44" s="2" t="n">
        <x:v>1</x:v>
      </x:c>
      <x:c r="F44" s="2" t="n">
        <x:v>2017</x:v>
      </x:c>
      <x:c r="G44" s="10" t="n">
        <x:v>1070370.166305542</x:v>
      </x:c>
      <x:c r="H44" s="10" t="n">
        <x:v>44.950523999956204</x:v>
      </x:c>
      <x:c r="I44" s="12" t="n">
        <x:v>1024</x:v>
      </x:c>
      <x:c r="J44" s="14" t="n">
        <x:f>(G44-G42)/ABS(G42)</x:f>
        <x:v>0</x:v>
      </x:c>
      <x:c r="K44" s="14" t="n">
        <x:f>1-H44/H42</x:f>
        <x:v>0.27177392375508325</x:v>
      </x:c>
      <x:c r="L44" s="2" t="n">
        <x:v>1</x:v>
      </x:c>
      <x:c r="M44" s="2" t="n">
        <x:v>1</x:v>
      </x:c>
      <x:c r="N44" s="16" t="n">
        <x:v>3.7261136999950395</x:v>
      </x:c>
    </x:row>
    <x:row r="45" ht="23" customHeight="1">
      <x:c r="A45" s="9" t="n">
        <x:v>0</x:v>
      </x:c>
      <x:c r="B45" s="9" t="n">
        <x:v>0</x:v>
      </x:c>
      <x:c r="C45" s="9" t="str">
        <x:v>2035-07-30_12</x:v>
      </x:c>
      <x:c r="D45" s="9" t="str">
        <x:v>LOCAL_PPO</x:v>
      </x:c>
      <x:c r="E45" s="9" t="n">
        <x:v>1</x:v>
      </x:c>
      <x:c r="F45" s="9" t="n">
        <x:v>2017</x:v>
      </x:c>
      <x:c r="G45" s="11" t="n">
        <x:v>1067228.7969818115</x:v>
      </x:c>
      <x:c r="H45" s="11" t="n">
        <x:v>46.221387799898366</x:v>
      </x:c>
      <x:c r="I45" s="13" t="n">
        <x:v>1152</x:v>
      </x:c>
      <x:c r="J45" s="15" t="n">
        <x:f>(G45-G42)/ABS(G42)</x:f>
        <x:v>-0.0029348438723522407</x:v>
      </x:c>
      <x:c r="K45" s="15" t="n">
        <x:f>1-H45/H42</x:f>
        <x:v>0.2511851502298962</x:v>
      </x:c>
      <x:c r="L45" s="9" t="n">
        <x:v>1</x:v>
      </x:c>
      <x:c r="M45" s="9" t="n">
        <x:v>1</x:v>
      </x:c>
      <x:c r="N45" s="17" t="n">
        <x:v>4.504361599996628</x:v>
      </x:c>
    </x:row>
    <x:row r="46" ht="23" customHeight="1">
      <x:c r="A46" s="2" t="n">
        <x:v>0</x:v>
      </x:c>
      <x:c r="B46" s="2" t="n">
        <x:v>0</x:v>
      </x:c>
      <x:c r="C46" s="2" t="str">
        <x:v>2035-09-24_4</x:v>
      </x:c>
      <x:c r="D46" s="2" t="str">
        <x:v>COMPRESSED_GNN1</x:v>
      </x:c>
      <x:c r="E46" s="2" t="n">
        <x:v>1</x:v>
      </x:c>
      <x:c r="F46" s="2" t="n">
        <x:v>2017</x:v>
      </x:c>
      <x:c r="G46" s="10" t="n">
        <x:v>1342405.4433441162</x:v>
      </x:c>
      <x:c r="H46" s="10" t="n">
        <x:v>24.58354849999887</x:v>
      </x:c>
      <x:c r="I46" s="12" t="n">
        <x:v>1024</x:v>
      </x:c>
      <x:c r="J46" s="14" t="n">
        <x:f>(G46-G49)/ABS(G49)</x:f>
        <x:v>-0.0001712863559308632</x:v>
      </x:c>
      <x:c r="K46" s="14" t="n">
        <x:f>1-H46/H49</x:f>
        <x:v>0.3527484363745711</x:v>
      </x:c>
      <x:c r="L46" s="2" t="n">
        <x:v>1</x:v>
      </x:c>
      <x:c r="M46" s="2" t="n">
        <x:v>1</x:v>
      </x:c>
      <x:c r="N46" s="16" t="n">
        <x:v>3.7484140999986266</x:v>
      </x:c>
    </x:row>
    <x:row r="47" ht="23" customHeight="1">
      <x:c r="A47" s="9" t="n">
        <x:v>0</x:v>
      </x:c>
      <x:c r="B47" s="9" t="n">
        <x:v>0</x:v>
      </x:c>
      <x:c r="C47" s="9" t="str">
        <x:v>2035-09-24_4</x:v>
      </x:c>
      <x:c r="D47" s="9" t="str">
        <x:v>LOCAL_GNN0</x:v>
      </x:c>
      <x:c r="E47" s="9" t="n">
        <x:v>1</x:v>
      </x:c>
      <x:c r="F47" s="9" t="n">
        <x:v>2017</x:v>
      </x:c>
      <x:c r="G47" s="11" t="n">
        <x:v>1342498.2954559326</x:v>
      </x:c>
      <x:c r="H47" s="11" t="n">
        <x:v>24.440879300029337</x:v>
      </x:c>
      <x:c r="I47" s="13" t="n">
        <x:v>1024</x:v>
      </x:c>
      <x:c r="J47" s="15" t="n">
        <x:f>(G47-G49)/ABS(G49)</x:f>
        <x:v>-0.00010212974756277955</x:v>
      </x:c>
      <x:c r="K47" s="15" t="n">
        <x:f>1-H47/H49</x:f>
        <x:v>0.3565047233386549</x:v>
      </x:c>
      <x:c r="L47" s="9" t="n">
        <x:v>1</x:v>
      </x:c>
      <x:c r="M47" s="9" t="n">
        <x:v>1</x:v>
      </x:c>
      <x:c r="N47" s="17" t="n">
        <x:v>3.61037309999665</x:v>
      </x:c>
    </x:row>
    <x:row r="48" ht="23" customHeight="1">
      <x:c r="A48" s="2" t="n">
        <x:v>0</x:v>
      </x:c>
      <x:c r="B48" s="2" t="n">
        <x:v>0</x:v>
      </x:c>
      <x:c r="C48" s="2" t="str">
        <x:v>2035-09-24_4</x:v>
      </x:c>
      <x:c r="D48" s="2" t="str">
        <x:v>LOCAL_GNN1</x:v>
      </x:c>
      <x:c r="E48" s="2" t="n">
        <x:v>1</x:v>
      </x:c>
      <x:c r="F48" s="2" t="n">
        <x:v>2017</x:v>
      </x:c>
      <x:c r="G48" s="10" t="n">
        <x:v>1342293.062789917</x:v>
      </x:c>
      <x:c r="H48" s="10" t="n">
        <x:v>24.33868990015253</x:v>
      </x:c>
      <x:c r="I48" s="12" t="n">
        <x:v>1024</x:v>
      </x:c>
      <x:c r="J48" s="14" t="n">
        <x:f>(G48-G49)/ABS(G49)</x:f>
        <x:v>-0.00025498782295092017</x:v>
      </x:c>
      <x:c r="K48" s="14" t="n">
        <x:f>1-H48/H49</x:f>
        <x:v>0.3591952319467271</x:v>
      </x:c>
      <x:c r="L48" s="2" t="n">
        <x:v>1</x:v>
      </x:c>
      <x:c r="M48" s="2" t="n">
        <x:v>1</x:v>
      </x:c>
      <x:c r="N48" s="16" t="n">
        <x:v>3.6185363000004145</x:v>
      </x:c>
    </x:row>
    <x:row r="49" ht="23" customHeight="1">
      <x:c r="A49" s="9" t="n">
        <x:v>0</x:v>
      </x:c>
      <x:c r="B49" s="9" t="n">
        <x:v>0</x:v>
      </x:c>
      <x:c r="C49" s="9" t="str">
        <x:v>2035-09-24_4</x:v>
      </x:c>
      <x:c r="D49" s="9" t="str">
        <x:v>FULL</x:v>
      </x:c>
      <x:c r="E49" s="9" t="n">
        <x:v>1</x:v>
      </x:c>
      <x:c r="F49" s="9" t="n">
        <x:v>2017</x:v>
      </x:c>
      <x:c r="G49" s="11" t="n">
        <x:v>1342635.41847229</x:v>
      </x:c>
      <x:c r="H49" s="11" t="n">
        <x:v>37.981443200074864</x:v>
      </x:c>
      <x:c r="I49" s="13" t="n">
        <x:v>7211</x:v>
      </x:c>
      <x:c r="J49" s="15" t="n">
        <x:f>(G49-G49)/ABS(G49)</x:f>
        <x:v>0</x:v>
      </x:c>
      <x:c r="K49" s="15" t="n">
        <x:f>1-H49/H49</x:f>
        <x:v>0</x:v>
      </x:c>
      <x:c r="L49" s="9" t="n">
        <x:v>1</x:v>
      </x:c>
      <x:c r="M49" s="9" t="n">
        <x:v>1</x:v>
      </x:c>
      <x:c r="N49" s="17" t="n">
        <x:v>17.524094199998217</x:v>
      </x:c>
    </x:row>
    <x:row r="50" ht="23" customHeight="1">
      <x:c r="A50" s="2" t="n">
        <x:v>0</x:v>
      </x:c>
      <x:c r="B50" s="2" t="n">
        <x:v>0</x:v>
      </x:c>
      <x:c r="C50" s="2" t="str">
        <x:v>2035-09-24_4</x:v>
      </x:c>
      <x:c r="D50" s="2" t="str">
        <x:v>SOFTGNN0</x:v>
      </x:c>
      <x:c r="E50" s="2" t="n">
        <x:v>1</x:v>
      </x:c>
      <x:c r="F50" s="2" t="n">
        <x:v>2017</x:v>
      </x:c>
      <x:c r="G50" s="10" t="n">
        <x:v>1342807.0201568604</x:v>
      </x:c>
      <x:c r="H50" s="10" t="n">
        <x:v>23.95625920006205</x:v>
      </x:c>
      <x:c r="I50" s="12" t="n">
        <x:v>1024</x:v>
      </x:c>
      <x:c r="J50" s="14" t="n">
        <x:f>(G50-G49)/ABS(G49)</x:f>
        <x:v>0.00012780959165040388</x:v>
      </x:c>
      <x:c r="K50" s="14" t="n">
        <x:f>1-H50/H49</x:f>
        <x:v>0.3692641147449913</x:v>
      </x:c>
      <x:c r="L50" s="2" t="n">
        <x:v>1</x:v>
      </x:c>
      <x:c r="M50" s="2" t="n">
        <x:v>1</x:v>
      </x:c>
      <x:c r="N50" s="16" t="n">
        <x:v>3.394585599999118</x:v>
      </x:c>
    </x:row>
    <x:row r="51" ht="23" customHeight="1">
      <x:c r="A51" s="9" t="n">
        <x:v>0</x:v>
      </x:c>
      <x:c r="B51" s="9" t="n">
        <x:v>0</x:v>
      </x:c>
      <x:c r="C51" s="9" t="str">
        <x:v>2035-09-24_4</x:v>
      </x:c>
      <x:c r="D51" s="9" t="str">
        <x:v>SOFTGNN1</x:v>
      </x:c>
      <x:c r="E51" s="9" t="n">
        <x:v>1</x:v>
      </x:c>
      <x:c r="F51" s="9" t="n">
        <x:v>2017</x:v>
      </x:c>
      <x:c r="G51" s="11" t="n">
        <x:v>1344903.5353546143</x:v>
      </x:c>
      <x:c r="H51" s="11" t="n">
        <x:v>24.095870500092133</x:v>
      </x:c>
      <x:c r="I51" s="13" t="n">
        <x:v>1024</x:v>
      </x:c>
      <x:c r="J51" s="15" t="n">
        <x:f>(G51-G49)/ABS(G49)</x:f>
        <x:v>0.0016893021375117472</x:v>
      </x:c>
      <x:c r="K51" s="15" t="n">
        <x:f>1-H51/H49</x:f>
        <x:v>0.36558833814812397</x:v>
      </x:c>
      <x:c r="L51" s="9" t="n">
        <x:v>1</x:v>
      </x:c>
      <x:c r="M51" s="9" t="n">
        <x:v>1</x:v>
      </x:c>
      <x:c r="N51" s="17" t="n">
        <x:v>3.3677115999962552</x:v>
      </x:c>
    </x:row>
    <x:row r="52" ht="23" customHeight="1">
      <x:c r="A52" s="2" t="n">
        <x:v>0</x:v>
      </x:c>
      <x:c r="B52" s="2" t="n">
        <x:v>0</x:v>
      </x:c>
      <x:c r="C52" s="2" t="str">
        <x:v>2035-09-24_4</x:v>
      </x:c>
      <x:c r="D52" s="2" t="str">
        <x:v>LOCAL_PPO</x:v>
      </x:c>
      <x:c r="E52" s="2" t="n">
        <x:v>1</x:v>
      </x:c>
      <x:c r="F52" s="2" t="n">
        <x:v>2017</x:v>
      </x:c>
      <x:c r="G52" s="10" t="n">
        <x:v>1339023.6539764404</x:v>
      </x:c>
      <x:c r="H52" s="10" t="n">
        <x:v>24.82619129996965</x:v>
      </x:c>
      <x:c r="I52" s="12" t="n">
        <x:v>1024</x:v>
      </x:c>
      <x:c r="J52" s="14" t="n">
        <x:f>(G52-G49)/ABS(G49)</x:f>
        <x:v>-0.002690056024262517</x:v>
      </x:c>
      <x:c r="K52" s="14" t="n">
        <x:f>1-H52/H49</x:f>
        <x:v>0.3463599798145449</x:v>
      </x:c>
      <x:c r="L52" s="2" t="n">
        <x:v>1</x:v>
      </x:c>
      <x:c r="M52" s="2" t="n">
        <x:v>1</x:v>
      </x:c>
      <x:c r="N52" s="16" t="n">
        <x:v>3.9355255999944347</x:v>
      </x:c>
    </x:row>
    <x:row r="53" ht="23" customHeight="1">
      <x:c r="A53" s="9" t="n">
        <x:v>0</x:v>
      </x:c>
      <x:c r="B53" s="9" t="n">
        <x:v>0</x:v>
      </x:c>
      <x:c r="C53" s="9" t="str">
        <x:v>2035-09-24_4</x:v>
      </x:c>
      <x:c r="D53" s="9" t="str">
        <x:v>COMPRESSED_GNN0</x:v>
      </x:c>
      <x:c r="E53" s="9" t="n">
        <x:v>1</x:v>
      </x:c>
      <x:c r="F53" s="9" t="n">
        <x:v>2017</x:v>
      </x:c>
      <x:c r="G53" s="11" t="n">
        <x:v>1342635.41847229</x:v>
      </x:c>
      <x:c r="H53" s="11" t="n">
        <x:v>24.403104500055633</x:v>
      </x:c>
      <x:c r="I53" s="13" t="n">
        <x:v>1024</x:v>
      </x:c>
      <x:c r="J53" s="15" t="n">
        <x:f>(G53-G49)/ABS(G49)</x:f>
        <x:v>0</x:v>
      </x:c>
      <x:c r="K53" s="15" t="n">
        <x:f>1-H53/H49</x:f>
        <x:v>0.35749928270215037</x:v>
      </x:c>
      <x:c r="L53" s="9" t="n">
        <x:v>1</x:v>
      </x:c>
      <x:c r="M53" s="9" t="n">
        <x:v>1</x:v>
      </x:c>
      <x:c r="N53" s="17" t="n">
        <x:v>3.6032479999994393</x:v>
      </x:c>
    </x:row>
    <x:row r="54" ht="23" customHeight="1">
      <x:c r="A54" s="2" t="n">
        <x:v>0</x:v>
      </x:c>
      <x:c r="B54" s="2" t="n">
        <x:v>0</x:v>
      </x:c>
      <x:c r="C54" s="2" t="str">
        <x:v>2035-10-15_4</x:v>
      </x:c>
      <x:c r="D54" s="2" t="str">
        <x:v>LOCAL_GNN0</x:v>
      </x:c>
      <x:c r="E54" s="2" t="n">
        <x:v>1</x:v>
      </x:c>
      <x:c r="F54" s="2" t="n">
        <x:v>2017</x:v>
      </x:c>
      <x:c r="G54" s="10" t="n">
        <x:v>2049321.4553222656</x:v>
      </x:c>
      <x:c r="H54" s="10" t="n">
        <x:v>66.92737030002536</x:v>
      </x:c>
      <x:c r="I54" s="12" t="n">
        <x:v>3564</x:v>
      </x:c>
      <x:c r="J54" s="14" t="n">
        <x:f>(G54-G56)/ABS(G56)</x:f>
        <x:v>0.017403612716870926</x:v>
      </x:c>
      <x:c r="K54" s="14" t="n">
        <x:f>1-H54/H56</x:f>
        <x:v>0.3220415145649219</x:v>
      </x:c>
      <x:c r="L54" s="2" t="n">
        <x:v>1</x:v>
      </x:c>
      <x:c r="M54" s="2" t="n">
        <x:v>0</x:v>
      </x:c>
      <x:c r="N54" s="16" t="n">
        <x:v>13.04878109999845</x:v>
      </x:c>
    </x:row>
    <x:row r="55" ht="23" customHeight="1">
      <x:c r="A55" s="9" t="n">
        <x:v>0</x:v>
      </x:c>
      <x:c r="B55" s="9" t="n">
        <x:v>0</x:v>
      </x:c>
      <x:c r="C55" s="9" t="str">
        <x:v>2035-10-15_4</x:v>
      </x:c>
      <x:c r="D55" s="9" t="str">
        <x:v>LOCAL_GNN1</x:v>
      </x:c>
      <x:c r="E55" s="9" t="n">
        <x:v>1</x:v>
      </x:c>
      <x:c r="F55" s="9" t="n">
        <x:v>2017</x:v>
      </x:c>
      <x:c r="G55" s="11" t="n">
        <x:v>2048596.776397705</x:v>
      </x:c>
      <x:c r="H55" s="11" t="n">
        <x:v>67.69127749997278</x:v>
      </x:c>
      <x:c r="I55" s="13" t="n">
        <x:v>3566</x:v>
      </x:c>
      <x:c r="J55" s="15" t="n">
        <x:f>(G55-G56)/ABS(G56)</x:f>
        <x:v>0.017043839508039844</x:v>
      </x:c>
      <x:c r="K55" s="15" t="n">
        <x:f>1-H55/H56</x:f>
        <x:v>0.3143033146929166</x:v>
      </x:c>
      <x:c r="L55" s="9" t="n">
        <x:v>1</x:v>
      </x:c>
      <x:c r="M55" s="9" t="n">
        <x:v>0</x:v>
      </x:c>
      <x:c r="N55" s="17" t="n">
        <x:v>12.646639900001901</x:v>
      </x:c>
    </x:row>
    <x:row r="56" ht="23" customHeight="1">
      <x:c r="A56" s="2" t="n">
        <x:v>0</x:v>
      </x:c>
      <x:c r="B56" s="2" t="n">
        <x:v>0</x:v>
      </x:c>
      <x:c r="C56" s="2" t="str">
        <x:v>2035-10-15_4</x:v>
      </x:c>
      <x:c r="D56" s="2" t="str">
        <x:v>FULL</x:v>
      </x:c>
      <x:c r="E56" s="2" t="n">
        <x:v>1</x:v>
      </x:c>
      <x:c r="F56" s="2" t="n">
        <x:v>2017</x:v>
      </x:c>
      <x:c r="G56" s="10" t="n">
        <x:v>2014265.950805664</x:v>
      </x:c>
      <x:c r="H56" s="10" t="n">
        <x:v>98.7189801999084</x:v>
      </x:c>
      <x:c r="I56" s="12" t="n">
        <x:v>12248</x:v>
      </x:c>
      <x:c r="J56" s="14" t="n">
        <x:f>(G56-G56)/ABS(G56)</x:f>
        <x:v>0</x:v>
      </x:c>
      <x:c r="K56" s="14" t="n">
        <x:f>1-H56/H56</x:f>
        <x:v>0</x:v>
      </x:c>
      <x:c r="L56" s="2" t="n">
        <x:v>1</x:v>
      </x:c>
      <x:c r="M56" s="2" t="n">
        <x:v>1</x:v>
      </x:c>
      <x:c r="N56" s="16" t="n">
        <x:v>37.6726645000017</x:v>
      </x:c>
    </x:row>
    <x:row r="57" ht="23" customHeight="1">
      <x:c r="A57" s="9" t="n">
        <x:v>0</x:v>
      </x:c>
      <x:c r="B57" s="9" t="n">
        <x:v>0</x:v>
      </x:c>
      <x:c r="C57" s="9" t="str">
        <x:v>2035-10-15_4</x:v>
      </x:c>
      <x:c r="D57" s="9" t="str">
        <x:v>SOFTGNN0</x:v>
      </x:c>
      <x:c r="E57" s="9" t="n">
        <x:v>1</x:v>
      </x:c>
      <x:c r="F57" s="9" t="n">
        <x:v>2017</x:v>
      </x:c>
      <x:c r="G57" s="11" t="n">
        <x:v>2008374.360321045</x:v>
      </x:c>
      <x:c r="H57" s="11" t="n">
        <x:v>75.07778730000427</x:v>
      </x:c>
      <x:c r="I57" s="13" t="n">
        <x:v>4294</x:v>
      </x:c>
      <x:c r="J57" s="15" t="n">
        <x:f>(G57-G56)/ABS(G56)</x:f>
        <x:v>-0.0029249317758971343</x:v>
      </x:c>
      <x:c r="K57" s="15" t="n">
        <x:f>1-H57/H56</x:f>
        <x:v>0.23947971152082526</x:v>
      </x:c>
      <x:c r="L57" s="9" t="n">
        <x:v>1</x:v>
      </x:c>
      <x:c r="M57" s="9" t="n">
        <x:v>1</x:v>
      </x:c>
      <x:c r="N57" s="17" t="n">
        <x:v>14.464396000006673</x:v>
      </x:c>
    </x:row>
    <x:row r="58" ht="23" customHeight="1">
      <x:c r="A58" s="2" t="n">
        <x:v>0</x:v>
      </x:c>
      <x:c r="B58" s="2" t="n">
        <x:v>0</x:v>
      </x:c>
      <x:c r="C58" s="2" t="str">
        <x:v>2035-10-15_4</x:v>
      </x:c>
      <x:c r="D58" s="2" t="str">
        <x:v>SOFTGNN1</x:v>
      </x:c>
      <x:c r="E58" s="2" t="n">
        <x:v>1</x:v>
      </x:c>
      <x:c r="F58" s="2" t="n">
        <x:v>2017</x:v>
      </x:c>
      <x:c r="G58" s="10" t="n">
        <x:v>2008376.311553955</x:v>
      </x:c>
      <x:c r="H58" s="10" t="n">
        <x:v>74.89110359998813</x:v>
      </x:c>
      <x:c r="I58" s="12" t="n">
        <x:v>4071</x:v>
      </x:c>
      <x:c r="J58" s="14" t="n">
        <x:f>(G58-G56)/ABS(G56)</x:f>
        <x:v>-0.002923963069203077</x:v>
      </x:c>
      <x:c r="K58" s="14" t="n">
        <x:f>1-H58/H56</x:f>
        <x:v>0.24137077339806623</x:v>
      </x:c>
      <x:c r="L58" s="2" t="n">
        <x:v>1</x:v>
      </x:c>
      <x:c r="M58" s="2" t="n">
        <x:v>1</x:v>
      </x:c>
      <x:c r="N58" s="16" t="n">
        <x:v>13.956158999993932</x:v>
      </x:c>
    </x:row>
    <x:row r="59" ht="23" customHeight="1">
      <x:c r="A59" s="9" t="n">
        <x:v>0</x:v>
      </x:c>
      <x:c r="B59" s="9" t="n">
        <x:v>0</x:v>
      </x:c>
      <x:c r="C59" s="9" t="str">
        <x:v>2035-10-15_4</x:v>
      </x:c>
      <x:c r="D59" s="9" t="str">
        <x:v>LOCAL_PPO</x:v>
      </x:c>
      <x:c r="E59" s="9" t="n">
        <x:v>1</x:v>
      </x:c>
      <x:c r="F59" s="9" t="n">
        <x:v>2017</x:v>
      </x:c>
      <x:c r="G59" s="11" t="n">
        <x:v>2042224.0426330566</x:v>
      </x:c>
      <x:c r="H59" s="11" t="n">
        <x:v>65.64062719996946</x:v>
      </x:c>
      <x:c r="I59" s="13" t="n">
        <x:v>2801</x:v>
      </x:c>
      <x:c r="J59" s="15" t="n">
        <x:f>(G59-G56)/ABS(G56)</x:f>
        <x:v>0.013880039930283252</x:v>
      </x:c>
      <x:c r="K59" s="15" t="n">
        <x:f>1-H59/H56</x:f>
        <x:v>0.335075918865394</x:v>
      </x:c>
      <x:c r="L59" s="9" t="n">
        <x:v>1</x:v>
      </x:c>
      <x:c r="M59" s="9" t="n">
        <x:v>0</x:v>
      </x:c>
      <x:c r="N59" s="17" t="n">
        <x:v>10.537137900002563</x:v>
      </x:c>
    </x:row>
    <x:row r="60" ht="23" customHeight="1">
      <x:c r="A60" s="2" t="n">
        <x:v>0</x:v>
      </x:c>
      <x:c r="B60" s="2" t="n">
        <x:v>0</x:v>
      </x:c>
      <x:c r="C60" s="2" t="str">
        <x:v>2035-10-15_4</x:v>
      </x:c>
      <x:c r="D60" s="2" t="str">
        <x:v>COMPRESSED_GNN0</x:v>
      </x:c>
      <x:c r="E60" s="2" t="n">
        <x:v>1</x:v>
      </x:c>
      <x:c r="F60" s="2" t="n">
        <x:v>2017</x:v>
      </x:c>
      <x:c r="G60" s="10" t="n">
        <x:v>2013516.9062805176</x:v>
      </x:c>
      <x:c r="H60" s="10" t="n">
        <x:v>73.8781420999876</x:v>
      </x:c>
      <x:c r="I60" s="12" t="n">
        <x:v>3475</x:v>
      </x:c>
      <x:c r="J60" s="14" t="n">
        <x:f>(G60-G56)/ABS(G56)</x:f>
        <x:v>-0.0003718697249719593</x:v>
      </x:c>
      <x:c r="K60" s="14" t="n">
        <x:f>1-H60/H56</x:f>
        <x:v>0.25163183462407623</x:v>
      </x:c>
      <x:c r="L60" s="2" t="n">
        <x:v>1</x:v>
      </x:c>
      <x:c r="M60" s="2" t="n">
        <x:v>1</x:v>
      </x:c>
      <x:c r="N60" s="16" t="n">
        <x:v>12.499836500002857</x:v>
      </x:c>
    </x:row>
    <x:row r="61" ht="23" customHeight="1">
      <x:c r="A61" s="9" t="n">
        <x:v>0</x:v>
      </x:c>
      <x:c r="B61" s="9" t="n">
        <x:v>0</x:v>
      </x:c>
      <x:c r="C61" s="9" t="str">
        <x:v>2035-10-15_4</x:v>
      </x:c>
      <x:c r="D61" s="9" t="str">
        <x:v>COMPRESSED_GNN1</x:v>
      </x:c>
      <x:c r="E61" s="9" t="n">
        <x:v>1</x:v>
      </x:c>
      <x:c r="F61" s="9" t="n">
        <x:v>2017</x:v>
      </x:c>
      <x:c r="G61" s="11" t="n">
        <x:v>1997841.327911377</x:v>
      </x:c>
      <x:c r="H61" s="11" t="n">
        <x:v>72.46237640005347</x:v>
      </x:c>
      <x:c r="I61" s="13" t="n">
        <x:v>2998</x:v>
      </x:c>
      <x:c r="J61" s="15" t="n">
        <x:f>(G61-G56)/ABS(G56)</x:f>
        <x:v>-0.008154148109249231</x:v>
      </x:c>
      <x:c r="K61" s="15" t="n">
        <x:f>1-H61/H56</x:f>
        <x:v>0.2659732074489085</x:v>
      </x:c>
      <x:c r="L61" s="9" t="n">
        <x:v>1</x:v>
      </x:c>
      <x:c r="M61" s="9" t="n">
        <x:v>1</x:v>
      </x:c>
      <x:c r="N61" s="17" t="n">
        <x:v>11.357963700011169</x:v>
      </x:c>
    </x:row>
    <x:row r="62" ht="23" customHeight="1">
      <x:c r="A62" s="2" t="n">
        <x:v>0</x:v>
      </x:c>
      <x:c r="B62" s="2" t="n">
        <x:v>0</x:v>
      </x:c>
      <x:c r="C62" s="2" t="str">
        <x:v>2035-11-12_9</x:v>
      </x:c>
      <x:c r="D62" s="2" t="str">
        <x:v>LOCAL_GNN1</x:v>
      </x:c>
      <x:c r="E62" s="2" t="n">
        <x:v>1</x:v>
      </x:c>
      <x:c r="F62" s="2" t="n">
        <x:v>2017</x:v>
      </x:c>
      <x:c r="G62" s="10" t="n">
        <x:v>1877367.8850708008</x:v>
      </x:c>
      <x:c r="H62" s="10" t="n">
        <x:v>86.62859450003089</x:v>
      </x:c>
      <x:c r="I62" s="12" t="n">
        <x:v>1750</x:v>
      </x:c>
      <x:c r="J62" s="14" t="n">
        <x:f>(G62-G63)/ABS(G63)</x:f>
        <x:v>0</x:v>
      </x:c>
      <x:c r="K62" s="14" t="n">
        <x:f>1-H62/H63</x:f>
        <x:v>0.1058389352096688</x:v>
      </x:c>
      <x:c r="L62" s="2" t="n">
        <x:v>1</x:v>
      </x:c>
      <x:c r="M62" s="2" t="n">
        <x:v>1</x:v>
      </x:c>
      <x:c r="N62" s="16" t="n">
        <x:v>5.942533500001446</x:v>
      </x:c>
    </x:row>
    <x:row r="63" ht="23" customHeight="1">
      <x:c r="A63" s="9" t="n">
        <x:v>0</x:v>
      </x:c>
      <x:c r="B63" s="9" t="n">
        <x:v>0</x:v>
      </x:c>
      <x:c r="C63" s="9" t="str">
        <x:v>2035-11-12_9</x:v>
      </x:c>
      <x:c r="D63" s="9" t="str">
        <x:v>FULL</x:v>
      </x:c>
      <x:c r="E63" s="9" t="n">
        <x:v>1</x:v>
      </x:c>
      <x:c r="F63" s="9" t="n">
        <x:v>2017</x:v>
      </x:c>
      <x:c r="G63" s="11" t="n">
        <x:v>1877367.8850708008</x:v>
      </x:c>
      <x:c r="H63" s="11" t="n">
        <x:v>96.88253929994607</x:v>
      </x:c>
      <x:c r="I63" s="13" t="n">
        <x:v>5392</x:v>
      </x:c>
      <x:c r="J63" s="15" t="n">
        <x:f>(G63-G63)/ABS(G63)</x:f>
        <x:v>0</x:v>
      </x:c>
      <x:c r="K63" s="15" t="n">
        <x:f>1-H63/H63</x:f>
        <x:v>0</x:v>
      </x:c>
      <x:c r="L63" s="9" t="n">
        <x:v>1</x:v>
      </x:c>
      <x:c r="M63" s="9" t="n">
        <x:v>1</x:v>
      </x:c>
      <x:c r="N63" s="17" t="n">
        <x:v>15.956377500002418</x:v>
      </x:c>
    </x:row>
    <x:row r="64" ht="23" customHeight="1">
      <x:c r="A64" s="2" t="n">
        <x:v>0</x:v>
      </x:c>
      <x:c r="B64" s="2" t="n">
        <x:v>0</x:v>
      </x:c>
      <x:c r="C64" s="2" t="str">
        <x:v>2035-11-12_9</x:v>
      </x:c>
      <x:c r="D64" s="2" t="str">
        <x:v>SOFTGNN0</x:v>
      </x:c>
      <x:c r="E64" s="2" t="n">
        <x:v>1</x:v>
      </x:c>
      <x:c r="F64" s="2" t="n">
        <x:v>2017</x:v>
      </x:c>
      <x:c r="G64" s="10" t="n">
        <x:v>1877367.8850708008</x:v>
      </x:c>
      <x:c r="H64" s="10" t="n">
        <x:v>86.93188660000669</x:v>
      </x:c>
      <x:c r="I64" s="12" t="n">
        <x:v>2096</x:v>
      </x:c>
      <x:c r="J64" s="14" t="n">
        <x:f>(G64-G63)/ABS(G63)</x:f>
        <x:v>0</x:v>
      </x:c>
      <x:c r="K64" s="14" t="n">
        <x:f>1-H64/H63</x:f>
        <x:v>0.10270842168094285</x:v>
      </x:c>
      <x:c r="L64" s="2" t="n">
        <x:v>1</x:v>
      </x:c>
      <x:c r="M64" s="2" t="n">
        <x:v>1</x:v>
      </x:c>
      <x:c r="N64" s="16" t="n">
        <x:v>7.036610999999539</x:v>
      </x:c>
    </x:row>
    <x:row r="65" ht="23" customHeight="1">
      <x:c r="A65" s="9" t="n">
        <x:v>0</x:v>
      </x:c>
      <x:c r="B65" s="9" t="n">
        <x:v>0</x:v>
      </x:c>
      <x:c r="C65" s="9" t="str">
        <x:v>2035-11-12_9</x:v>
      </x:c>
      <x:c r="D65" s="9" t="str">
        <x:v>SOFTGNN1</x:v>
      </x:c>
      <x:c r="E65" s="9" t="n">
        <x:v>1</x:v>
      </x:c>
      <x:c r="F65" s="9" t="n">
        <x:v>2017</x:v>
      </x:c>
      <x:c r="G65" s="11" t="n">
        <x:v>1877367.8850708008</x:v>
      </x:c>
      <x:c r="H65" s="11" t="n">
        <x:v>87.91726290003135</x:v>
      </x:c>
      <x:c r="I65" s="13" t="n">
        <x:v>2239</x:v>
      </x:c>
      <x:c r="J65" s="15" t="n">
        <x:f>(G65-G63)/ABS(G63)</x:f>
        <x:v>0</x:v>
      </x:c>
      <x:c r="K65" s="15" t="n">
        <x:f>1-H65/H63</x:f>
        <x:v>0.09253758690364666</x:v>
      </x:c>
      <x:c r="L65" s="9" t="n">
        <x:v>1</x:v>
      </x:c>
      <x:c r="M65" s="9" t="n">
        <x:v>1</x:v>
      </x:c>
      <x:c r="N65" s="17" t="n">
        <x:v>7.429986899995129</x:v>
      </x:c>
    </x:row>
    <x:row r="66" ht="23" customHeight="1">
      <x:c r="A66" s="2" t="n">
        <x:v>0</x:v>
      </x:c>
      <x:c r="B66" s="2" t="n">
        <x:v>0</x:v>
      </x:c>
      <x:c r="C66" s="2" t="str">
        <x:v>2035-11-12_9</x:v>
      </x:c>
      <x:c r="D66" s="2" t="str">
        <x:v>LOCAL_PPO</x:v>
      </x:c>
      <x:c r="E66" s="2" t="n">
        <x:v>1</x:v>
      </x:c>
      <x:c r="F66" s="2" t="n">
        <x:v>2017</x:v>
      </x:c>
      <x:c r="G66" s="10" t="n">
        <x:v>1877367.8850708008</x:v>
      </x:c>
      <x:c r="H66" s="10" t="n">
        <x:v>87.8926371999587</x:v>
      </x:c>
      <x:c r="I66" s="12" t="n">
        <x:v>1975</x:v>
      </x:c>
      <x:c r="J66" s="14" t="n">
        <x:f>(G66-G63)/ABS(G63)</x:f>
        <x:v>0</x:v>
      </x:c>
      <x:c r="K66" s="14" t="n">
        <x:f>1-H66/H63</x:f>
        <x:v>0.09279176789694632</x:v>
      </x:c>
      <x:c r="L66" s="2" t="n">
        <x:v>1</x:v>
      </x:c>
      <x:c r="M66" s="2" t="n">
        <x:v>1</x:v>
      </x:c>
      <x:c r="N66" s="16" t="n">
        <x:v>6.434570500005066</x:v>
      </x:c>
    </x:row>
    <x:row r="67" ht="23" customHeight="1">
      <x:c r="A67" s="9" t="n">
        <x:v>0</x:v>
      </x:c>
      <x:c r="B67" s="9" t="n">
        <x:v>0</x:v>
      </x:c>
      <x:c r="C67" s="9" t="str">
        <x:v>2035-11-12_9</x:v>
      </x:c>
      <x:c r="D67" s="9" t="str">
        <x:v>COMPRESSED_GNN0</x:v>
      </x:c>
      <x:c r="E67" s="9" t="n">
        <x:v>1</x:v>
      </x:c>
      <x:c r="F67" s="9" t="n">
        <x:v>2017</x:v>
      </x:c>
      <x:c r="G67" s="11" t="n">
        <x:v>1872796.9528198242</x:v>
      </x:c>
      <x:c r="H67" s="11" t="n">
        <x:v>85.86322210009894</x:v>
      </x:c>
      <x:c r="I67" s="13" t="n">
        <x:v>1486</x:v>
      </x:c>
      <x:c r="J67" s="15" t="n">
        <x:f>(G67-G63)/ABS(G63)</x:f>
        <x:v>-0.0024347557489001045</x:v>
      </x:c>
      <x:c r="K67" s="15" t="n">
        <x:f>1-H67/H63</x:f>
        <x:v>0.11373893871352392</x:v>
      </x:c>
      <x:c r="L67" s="9" t="n">
        <x:v>1</x:v>
      </x:c>
      <x:c r="M67" s="9" t="n">
        <x:v>1</x:v>
      </x:c>
      <x:c r="N67" s="17" t="n">
        <x:v>4.978151699997397</x:v>
      </x:c>
    </x:row>
    <x:row r="68" ht="23" customHeight="1">
      <x:c r="A68" s="2" t="n">
        <x:v>0</x:v>
      </x:c>
      <x:c r="B68" s="2" t="n">
        <x:v>0</x:v>
      </x:c>
      <x:c r="C68" s="2" t="str">
        <x:v>2035-11-12_9</x:v>
      </x:c>
      <x:c r="D68" s="2" t="str">
        <x:v>COMPRESSED_GNN1</x:v>
      </x:c>
      <x:c r="E68" s="2" t="n">
        <x:v>1</x:v>
      </x:c>
      <x:c r="F68" s="2" t="n">
        <x:v>2017</x:v>
      </x:c>
      <x:c r="G68" s="10" t="n">
        <x:v>1872796.9528198242</x:v>
      </x:c>
      <x:c r="H68" s="10" t="n">
        <x:v>85.18572019995554</x:v>
      </x:c>
      <x:c r="I68" s="12" t="n">
        <x:v>1509</x:v>
      </x:c>
      <x:c r="J68" s="14" t="n">
        <x:f>(G68-G63)/ABS(G63)</x:f>
        <x:v>-0.0024347557489001045</x:v>
      </x:c>
      <x:c r="K68" s="14" t="n">
        <x:f>1-H68/H63</x:f>
        <x:v>0.12073196248270757</x:v>
      </x:c>
      <x:c r="L68" s="2" t="n">
        <x:v>1</x:v>
      </x:c>
      <x:c r="M68" s="2" t="n">
        <x:v>1</x:v>
      </x:c>
      <x:c r="N68" s="16" t="n">
        <x:v>4.978889499998331</x:v>
      </x:c>
    </x:row>
    <x:row r="69" ht="23" customHeight="1">
      <x:c r="A69" s="9" t="n">
        <x:v>0</x:v>
      </x:c>
      <x:c r="B69" s="9" t="n">
        <x:v>0</x:v>
      </x:c>
      <x:c r="C69" s="9" t="str">
        <x:v>2035-11-12_9</x:v>
      </x:c>
      <x:c r="D69" s="9" t="str">
        <x:v>LOCAL_GNN0</x:v>
      </x:c>
      <x:c r="E69" s="9" t="n">
        <x:v>1</x:v>
      </x:c>
      <x:c r="F69" s="9" t="n">
        <x:v>2017</x:v>
      </x:c>
      <x:c r="G69" s="11" t="n">
        <x:v>1877367.8850708008</x:v>
      </x:c>
      <x:c r="H69" s="11" t="n">
        <x:v>86.58064279987957</x:v>
      </x:c>
      <x:c r="I69" s="13" t="n">
        <x:v>1795</x:v>
      </x:c>
      <x:c r="J69" s="15" t="n">
        <x:f>(G69-G63)/ABS(G63)</x:f>
        <x:v>0</x:v>
      </x:c>
      <x:c r="K69" s="15" t="n">
        <x:f>1-H69/H63</x:f>
        <x:v>0.10633388198230509</x:v>
      </x:c>
      <x:c r="L69" s="9" t="n">
        <x:v>1</x:v>
      </x:c>
      <x:c r="M69" s="9" t="n">
        <x:v>1</x:v>
      </x:c>
      <x:c r="N69" s="17" t="n">
        <x:v>6.015487400003622</x:v>
      </x:c>
    </x:row>
    <x:row r="70" ht="23" customHeight="1">
      <x:c r="A70" s="2" t="n">
        <x:v>1</x:v>
      </x:c>
      <x:c r="B70" s="2" t="n">
        <x:v>1</x:v>
      </x:c>
      <x:c r="C70" s="2" t="str">
        <x:v>2035-01-22_2</x:v>
      </x:c>
      <x:c r="D70" s="2" t="str">
        <x:v>LOCAL_PPO</x:v>
      </x:c>
      <x:c r="E70" s="2" t="n">
        <x:v>1</x:v>
      </x:c>
      <x:c r="F70" s="2" t="n">
        <x:v>2017</x:v>
      </x:c>
      <x:c r="G70" s="10" t="n">
        <x:v>3605531.0779418945</x:v>
      </x:c>
      <x:c r="H70" s="10" t="n">
        <x:v>144.114021600024</x:v>
      </x:c>
      <x:c r="I70" s="12" t="n">
        <x:v>5890</x:v>
      </x:c>
      <x:c r="J70" s="14" t="n">
        <x:f>(G70-G73)/ABS(G73)</x:f>
        <x:v>0.12434177158458394</x:v>
      </x:c>
      <x:c r="K70" s="14" t="n">
        <x:f>1-H70/H73</x:f>
        <x:v>0.20907071945587308</x:v>
      </x:c>
      <x:c r="L70" s="2" t="n">
        <x:v>1</x:v>
      </x:c>
      <x:c r="M70" s="2" t="n">
        <x:v>0</x:v>
      </x:c>
      <x:c r="N70" s="16" t="n">
        <x:v>17.816641500005062</x:v>
      </x:c>
    </x:row>
    <x:row r="71" ht="23" customHeight="1">
      <x:c r="A71" s="9" t="n">
        <x:v>1</x:v>
      </x:c>
      <x:c r="B71" s="9" t="n">
        <x:v>1</x:v>
      </x:c>
      <x:c r="C71" s="9" t="str">
        <x:v>2035-01-22_2</x:v>
      </x:c>
      <x:c r="D71" s="9" t="str">
        <x:v>SOFTGNN1</x:v>
      </x:c>
      <x:c r="E71" s="9" t="n">
        <x:v>1</x:v>
      </x:c>
      <x:c r="F71" s="9" t="n">
        <x:v>2017</x:v>
      </x:c>
      <x:c r="G71" s="11" t="n">
        <x:v>3119052.8111572266</x:v>
      </x:c>
      <x:c r="H71" s="11" t="n">
        <x:v>159.27171070001714</x:v>
      </x:c>
      <x:c r="I71" s="13" t="n">
        <x:v>7398</x:v>
      </x:c>
      <x:c r="J71" s="15" t="n">
        <x:f>(G71-G73)/ABS(G73)</x:f>
        <x:v>-0.027360661285940936</x:v>
      </x:c>
      <x:c r="K71" s="15" t="n">
        <x:f>1-H71/H73</x:f>
        <x:v>0.12588200539831507</x:v>
      </x:c>
      <x:c r="L71" s="9" t="n">
        <x:v>1</x:v>
      </x:c>
      <x:c r="M71" s="9" t="n">
        <x:v>1</x:v>
      </x:c>
      <x:c r="N71" s="17" t="n">
        <x:v>19.855737300011242</x:v>
      </x:c>
    </x:row>
    <x:row r="72" ht="23" customHeight="1">
      <x:c r="A72" s="2" t="n">
        <x:v>1</x:v>
      </x:c>
      <x:c r="B72" s="2" t="n">
        <x:v>1</x:v>
      </x:c>
      <x:c r="C72" s="2" t="str">
        <x:v>2035-01-22_2</x:v>
      </x:c>
      <x:c r="D72" s="2" t="str">
        <x:v>SOFTGNN0</x:v>
      </x:c>
      <x:c r="E72" s="2" t="n">
        <x:v>1</x:v>
      </x:c>
      <x:c r="F72" s="2" t="n">
        <x:v>2017</x:v>
      </x:c>
      <x:c r="G72" s="10" t="n">
        <x:v>3119052.8111572266</x:v>
      </x:c>
      <x:c r="H72" s="10" t="n">
        <x:v>158.0518185999499</x:v>
      </x:c>
      <x:c r="I72" s="12" t="n">
        <x:v>7158</x:v>
      </x:c>
      <x:c r="J72" s="14" t="n">
        <x:f>(G72-G73)/ABS(G73)</x:f>
        <x:v>-0.027360661285940936</x:v>
      </x:c>
      <x:c r="K72" s="14" t="n">
        <x:f>1-H72/H73</x:f>
        <x:v>0.13257704013772087</x:v>
      </x:c>
      <x:c r="L72" s="2" t="n">
        <x:v>1</x:v>
      </x:c>
      <x:c r="M72" s="2" t="n">
        <x:v>1</x:v>
      </x:c>
      <x:c r="N72" s="16" t="n">
        <x:v>19.07374520000667</x:v>
      </x:c>
    </x:row>
    <x:row r="73" ht="23" customHeight="1">
      <x:c r="A73" s="9" t="n">
        <x:v>1</x:v>
      </x:c>
      <x:c r="B73" s="9" t="n">
        <x:v>1</x:v>
      </x:c>
      <x:c r="C73" s="9" t="str">
        <x:v>2035-01-22_2</x:v>
      </x:c>
      <x:c r="D73" s="9" t="str">
        <x:v>FULL</x:v>
      </x:c>
      <x:c r="E73" s="9" t="n">
        <x:v>1</x:v>
      </x:c>
      <x:c r="F73" s="9" t="n">
        <x:v>2017</x:v>
      </x:c>
      <x:c r="G73" s="11" t="n">
        <x:v>3206792.7822875977</x:v>
      </x:c>
      <x:c r="H73" s="11" t="n">
        <x:v>182.20847950006282</x:v>
      </x:c>
      <x:c r="I73" s="13" t="n">
        <x:v>16545</x:v>
      </x:c>
      <x:c r="J73" s="15" t="n">
        <x:f>(G73-G73)/ABS(G73)</x:f>
        <x:v>0</x:v>
      </x:c>
      <x:c r="K73" s="15" t="n">
        <x:f>1-H73/H73</x:f>
        <x:v>0</x:v>
      </x:c>
      <x:c r="L73" s="9" t="n">
        <x:v>1</x:v>
      </x:c>
      <x:c r="M73" s="9" t="n">
        <x:v>1</x:v>
      </x:c>
      <x:c r="N73" s="17" t="n">
        <x:v>43.78775970000788</x:v>
      </x:c>
    </x:row>
    <x:row r="74" ht="23" customHeight="1">
      <x:c r="A74" s="2" t="n">
        <x:v>1</x:v>
      </x:c>
      <x:c r="B74" s="2" t="n">
        <x:v>1</x:v>
      </x:c>
      <x:c r="C74" s="2" t="str">
        <x:v>2035-01-22_2</x:v>
      </x:c>
      <x:c r="D74" s="2" t="str">
        <x:v>LOCAL_GNN1</x:v>
      </x:c>
      <x:c r="E74" s="2" t="n">
        <x:v>1</x:v>
      </x:c>
      <x:c r="F74" s="2" t="n">
        <x:v>2017</x:v>
      </x:c>
      <x:c r="G74" s="10" t="n">
        <x:v>3094270.9108276367</x:v>
      </x:c>
      <x:c r="H74" s="10" t="n">
        <x:v>153.6543665000754</x:v>
      </x:c>
      <x:c r="I74" s="12" t="n">
        <x:v>6926</x:v>
      </x:c>
      <x:c r="J74" s="14" t="n">
        <x:f>(G74-G73)/ABS(G73)</x:f>
        <x:v>-0.03508860069832524</x:v>
      </x:c>
      <x:c r="K74" s="14" t="n">
        <x:f>1-H74/H73</x:f>
        <x:v>0.15671121935890786</x:v>
      </x:c>
      <x:c r="L74" s="2" t="n">
        <x:v>1</x:v>
      </x:c>
      <x:c r="M74" s="2" t="n">
        <x:v>1</x:v>
      </x:c>
      <x:c r="N74" s="16" t="n">
        <x:v>21.0015519999979</x:v>
      </x:c>
    </x:row>
    <x:row r="75" ht="23" customHeight="1">
      <x:c r="A75" s="9" t="n">
        <x:v>1</x:v>
      </x:c>
      <x:c r="B75" s="9" t="n">
        <x:v>1</x:v>
      </x:c>
      <x:c r="C75" s="9" t="str">
        <x:v>2035-01-22_2</x:v>
      </x:c>
      <x:c r="D75" s="9" t="str">
        <x:v>LOCAL_GNN0</x:v>
      </x:c>
      <x:c r="E75" s="9" t="n">
        <x:v>1</x:v>
      </x:c>
      <x:c r="F75" s="9" t="n">
        <x:v>2017</x:v>
      </x:c>
      <x:c r="G75" s="11" t="n">
        <x:v>3094270.9108276367</x:v>
      </x:c>
      <x:c r="H75" s="11" t="n">
        <x:v>155.32520110003315</x:v>
      </x:c>
      <x:c r="I75" s="13" t="n">
        <x:v>6981</x:v>
      </x:c>
      <x:c r="J75" s="15" t="n">
        <x:f>(G75-G73)/ABS(G73)</x:f>
        <x:v>-0.03508860069832524</x:v>
      </x:c>
      <x:c r="K75" s="15" t="n">
        <x:f>1-H75/H73</x:f>
        <x:v>0.14754131352059496</x:v>
      </x:c>
      <x:c r="L75" s="9" t="n">
        <x:v>1</x:v>
      </x:c>
      <x:c r="M75" s="9" t="n">
        <x:v>1</x:v>
      </x:c>
      <x:c r="N75" s="17" t="n">
        <x:v>21.69471390000399</x:v>
      </x:c>
    </x:row>
    <x:row r="76" ht="23" customHeight="1">
      <x:c r="A76" s="2" t="n">
        <x:v>1</x:v>
      </x:c>
      <x:c r="B76" s="2" t="n">
        <x:v>1</x:v>
      </x:c>
      <x:c r="C76" s="2" t="str">
        <x:v>2035-01-22_2</x:v>
      </x:c>
      <x:c r="D76" s="2" t="str">
        <x:v>COMPRESSED_GNN1</x:v>
      </x:c>
      <x:c r="E76" s="2" t="n">
        <x:v>1</x:v>
      </x:c>
      <x:c r="F76" s="2" t="n">
        <x:v>2017</x:v>
      </x:c>
      <x:c r="G76" s="10" t="n">
        <x:v>2987553.496459961</x:v>
      </x:c>
      <x:c r="H76" s="10" t="n">
        <x:v>175.90470429983543</x:v>
      </x:c>
      <x:c r="I76" s="12" t="n">
        <x:v>7040</x:v>
      </x:c>
      <x:c r="J76" s="14" t="n">
        <x:f>(G76-G73)/ABS(G73)</x:f>
        <x:v>-0.06836715083013259</x:v>
      </x:c>
      <x:c r="K76" s="14" t="n">
        <x:f>1-H76/H73</x:f>
        <x:v>0.03459649747104787</x:v>
      </x:c>
      <x:c r="L76" s="2" t="n">
        <x:v>1</x:v>
      </x:c>
      <x:c r="M76" s="2" t="n">
        <x:v>1</x:v>
      </x:c>
      <x:c r="N76" s="16" t="n">
        <x:v>22.9909200000111</x:v>
      </x:c>
    </x:row>
    <x:row r="77" ht="23" customHeight="1">
      <x:c r="A77" s="9" t="n">
        <x:v>1</x:v>
      </x:c>
      <x:c r="B77" s="9" t="n">
        <x:v>1</x:v>
      </x:c>
      <x:c r="C77" s="9" t="str">
        <x:v>2035-01-22_2</x:v>
      </x:c>
      <x:c r="D77" s="9" t="str">
        <x:v>COMPRESSED_GNN0</x:v>
      </x:c>
      <x:c r="E77" s="9" t="n">
        <x:v>1</x:v>
      </x:c>
      <x:c r="F77" s="9" t="n">
        <x:v>2017</x:v>
      </x:c>
      <x:c r="G77" s="11" t="n">
        <x:v>2987553.496459961</x:v>
      </x:c>
      <x:c r="H77" s="11" t="n">
        <x:v>174.9515025000801</x:v>
      </x:c>
      <x:c r="I77" s="13" t="n">
        <x:v>6982</x:v>
      </x:c>
      <x:c r="J77" s="15" t="n">
        <x:f>(G77-G73)/ABS(G73)</x:f>
        <x:v>-0.06836715083013259</x:v>
      </x:c>
      <x:c r="K77" s="15" t="n">
        <x:f>1-H77/H73</x:f>
        <x:v>0.03982787749447314</x:v>
      </x:c>
      <x:c r="L77" s="9" t="n">
        <x:v>1</x:v>
      </x:c>
      <x:c r="M77" s="9" t="n">
        <x:v>1</x:v>
      </x:c>
      <x:c r="N77" s="17" t="n">
        <x:v>22.615143300012278</x:v>
      </x:c>
    </x:row>
    <x:row r="78" ht="23" customHeight="1">
      <x:c r="A78" s="2" t="n">
        <x:v>1</x:v>
      </x:c>
      <x:c r="B78" s="2" t="n">
        <x:v>1</x:v>
      </x:c>
      <x:c r="C78" s="2" t="str">
        <x:v>2035-02-26_13</x:v>
      </x:c>
      <x:c r="D78" s="2" t="str">
        <x:v>COMPRESSED_GNN0</x:v>
      </x:c>
      <x:c r="E78" s="2" t="n">
        <x:v>1</x:v>
      </x:c>
      <x:c r="F78" s="2" t="n">
        <x:v>2017</x:v>
      </x:c>
      <x:c r="G78" s="10" t="n">
        <x:v>2786856.7451782227</x:v>
      </x:c>
      <x:c r="H78" s="10" t="n">
        <x:v>113.45421940008964</x:v>
      </x:c>
      <x:c r="I78" s="12" t="n">
        <x:v>2541</x:v>
      </x:c>
      <x:c r="J78" s="14" t="n">
        <x:f>(G78-G82)/ABS(G82)</x:f>
        <x:v>0.0008044936193065155</x:v>
      </x:c>
      <x:c r="K78" s="14" t="n">
        <x:f>1-H78/H82</x:f>
        <x:v>0.058029812793487845</x:v>
      </x:c>
      <x:c r="L78" s="2" t="n">
        <x:v>1</x:v>
      </x:c>
      <x:c r="M78" s="2" t="n">
        <x:v>1</x:v>
      </x:c>
      <x:c r="N78" s="16" t="n">
        <x:v>8.549255900012213</x:v>
      </x:c>
    </x:row>
    <x:row r="79" ht="23" customHeight="1">
      <x:c r="A79" s="9" t="n">
        <x:v>1</x:v>
      </x:c>
      <x:c r="B79" s="9" t="n">
        <x:v>1</x:v>
      </x:c>
      <x:c r="C79" s="9" t="str">
        <x:v>2035-02-26_13</x:v>
      </x:c>
      <x:c r="D79" s="9" t="str">
        <x:v>LOCAL_PPO</x:v>
      </x:c>
      <x:c r="E79" s="9" t="n">
        <x:v>1</x:v>
      </x:c>
      <x:c r="F79" s="9" t="n">
        <x:v>2017</x:v>
      </x:c>
      <x:c r="G79" s="11" t="n">
        <x:v>2786856.7451782227</x:v>
      </x:c>
      <x:c r="H79" s="11" t="n">
        <x:v>112.7605202000268</x:v>
      </x:c>
      <x:c r="I79" s="13" t="n">
        <x:v>2623</x:v>
      </x:c>
      <x:c r="J79" s="15" t="n">
        <x:f>(G79-G82)/ABS(G82)</x:f>
        <x:v>0.0008044936193065155</x:v>
      </x:c>
      <x:c r="K79" s="15" t="n">
        <x:f>1-H79/H82</x:f>
        <x:v>0.06378935147616882</x:v>
      </x:c>
      <x:c r="L79" s="9" t="n">
        <x:v>1</x:v>
      </x:c>
      <x:c r="M79" s="9" t="n">
        <x:v>1</x:v>
      </x:c>
      <x:c r="N79" s="17" t="n">
        <x:v>8.446827499996289</x:v>
      </x:c>
    </x:row>
    <x:row r="80" ht="23" customHeight="1">
      <x:c r="A80" s="2" t="n">
        <x:v>1</x:v>
      </x:c>
      <x:c r="B80" s="2" t="n">
        <x:v>1</x:v>
      </x:c>
      <x:c r="C80" s="2" t="str">
        <x:v>2035-02-26_13</x:v>
      </x:c>
      <x:c r="D80" s="2" t="str">
        <x:v>SOFTGNN1</x:v>
      </x:c>
      <x:c r="E80" s="2" t="n">
        <x:v>1</x:v>
      </x:c>
      <x:c r="F80" s="2" t="n">
        <x:v>2017</x:v>
      </x:c>
      <x:c r="G80" s="10" t="n">
        <x:v>2759128.7057495117</x:v>
      </x:c>
      <x:c r="H80" s="10" t="n">
        <x:v>104.2877492001353</x:v>
      </x:c>
      <x:c r="I80" s="12" t="n">
        <x:v>1941</x:v>
      </x:c>
      <x:c r="J80" s="14" t="n">
        <x:f>(G80-G82)/ABS(G82)</x:f>
        <x:v>-0.009153085473167628</x:v>
      </x:c>
      <x:c r="K80" s="14" t="n">
        <x:f>1-H80/H82</x:f>
        <x:v>0.134135767212201</x:v>
      </x:c>
      <x:c r="L80" s="2" t="n">
        <x:v>1</x:v>
      </x:c>
      <x:c r="M80" s="2" t="n">
        <x:v>1</x:v>
      </x:c>
      <x:c r="N80" s="16" t="n">
        <x:v>5.963374799997837</x:v>
      </x:c>
    </x:row>
    <x:row r="81" ht="23" customHeight="1">
      <x:c r="A81" s="9" t="n">
        <x:v>1</x:v>
      </x:c>
      <x:c r="B81" s="9" t="n">
        <x:v>1</x:v>
      </x:c>
      <x:c r="C81" s="9" t="str">
        <x:v>2035-02-26_13</x:v>
      </x:c>
      <x:c r="D81" s="9" t="str">
        <x:v>SOFTGNN0</x:v>
      </x:c>
      <x:c r="E81" s="9" t="n">
        <x:v>1</x:v>
      </x:c>
      <x:c r="F81" s="9" t="n">
        <x:v>2017</x:v>
      </x:c>
      <x:c r="G81" s="11" t="n">
        <x:v>2764953.554748535</x:v>
      </x:c>
      <x:c r="H81" s="11" t="n">
        <x:v>105.41884969997045</x:v>
      </x:c>
      <x:c r="I81" s="13" t="n">
        <x:v>2166</x:v>
      </x:c>
      <x:c r="J81" s="15" t="n">
        <x:f>(G81-G82)/ABS(G82)</x:f>
        <x:v>-0.007061289738434314</x:v>
      </x:c>
      <x:c r="K81" s="15" t="n">
        <x:f>1-H81/H82</x:f>
        <x:v>0.12474464050741263</x:v>
      </x:c>
      <x:c r="L81" s="9" t="n">
        <x:v>1</x:v>
      </x:c>
      <x:c r="M81" s="9" t="n">
        <x:v>1</x:v>
      </x:c>
      <x:c r="N81" s="17" t="n">
        <x:v>6.640033199990285</x:v>
      </x:c>
    </x:row>
    <x:row r="82" ht="23" customHeight="1">
      <x:c r="A82" s="2" t="n">
        <x:v>1</x:v>
      </x:c>
      <x:c r="B82" s="2" t="n">
        <x:v>1</x:v>
      </x:c>
      <x:c r="C82" s="2" t="str">
        <x:v>2035-02-26_13</x:v>
      </x:c>
      <x:c r="D82" s="2" t="str">
        <x:v>FULL</x:v>
      </x:c>
      <x:c r="E82" s="2" t="n">
        <x:v>1</x:v>
      </x:c>
      <x:c r="F82" s="2" t="n">
        <x:v>2017</x:v>
      </x:c>
      <x:c r="G82" s="10" t="n">
        <x:v>2784616.5389404297</x:v>
      </x:c>
      <x:c r="H82" s="10" t="n">
        <x:v>120.44353519992728</x:v>
      </x:c>
      <x:c r="I82" s="12" t="n">
        <x:v>7257</x:v>
      </x:c>
      <x:c r="J82" s="14" t="n">
        <x:f>(G82-G82)/ABS(G82)</x:f>
        <x:v>0</x:v>
      </x:c>
      <x:c r="K82" s="14" t="n">
        <x:f>1-H82/H82</x:f>
        <x:v>0</x:v>
      </x:c>
      <x:c r="L82" s="2" t="n">
        <x:v>1</x:v>
      </x:c>
      <x:c r="M82" s="2" t="n">
        <x:v>1</x:v>
      </x:c>
      <x:c r="N82" s="16" t="n">
        <x:v>19.219052900007227</x:v>
      </x:c>
    </x:row>
    <x:row r="83" ht="23" customHeight="1">
      <x:c r="A83" s="9" t="n">
        <x:v>1</x:v>
      </x:c>
      <x:c r="B83" s="9" t="n">
        <x:v>1</x:v>
      </x:c>
      <x:c r="C83" s="9" t="str">
        <x:v>2035-02-26_13</x:v>
      </x:c>
      <x:c r="D83" s="9" t="str">
        <x:v>LOCAL_GNN1</x:v>
      </x:c>
      <x:c r="E83" s="9" t="n">
        <x:v>1</x:v>
      </x:c>
      <x:c r="F83" s="9" t="n">
        <x:v>2017</x:v>
      </x:c>
      <x:c r="G83" s="11" t="n">
        <x:v>2786856.7451782227</x:v>
      </x:c>
      <x:c r="H83" s="11" t="n">
        <x:v>109.26592470008472</x:v>
      </x:c>
      <x:c r="I83" s="13" t="n">
        <x:v>2544</x:v>
      </x:c>
      <x:c r="J83" s="15" t="n">
        <x:f>(G83-G82)/ABS(G82)</x:f>
        <x:v>0.0008044936193065155</x:v>
      </x:c>
      <x:c r="K83" s="15" t="n">
        <x:f>1-H83/H82</x:f>
        <x:v>0.09280373978801404</x:v>
      </x:c>
      <x:c r="L83" s="9" t="n">
        <x:v>1</x:v>
      </x:c>
      <x:c r="M83" s="9" t="n">
        <x:v>1</x:v>
      </x:c>
      <x:c r="N83" s="17" t="n">
        <x:v>7.982172600000922</x:v>
      </x:c>
    </x:row>
    <x:row r="84" ht="23" customHeight="1">
      <x:c r="A84" s="2" t="n">
        <x:v>1</x:v>
      </x:c>
      <x:c r="B84" s="2" t="n">
        <x:v>1</x:v>
      </x:c>
      <x:c r="C84" s="2" t="str">
        <x:v>2035-02-26_13</x:v>
      </x:c>
      <x:c r="D84" s="2" t="str">
        <x:v>LOCAL_GNN0</x:v>
      </x:c>
      <x:c r="E84" s="2" t="n">
        <x:v>1</x:v>
      </x:c>
      <x:c r="F84" s="2" t="n">
        <x:v>2017</x:v>
      </x:c>
      <x:c r="G84" s="10" t="n">
        <x:v>2786856.7451782227</x:v>
      </x:c>
      <x:c r="H84" s="10" t="n">
        <x:v>108.65798979985266</x:v>
      </x:c>
      <x:c r="I84" s="12" t="n">
        <x:v>2556</x:v>
      </x:c>
      <x:c r="J84" s="14" t="n">
        <x:f>(G84-G82)/ABS(G82)</x:f>
        <x:v>0.0008044936193065155</x:v>
      </x:c>
      <x:c r="K84" s="14" t="n">
        <x:f>1-H84/H82</x:f>
        <x:v>0.09785120787522139</x:v>
      </x:c>
      <x:c r="L84" s="2" t="n">
        <x:v>1</x:v>
      </x:c>
      <x:c r="M84" s="2" t="n">
        <x:v>1</x:v>
      </x:c>
      <x:c r="N84" s="16" t="n">
        <x:v>8.099123200001486</x:v>
      </x:c>
    </x:row>
    <x:row r="85" ht="23" customHeight="1">
      <x:c r="A85" s="9" t="n">
        <x:v>1</x:v>
      </x:c>
      <x:c r="B85" s="9" t="n">
        <x:v>1</x:v>
      </x:c>
      <x:c r="C85" s="9" t="str">
        <x:v>2035-02-26_13</x:v>
      </x:c>
      <x:c r="D85" s="9" t="str">
        <x:v>COMPRESSED_GNN1</x:v>
      </x:c>
      <x:c r="E85" s="9" t="n">
        <x:v>1</x:v>
      </x:c>
      <x:c r="F85" s="9" t="n">
        <x:v>2017</x:v>
      </x:c>
      <x:c r="G85" s="11" t="n">
        <x:v>2786856.7451782227</x:v>
      </x:c>
      <x:c r="H85" s="11" t="n">
        <x:v>108.87220440010424</x:v>
      </x:c>
      <x:c r="I85" s="13" t="n">
        <x:v>2550</x:v>
      </x:c>
      <x:c r="J85" s="15" t="n">
        <x:f>(G85-G82)/ABS(G82)</x:f>
        <x:v>0.0008044936193065155</x:v>
      </x:c>
      <x:c r="K85" s="15" t="n">
        <x:f>1-H85/H82</x:f>
        <x:v>0.09607265994489034</x:v>
      </x:c>
      <x:c r="L85" s="9" t="n">
        <x:v>1</x:v>
      </x:c>
      <x:c r="M85" s="9" t="n">
        <x:v>1</x:v>
      </x:c>
      <x:c r="N85" s="17" t="n">
        <x:v>7.938753899987205</x:v>
      </x:c>
    </x:row>
    <x:row r="86" ht="23" customHeight="1">
      <x:c r="A86" s="2" t="n">
        <x:v>1</x:v>
      </x:c>
      <x:c r="B86" s="2" t="n">
        <x:v>1</x:v>
      </x:c>
      <x:c r="C86" s="2" t="str">
        <x:v>2035-05-28_0</x:v>
      </x:c>
      <x:c r="D86" s="2" t="str">
        <x:v>COMPRESSED_GNN1</x:v>
      </x:c>
      <x:c r="E86" s="2" t="n">
        <x:v>1</x:v>
      </x:c>
      <x:c r="F86" s="2" t="n">
        <x:v>2017</x:v>
      </x:c>
      <x:c r="G86" s="10" t="n">
        <x:v>1621952.9942626953</x:v>
      </x:c>
      <x:c r="H86" s="10" t="n">
        <x:v>7.8431315001580515</x:v>
      </x:c>
      <x:c r="I86" s="12" t="n">
        <x:v>0</x:v>
      </x:c>
      <x:c r="J86" s="14" t="n">
        <x:f>(G86-G91)/ABS(G91)</x:f>
        <x:v>0</x:v>
      </x:c>
      <x:c r="K86" s="14" t="n">
        <x:f>1-H86/H91</x:f>
        <x:v>-0.00900509405296801</x:v>
      </x:c>
      <x:c r="L86" s="2" t="n">
        <x:v>1</x:v>
      </x:c>
      <x:c r="M86" s="2" t="n">
        <x:v>1</x:v>
      </x:c>
      <x:c r="N86" s="16" t="n">
        <x:v>0</x:v>
      </x:c>
    </x:row>
    <x:row r="87" ht="23" customHeight="1">
      <x:c r="A87" s="9" t="n">
        <x:v>1</x:v>
      </x:c>
      <x:c r="B87" s="9" t="n">
        <x:v>1</x:v>
      </x:c>
      <x:c r="C87" s="9" t="str">
        <x:v>2035-05-28_0</x:v>
      </x:c>
      <x:c r="D87" s="9" t="str">
        <x:v>COMPRESSED_GNN0</x:v>
      </x:c>
      <x:c r="E87" s="9" t="n">
        <x:v>1</x:v>
      </x:c>
      <x:c r="F87" s="9" t="n">
        <x:v>2017</x:v>
      </x:c>
      <x:c r="G87" s="11" t="n">
        <x:v>1621952.9942626953</x:v>
      </x:c>
      <x:c r="H87" s="11" t="n">
        <x:v>7.88426939999772</x:v>
      </x:c>
      <x:c r="I87" s="13" t="n">
        <x:v>0</x:v>
      </x:c>
      <x:c r="J87" s="15" t="n">
        <x:f>(G87-G91)/ABS(G91)</x:f>
        <x:v>0</x:v>
      </x:c>
      <x:c r="K87" s="15" t="n">
        <x:f>1-H87/H91</x:f>
        <x:v>-0.014297412624450612</x:v>
      </x:c>
      <x:c r="L87" s="9" t="n">
        <x:v>1</x:v>
      </x:c>
      <x:c r="M87" s="9" t="n">
        <x:v>1</x:v>
      </x:c>
      <x:c r="N87" s="17" t="n">
        <x:v>0</x:v>
      </x:c>
    </x:row>
    <x:row r="88" ht="23" customHeight="1">
      <x:c r="A88" s="2" t="n">
        <x:v>1</x:v>
      </x:c>
      <x:c r="B88" s="2" t="n">
        <x:v>1</x:v>
      </x:c>
      <x:c r="C88" s="2" t="str">
        <x:v>2035-05-28_0</x:v>
      </x:c>
      <x:c r="D88" s="2" t="str">
        <x:v>LOCAL_PPO</x:v>
      </x:c>
      <x:c r="E88" s="2" t="n">
        <x:v>1</x:v>
      </x:c>
      <x:c r="F88" s="2" t="n">
        <x:v>2017</x:v>
      </x:c>
      <x:c r="G88" s="10" t="n">
        <x:v>1621952.9942626953</x:v>
      </x:c>
      <x:c r="H88" s="10" t="n">
        <x:v>7.842441000138933</x:v>
      </x:c>
      <x:c r="I88" s="12" t="n">
        <x:v>0</x:v>
      </x:c>
      <x:c r="J88" s="14" t="n">
        <x:f>(G88-G91)/ABS(G91)</x:f>
        <x:v>0</x:v>
      </x:c>
      <x:c r="K88" s="14" t="n">
        <x:f>1-H88/H91</x:f>
        <x:v>-0.00891626243810606</x:v>
      </x:c>
      <x:c r="L88" s="2" t="n">
        <x:v>1</x:v>
      </x:c>
      <x:c r="M88" s="2" t="n">
        <x:v>1</x:v>
      </x:c>
      <x:c r="N88" s="16" t="n">
        <x:v>0</x:v>
      </x:c>
    </x:row>
    <x:row r="89" ht="23" customHeight="1">
      <x:c r="A89" s="9" t="n">
        <x:v>1</x:v>
      </x:c>
      <x:c r="B89" s="9" t="n">
        <x:v>1</x:v>
      </x:c>
      <x:c r="C89" s="9" t="str">
        <x:v>2035-05-28_0</x:v>
      </x:c>
      <x:c r="D89" s="9" t="str">
        <x:v>SOFTGNN1</x:v>
      </x:c>
      <x:c r="E89" s="9" t="n">
        <x:v>1</x:v>
      </x:c>
      <x:c r="F89" s="9" t="n">
        <x:v>2017</x:v>
      </x:c>
      <x:c r="G89" s="11" t="n">
        <x:v>1621952.9942626953</x:v>
      </x:c>
      <x:c r="H89" s="11" t="n">
        <x:v>7.909331800168729</x:v>
      </x:c>
      <x:c r="I89" s="13" t="n">
        <x:v>0</x:v>
      </x:c>
      <x:c r="J89" s="15" t="n">
        <x:f>(G89-G91)/ABS(G91)</x:f>
        <x:v>0</x:v>
      </x:c>
      <x:c r="K89" s="15" t="n">
        <x:f>1-H89/H91</x:f>
        <x:v>-0.017521646393989343</x:v>
      </x:c>
      <x:c r="L89" s="9" t="n">
        <x:v>1</x:v>
      </x:c>
      <x:c r="M89" s="9" t="n">
        <x:v>1</x:v>
      </x:c>
      <x:c r="N89" s="17" t="n">
        <x:v>0</x:v>
      </x:c>
    </x:row>
    <x:row r="90" ht="23" customHeight="1">
      <x:c r="A90" s="2" t="n">
        <x:v>1</x:v>
      </x:c>
      <x:c r="B90" s="2" t="n">
        <x:v>1</x:v>
      </x:c>
      <x:c r="C90" s="2" t="str">
        <x:v>2035-05-28_0</x:v>
      </x:c>
      <x:c r="D90" s="2" t="str">
        <x:v>SOFTGNN0</x:v>
      </x:c>
      <x:c r="E90" s="2" t="n">
        <x:v>1</x:v>
      </x:c>
      <x:c r="F90" s="2" t="n">
        <x:v>2017</x:v>
      </x:c>
      <x:c r="G90" s="10" t="n">
        <x:v>1621952.9942626953</x:v>
      </x:c>
      <x:c r="H90" s="10" t="n">
        <x:v>7.914156499871751</x:v>
      </x:c>
      <x:c r="I90" s="12" t="n">
        <x:v>0</x:v>
      </x:c>
      <x:c r="J90" s="14" t="n">
        <x:f>(G90-G91)/ABS(G91)</x:f>
        <x:v>0</x:v>
      </x:c>
      <x:c r="K90" s="14" t="n">
        <x:f>1-H90/H91</x:f>
        <x:v>-0.018142335538054555</x:v>
      </x:c>
      <x:c r="L90" s="2" t="n">
        <x:v>1</x:v>
      </x:c>
      <x:c r="M90" s="2" t="n">
        <x:v>1</x:v>
      </x:c>
      <x:c r="N90" s="16" t="n">
        <x:v>0</x:v>
      </x:c>
    </x:row>
    <x:row r="91" ht="23" customHeight="1">
      <x:c r="A91" s="9" t="n">
        <x:v>1</x:v>
      </x:c>
      <x:c r="B91" s="9" t="n">
        <x:v>1</x:v>
      </x:c>
      <x:c r="C91" s="9" t="str">
        <x:v>2035-05-28_0</x:v>
      </x:c>
      <x:c r="D91" s="9" t="str">
        <x:v>FULL</x:v>
      </x:c>
      <x:c r="E91" s="9" t="n">
        <x:v>1</x:v>
      </x:c>
      <x:c r="F91" s="9" t="n">
        <x:v>2017</x:v>
      </x:c>
      <x:c r="G91" s="11" t="n">
        <x:v>1621952.9942626953</x:v>
      </x:c>
      <x:c r="H91" s="11" t="n">
        <x:v>7.773133700102335</x:v>
      </x:c>
      <x:c r="I91" s="13" t="n">
        <x:v>0</x:v>
      </x:c>
      <x:c r="J91" s="15" t="n">
        <x:f>(G91-G91)/ABS(G91)</x:f>
        <x:v>0</x:v>
      </x:c>
      <x:c r="K91" s="15" t="n">
        <x:f>1-H91/H91</x:f>
        <x:v>0</x:v>
      </x:c>
      <x:c r="L91" s="9" t="n">
        <x:v>1</x:v>
      </x:c>
      <x:c r="M91" s="9" t="n">
        <x:v>1</x:v>
      </x:c>
      <x:c r="N91" s="17" t="n">
        <x:v>0</x:v>
      </x:c>
    </x:row>
    <x:row r="92" ht="23" customHeight="1">
      <x:c r="A92" s="2" t="n">
        <x:v>1</x:v>
      </x:c>
      <x:c r="B92" s="2" t="n">
        <x:v>1</x:v>
      </x:c>
      <x:c r="C92" s="2" t="str">
        <x:v>2035-05-28_0</x:v>
      </x:c>
      <x:c r="D92" s="2" t="str">
        <x:v>LOCAL_GNN1</x:v>
      </x:c>
      <x:c r="E92" s="2" t="n">
        <x:v>1</x:v>
      </x:c>
      <x:c r="F92" s="2" t="n">
        <x:v>2017</x:v>
      </x:c>
      <x:c r="G92" s="10" t="n">
        <x:v>1621952.9942626953</x:v>
      </x:c>
      <x:c r="H92" s="10" t="n">
        <x:v>7.865558200050145</x:v>
      </x:c>
      <x:c r="I92" s="12" t="n">
        <x:v>0</x:v>
      </x:c>
      <x:c r="J92" s="14" t="n">
        <x:f>(G92-G91)/ABS(G91)</x:f>
        <x:v>0</x:v>
      </x:c>
      <x:c r="K92" s="14" t="n">
        <x:f>1-H92/H91</x:f>
        <x:v>-0.011890249610217563</x:v>
      </x:c>
      <x:c r="L92" s="2" t="n">
        <x:v>1</x:v>
      </x:c>
      <x:c r="M92" s="2" t="n">
        <x:v>1</x:v>
      </x:c>
      <x:c r="N92" s="16" t="n">
        <x:v>0</x:v>
      </x:c>
    </x:row>
    <x:row r="93" ht="23" customHeight="1">
      <x:c r="A93" s="9" t="n">
        <x:v>1</x:v>
      </x:c>
      <x:c r="B93" s="9" t="n">
        <x:v>1</x:v>
      </x:c>
      <x:c r="C93" s="9" t="str">
        <x:v>2035-05-28_0</x:v>
      </x:c>
      <x:c r="D93" s="9" t="str">
        <x:v>LOCAL_GNN0</x:v>
      </x:c>
      <x:c r="E93" s="9" t="n">
        <x:v>1</x:v>
      </x:c>
      <x:c r="F93" s="9" t="n">
        <x:v>2017</x:v>
      </x:c>
      <x:c r="G93" s="11" t="n">
        <x:v>1621952.9942626953</x:v>
      </x:c>
      <x:c r="H93" s="11" t="n">
        <x:v>7.900833099978627</x:v>
      </x:c>
      <x:c r="I93" s="13" t="n">
        <x:v>0</x:v>
      </x:c>
      <x:c r="J93" s="15" t="n">
        <x:f>(G93-G91)/ABS(G91)</x:f>
        <x:v>0</x:v>
      </x:c>
      <x:c r="K93" s="15" t="n">
        <x:f>1-H93/H91</x:f>
        <x:v>-0.016428303539228972</x:v>
      </x:c>
      <x:c r="L93" s="9" t="n">
        <x:v>1</x:v>
      </x:c>
      <x:c r="M93" s="9" t="n">
        <x:v>1</x:v>
      </x:c>
      <x:c r="N93" s="17" t="n">
        <x:v>0</x:v>
      </x:c>
    </x:row>
    <x:row r="94" ht="23" customHeight="1">
      <x:c r="A94" s="2" t="n">
        <x:v>1</x:v>
      </x:c>
      <x:c r="B94" s="2" t="n">
        <x:v>1</x:v>
      </x:c>
      <x:c r="C94" s="2" t="str">
        <x:v>2035-06-04_6</x:v>
      </x:c>
      <x:c r="D94" s="2" t="str">
        <x:v>LOCAL_GNN0</x:v>
      </x:c>
      <x:c r="E94" s="2" t="n">
        <x:v>1</x:v>
      </x:c>
      <x:c r="F94" s="2" t="n">
        <x:v>2017</x:v>
      </x:c>
      <x:c r="G94" s="10" t="n">
        <x:v>1730516.9721679688</x:v>
      </x:c>
      <x:c r="H94" s="10" t="n">
        <x:v>39.98906270018051</x:v>
      </x:c>
      <x:c r="I94" s="12" t="n">
        <x:v>1610</x:v>
      </x:c>
      <x:c r="J94" s="14" t="n">
        <x:f>(G94-G100)/ABS(G100)</x:f>
        <x:v>-0.0017443946275142077</x:v>
      </x:c>
      <x:c r="K94" s="14" t="n">
        <x:f>1-H94/H100</x:f>
        <x:v>0.178752586914945</x:v>
      </x:c>
      <x:c r="L94" s="2" t="n">
        <x:v>1</x:v>
      </x:c>
      <x:c r="M94" s="2" t="n">
        <x:v>1</x:v>
      </x:c>
      <x:c r="N94" s="16" t="n">
        <x:v>5.223174299993843</x:v>
      </x:c>
    </x:row>
    <x:row r="95" ht="23" customHeight="1">
      <x:c r="A95" s="9" t="n">
        <x:v>1</x:v>
      </x:c>
      <x:c r="B95" s="9" t="n">
        <x:v>1</x:v>
      </x:c>
      <x:c r="C95" s="9" t="str">
        <x:v>2035-06-04_6</x:v>
      </x:c>
      <x:c r="D95" s="9" t="str">
        <x:v>COMPRESSED_GNN1</x:v>
      </x:c>
      <x:c r="E95" s="9" t="n">
        <x:v>1</x:v>
      </x:c>
      <x:c r="F95" s="9" t="n">
        <x:v>2017</x:v>
      </x:c>
      <x:c r="G95" s="11" t="n">
        <x:v>1730516.9721679688</x:v>
      </x:c>
      <x:c r="H95" s="11" t="n">
        <x:v>40.17921930021839</x:v>
      </x:c>
      <x:c r="I95" s="13" t="n">
        <x:v>1606</x:v>
      </x:c>
      <x:c r="J95" s="15" t="n">
        <x:f>(G95-G100)/ABS(G100)</x:f>
        <x:v>-0.0017443946275142077</x:v>
      </x:c>
      <x:c r="K95" s="15" t="n">
        <x:f>1-H95/H100</x:f>
        <x:v>0.1748473787075654</x:v>
      </x:c>
      <x:c r="L95" s="9" t="n">
        <x:v>1</x:v>
      </x:c>
      <x:c r="M95" s="9" t="n">
        <x:v>1</x:v>
      </x:c>
      <x:c r="N95" s="17" t="n">
        <x:v>4.8078934000077425</x:v>
      </x:c>
    </x:row>
    <x:row r="96" ht="23" customHeight="1">
      <x:c r="A96" s="2" t="n">
        <x:v>1</x:v>
      </x:c>
      <x:c r="B96" s="2" t="n">
        <x:v>1</x:v>
      </x:c>
      <x:c r="C96" s="2" t="str">
        <x:v>2035-06-04_6</x:v>
      </x:c>
      <x:c r="D96" s="2" t="str">
        <x:v>COMPRESSED_GNN0</x:v>
      </x:c>
      <x:c r="E96" s="2" t="n">
        <x:v>1</x:v>
      </x:c>
      <x:c r="F96" s="2" t="n">
        <x:v>2017</x:v>
      </x:c>
      <x:c r="G96" s="10" t="n">
        <x:v>1730516.9721679688</x:v>
      </x:c>
      <x:c r="H96" s="10" t="n">
        <x:v>40.07329040014156</x:v>
      </x:c>
      <x:c r="I96" s="12" t="n">
        <x:v>1595</x:v>
      </x:c>
      <x:c r="J96" s="14" t="n">
        <x:f>(G96-G100)/ABS(G100)</x:f>
        <x:v>-0.0017443946275142077</x:v>
      </x:c>
      <x:c r="K96" s="14" t="n">
        <x:f>1-H96/H100</x:f>
        <x:v>0.17702281942272502</x:v>
      </x:c>
      <x:c r="L96" s="2" t="n">
        <x:v>1</x:v>
      </x:c>
      <x:c r="M96" s="2" t="n">
        <x:v>1</x:v>
      </x:c>
      <x:c r="N96" s="16" t="n">
        <x:v>5.304132199991727</x:v>
      </x:c>
    </x:row>
    <x:row r="97" ht="23" customHeight="1">
      <x:c r="A97" s="9" t="n">
        <x:v>1</x:v>
      </x:c>
      <x:c r="B97" s="9" t="n">
        <x:v>1</x:v>
      </x:c>
      <x:c r="C97" s="9" t="str">
        <x:v>2035-06-04_6</x:v>
      </x:c>
      <x:c r="D97" s="9" t="str">
        <x:v>LOCAL_PPO</x:v>
      </x:c>
      <x:c r="E97" s="9" t="n">
        <x:v>1</x:v>
      </x:c>
      <x:c r="F97" s="9" t="n">
        <x:v>2017</x:v>
      </x:c>
      <x:c r="G97" s="11" t="n">
        <x:v>1730516.9721679688</x:v>
      </x:c>
      <x:c r="H97" s="11" t="n">
        <x:v>40.75752880008076</x:v>
      </x:c>
      <x:c r="I97" s="13" t="n">
        <x:v>1650</x:v>
      </x:c>
      <x:c r="J97" s="15" t="n">
        <x:f>(G97-G100)/ABS(G100)</x:f>
        <x:v>-0.0017443946275142077</x:v>
      </x:c>
      <x:c r="K97" s="15" t="n">
        <x:f>1-H97/H100</x:f>
        <x:v>0.1629707517337019</x:v>
      </x:c>
      <x:c r="L97" s="9" t="n">
        <x:v>1</x:v>
      </x:c>
      <x:c r="M97" s="9" t="n">
        <x:v>1</x:v>
      </x:c>
      <x:c r="N97" s="17" t="n">
        <x:v>5.4220793999993475</x:v>
      </x:c>
    </x:row>
    <x:row r="98" ht="23" customHeight="1">
      <x:c r="A98" s="2" t="n">
        <x:v>1</x:v>
      </x:c>
      <x:c r="B98" s="2" t="n">
        <x:v>1</x:v>
      </x:c>
      <x:c r="C98" s="2" t="str">
        <x:v>2035-06-04_6</x:v>
      </x:c>
      <x:c r="D98" s="2" t="str">
        <x:v>SOFTGNN1</x:v>
      </x:c>
      <x:c r="E98" s="2" t="n">
        <x:v>1</x:v>
      </x:c>
      <x:c r="F98" s="2" t="n">
        <x:v>2017</x:v>
      </x:c>
      <x:c r="G98" s="10" t="n">
        <x:v>1662911.2288513184</x:v>
      </x:c>
      <x:c r="H98" s="10" t="n">
        <x:v>38.867633299967565</x:v>
      </x:c>
      <x:c r="I98" s="12" t="n">
        <x:v>1808</x:v>
      </x:c>
      <x:c r="J98" s="14" t="n">
        <x:f>(G98-G100)/ABS(G100)</x:f>
        <x:v>-0.040743036829024595</x:v>
      </x:c>
      <x:c r="K98" s="14" t="n">
        <x:f>1-H98/H100</x:f>
        <x:v>0.2017831590688216</x:v>
      </x:c>
      <x:c r="L98" s="2" t="n">
        <x:v>1</x:v>
      </x:c>
      <x:c r="M98" s="2" t="n">
        <x:v>1</x:v>
      </x:c>
      <x:c r="N98" s="16" t="n">
        <x:v>4.92792410000402</x:v>
      </x:c>
    </x:row>
    <x:row r="99" ht="23" customHeight="1">
      <x:c r="A99" s="9" t="n">
        <x:v>1</x:v>
      </x:c>
      <x:c r="B99" s="9" t="n">
        <x:v>1</x:v>
      </x:c>
      <x:c r="C99" s="9" t="str">
        <x:v>2035-06-04_6</x:v>
      </x:c>
      <x:c r="D99" s="9" t="str">
        <x:v>SOFTGNN0</x:v>
      </x:c>
      <x:c r="E99" s="9" t="n">
        <x:v>1</x:v>
      </x:c>
      <x:c r="F99" s="9" t="n">
        <x:v>2017</x:v>
      </x:c>
      <x:c r="G99" s="11" t="n">
        <x:v>1733540.9516906738</x:v>
      </x:c>
      <x:c r="H99" s="11" t="n">
        <x:v>43.01955579965579</x:v>
      </x:c>
      <x:c r="I99" s="13" t="n">
        <x:v>2129</x:v>
      </x:c>
      <x:c r="J99" s="15" t="n">
        <x:f>(G99-G100)/ABS(G100)</x:f>
        <x:v>0</x:v>
      </x:c>
      <x:c r="K99" s="15" t="n">
        <x:f>1-H99/H100</x:f>
        <x:v>0.11651595393917502</x:v>
      </x:c>
      <x:c r="L99" s="9" t="n">
        <x:v>1</x:v>
      </x:c>
      <x:c r="M99" s="9" t="n">
        <x:v>1</x:v>
      </x:c>
      <x:c r="N99" s="17" t="n">
        <x:v>5.935225100001844</x:v>
      </x:c>
    </x:row>
    <x:row r="100" ht="23" customHeight="1">
      <x:c r="A100" s="2" t="n">
        <x:v>1</x:v>
      </x:c>
      <x:c r="B100" s="2" t="n">
        <x:v>1</x:v>
      </x:c>
      <x:c r="C100" s="2" t="str">
        <x:v>2035-06-04_6</x:v>
      </x:c>
      <x:c r="D100" s="2" t="str">
        <x:v>FULL</x:v>
      </x:c>
      <x:c r="E100" s="2" t="n">
        <x:v>1</x:v>
      </x:c>
      <x:c r="F100" s="2" t="n">
        <x:v>2017</x:v>
      </x:c>
      <x:c r="G100" s="10" t="n">
        <x:v>1733540.9516906738</x:v>
      </x:c>
      <x:c r="H100" s="10" t="n">
        <x:v>48.693076000032306</x:v>
      </x:c>
      <x:c r="I100" s="12" t="n">
        <x:v>4526</x:v>
      </x:c>
      <x:c r="J100" s="14" t="n">
        <x:f>(G100-G100)/ABS(G100)</x:f>
        <x:v>0</x:v>
      </x:c>
      <x:c r="K100" s="14" t="n">
        <x:f>1-H100/H100</x:f>
        <x:v>0</x:v>
      </x:c>
      <x:c r="L100" s="2" t="n">
        <x:v>1</x:v>
      </x:c>
      <x:c r="M100" s="2" t="n">
        <x:v>1</x:v>
      </x:c>
      <x:c r="N100" s="16" t="n">
        <x:v>11.695225600000413</x:v>
      </x:c>
    </x:row>
    <x:row r="101" ht="23" customHeight="1">
      <x:c r="A101" s="9" t="n">
        <x:v>1</x:v>
      </x:c>
      <x:c r="B101" s="9" t="n">
        <x:v>1</x:v>
      </x:c>
      <x:c r="C101" s="9" t="str">
        <x:v>2035-06-04_6</x:v>
      </x:c>
      <x:c r="D101" s="9" t="str">
        <x:v>LOCAL_GNN1</x:v>
      </x:c>
      <x:c r="E101" s="9" t="n">
        <x:v>1</x:v>
      </x:c>
      <x:c r="F101" s="9" t="n">
        <x:v>2017</x:v>
      </x:c>
      <x:c r="G101" s="11" t="n">
        <x:v>1730516.9721679688</x:v>
      </x:c>
      <x:c r="H101" s="11" t="n">
        <x:v>40.18983690004097</x:v>
      </x:c>
      <x:c r="I101" s="13" t="n">
        <x:v>1583</x:v>
      </x:c>
      <x:c r="J101" s="15" t="n">
        <x:f>(G101-G100)/ABS(G100)</x:f>
        <x:v>-0.0017443946275142077</x:v>
      </x:c>
      <x:c r="K101" s="15" t="n">
        <x:f>1-H101/H100</x:f>
        <x:v>0.17462932717550417</x:v>
      </x:c>
      <x:c r="L101" s="9" t="n">
        <x:v>1</x:v>
      </x:c>
      <x:c r="M101" s="9" t="n">
        <x:v>1</x:v>
      </x:c>
      <x:c r="N101" s="17" t="n">
        <x:v>5.234704200003762</x:v>
      </x:c>
    </x:row>
    <x:row r="102" ht="23" customHeight="1">
      <x:c r="A102" s="2" t="n">
        <x:v>1</x:v>
      </x:c>
      <x:c r="B102" s="2" t="n">
        <x:v>1</x:v>
      </x:c>
      <x:c r="C102" s="2" t="str">
        <x:v>2035-07-30_12</x:v>
      </x:c>
      <x:c r="D102" s="2" t="str">
        <x:v>LOCAL_GNN1</x:v>
      </x:c>
      <x:c r="E102" s="2" t="n">
        <x:v>1</x:v>
      </x:c>
      <x:c r="F102" s="2" t="n">
        <x:v>2017</x:v>
      </x:c>
      <x:c r="G102" s="10" t="n">
        <x:v>1067164.088546753</x:v>
      </x:c>
      <x:c r="H102" s="10" t="n">
        <x:v>45.201054499797465</x:v>
      </x:c>
      <x:c r="I102" s="12" t="n">
        <x:v>1024</x:v>
      </x:c>
      <x:c r="J102" s="14" t="n">
        <x:f>(G102-G109)/ABS(G109)</x:f>
        <x:v>-0.002995298131164348</x:v>
      </x:c>
      <x:c r="K102" s="14" t="n">
        <x:f>1-H102/H109</x:f>
        <x:v>0.2643108785010574</x:v>
      </x:c>
      <x:c r="L102" s="2" t="n">
        <x:v>1</x:v>
      </x:c>
      <x:c r="M102" s="2" t="n">
        <x:v>1</x:v>
      </x:c>
      <x:c r="N102" s="16" t="n">
        <x:v>4.102555000004941</x:v>
      </x:c>
    </x:row>
    <x:row r="103" ht="23" customHeight="1">
      <x:c r="A103" s="9" t="n">
        <x:v>1</x:v>
      </x:c>
      <x:c r="B103" s="9" t="n">
        <x:v>1</x:v>
      </x:c>
      <x:c r="C103" s="9" t="str">
        <x:v>2035-07-30_12</x:v>
      </x:c>
      <x:c r="D103" s="9" t="str">
        <x:v>LOCAL_GNN0</x:v>
      </x:c>
      <x:c r="E103" s="9" t="n">
        <x:v>1</x:v>
      </x:c>
      <x:c r="F103" s="9" t="n">
        <x:v>2017</x:v>
      </x:c>
      <x:c r="G103" s="11" t="n">
        <x:v>1067164.088546753</x:v>
      </x:c>
      <x:c r="H103" s="11" t="n">
        <x:v>44.87063480006327</x:v>
      </x:c>
      <x:c r="I103" s="13" t="n">
        <x:v>1024</x:v>
      </x:c>
      <x:c r="J103" s="15" t="n">
        <x:f>(G103-G109)/ABS(G109)</x:f>
        <x:v>-0.002995298131164348</x:v>
      </x:c>
      <x:c r="K103" s="15" t="n">
        <x:f>1-H103/H109</x:f>
        <x:v>0.26968876583827606</x:v>
      </x:c>
      <x:c r="L103" s="9" t="n">
        <x:v>1</x:v>
      </x:c>
      <x:c r="M103" s="9" t="n">
        <x:v>1</x:v>
      </x:c>
      <x:c r="N103" s="17" t="n">
        <x:v>4.099901499997941</x:v>
      </x:c>
    </x:row>
    <x:row r="104" ht="23" customHeight="1">
      <x:c r="A104" s="2" t="n">
        <x:v>1</x:v>
      </x:c>
      <x:c r="B104" s="2" t="n">
        <x:v>1</x:v>
      </x:c>
      <x:c r="C104" s="2" t="str">
        <x:v>2035-07-30_12</x:v>
      </x:c>
      <x:c r="D104" s="2" t="str">
        <x:v>COMPRESSED_GNN1</x:v>
      </x:c>
      <x:c r="E104" s="2" t="n">
        <x:v>1</x:v>
      </x:c>
      <x:c r="F104" s="2" t="n">
        <x:v>2017</x:v>
      </x:c>
      <x:c r="G104" s="10" t="n">
        <x:v>1067349.4080047607</x:v>
      </x:c>
      <x:c r="H104" s="10" t="n">
        <x:v>45.65312149999227</x:v>
      </x:c>
      <x:c r="I104" s="12" t="n">
        <x:v>1024</x:v>
      </x:c>
      <x:c r="J104" s="14" t="n">
        <x:f>(G104-G109)/ABS(G109)</x:f>
        <x:v>-0.0028221622723357564</x:v>
      </x:c>
      <x:c r="K104" s="14" t="n">
        <x:f>1-H104/H109</x:f>
        <x:v>0.25695306842533305</x:v>
      </x:c>
      <x:c r="L104" s="2" t="n">
        <x:v>1</x:v>
      </x:c>
      <x:c r="M104" s="2" t="n">
        <x:v>1</x:v>
      </x:c>
      <x:c r="N104" s="16" t="n">
        <x:v>4.096838400007982</x:v>
      </x:c>
    </x:row>
    <x:row r="105" ht="23" customHeight="1">
      <x:c r="A105" s="9" t="n">
        <x:v>1</x:v>
      </x:c>
      <x:c r="B105" s="9" t="n">
        <x:v>1</x:v>
      </x:c>
      <x:c r="C105" s="9" t="str">
        <x:v>2035-07-30_12</x:v>
      </x:c>
      <x:c r="D105" s="9" t="str">
        <x:v>COMPRESSED_GNN0</x:v>
      </x:c>
      <x:c r="E105" s="9" t="n">
        <x:v>1</x:v>
      </x:c>
      <x:c r="F105" s="9" t="n">
        <x:v>2017</x:v>
      </x:c>
      <x:c r="G105" s="11" t="n">
        <x:v>1067349.4080047607</x:v>
      </x:c>
      <x:c r="H105" s="11" t="n">
        <x:v>45.55377619983483</x:v>
      </x:c>
      <x:c r="I105" s="13" t="n">
        <x:v>1024</x:v>
      </x:c>
      <x:c r="J105" s="15" t="n">
        <x:f>(G105-G109)/ABS(G109)</x:f>
        <x:v>-0.0028221622723357564</x:v>
      </x:c>
      <x:c r="K105" s="15" t="n">
        <x:f>1-H105/H109</x:f>
        <x:v>0.2585700054062656</x:v>
      </x:c>
      <x:c r="L105" s="9" t="n">
        <x:v>1</x:v>
      </x:c>
      <x:c r="M105" s="9" t="n">
        <x:v>1</x:v>
      </x:c>
      <x:c r="N105" s="17" t="n">
        <x:v>4.081253199998173</x:v>
      </x:c>
    </x:row>
    <x:row r="106" ht="23" customHeight="1">
      <x:c r="A106" s="2" t="n">
        <x:v>1</x:v>
      </x:c>
      <x:c r="B106" s="2" t="n">
        <x:v>1</x:v>
      </x:c>
      <x:c r="C106" s="2" t="str">
        <x:v>2035-07-30_12</x:v>
      </x:c>
      <x:c r="D106" s="2" t="str">
        <x:v>LOCAL_PPO</x:v>
      </x:c>
      <x:c r="E106" s="2" t="n">
        <x:v>1</x:v>
      </x:c>
      <x:c r="F106" s="2" t="n">
        <x:v>2017</x:v>
      </x:c>
      <x:c r="G106" s="10" t="n">
        <x:v>1067228.7969818115</x:v>
      </x:c>
      <x:c r="H106" s="10" t="n">
        <x:v>46.01488430019526</x:v>
      </x:c>
      <x:c r="I106" s="12" t="n">
        <x:v>1152</x:v>
      </x:c>
      <x:c r="J106" s="14" t="n">
        <x:f>(G106-G109)/ABS(G109)</x:f>
        <x:v>-0.0029348438723522407</x:v>
      </x:c>
      <x:c r="K106" s="14" t="n">
        <x:f>1-H106/H109</x:f>
        <x:v>0.25106504303261723</x:v>
      </x:c>
      <x:c r="L106" s="2" t="n">
        <x:v>1</x:v>
      </x:c>
      <x:c r="M106" s="2" t="n">
        <x:v>1</x:v>
      </x:c>
      <x:c r="N106" s="16" t="n">
        <x:v>4.522105400006694</x:v>
      </x:c>
    </x:row>
    <x:row r="107" ht="23" customHeight="1">
      <x:c r="A107" s="9" t="n">
        <x:v>1</x:v>
      </x:c>
      <x:c r="B107" s="9" t="n">
        <x:v>1</x:v>
      </x:c>
      <x:c r="C107" s="9" t="str">
        <x:v>2035-07-30_12</x:v>
      </x:c>
      <x:c r="D107" s="9" t="str">
        <x:v>SOFTGNN1</x:v>
      </x:c>
      <x:c r="E107" s="9" t="n">
        <x:v>1</x:v>
      </x:c>
      <x:c r="F107" s="9" t="n">
        <x:v>2017</x:v>
      </x:c>
      <x:c r="G107" s="11" t="n">
        <x:v>1070370.166305542</x:v>
      </x:c>
      <x:c r="H107" s="11" t="n">
        <x:v>45.55692670010467</x:v>
      </x:c>
      <x:c r="I107" s="13" t="n">
        <x:v>1024</x:v>
      </x:c>
      <x:c r="J107" s="15" t="n">
        <x:f>(G107-G109)/ABS(G109)</x:f>
        <x:v>0</x:v>
      </x:c>
      <x:c r="K107" s="15" t="n">
        <x:f>1-H107/H109</x:f>
        <x:v>0.25851872808980814</x:v>
      </x:c>
      <x:c r="L107" s="9" t="n">
        <x:v>1</x:v>
      </x:c>
      <x:c r="M107" s="9" t="n">
        <x:v>1</x:v>
      </x:c>
      <x:c r="N107" s="17" t="n">
        <x:v>3.7725493000034476</x:v>
      </x:c>
    </x:row>
    <x:row r="108" ht="23" customHeight="1">
      <x:c r="A108" s="2" t="n">
        <x:v>1</x:v>
      </x:c>
      <x:c r="B108" s="2" t="n">
        <x:v>1</x:v>
      </x:c>
      <x:c r="C108" s="2" t="str">
        <x:v>2035-07-30_12</x:v>
      </x:c>
      <x:c r="D108" s="2" t="str">
        <x:v>SOFTGNN0</x:v>
      </x:c>
      <x:c r="E108" s="2" t="n">
        <x:v>1</x:v>
      </x:c>
      <x:c r="F108" s="2" t="n">
        <x:v>2017</x:v>
      </x:c>
      <x:c r="G108" s="10" t="n">
        <x:v>1072264.278213501</x:v>
      </x:c>
      <x:c r="H108" s="10" t="n">
        <x:v>45.71153719985887</x:v>
      </x:c>
      <x:c r="I108" s="12" t="n">
        <x:v>1024</x:v>
      </x:c>
      <x:c r="J108" s="14" t="n">
        <x:f>(G108-G109)/ABS(G109)</x:f>
        <x:v>0.001769585856915879</x:v>
      </x:c>
      <x:c r="K108" s="14" t="n">
        <x:f>1-H108/H109</x:f>
        <x:v>0.25600229868351654</x:v>
      </x:c>
      <x:c r="L108" s="2" t="n">
        <x:v>1</x:v>
      </x:c>
      <x:c r="M108" s="2" t="n">
        <x:v>1</x:v>
      </x:c>
      <x:c r="N108" s="16" t="n">
        <x:v>3.7395662999915658</x:v>
      </x:c>
    </x:row>
    <x:row r="109" ht="23" customHeight="1">
      <x:c r="A109" s="9" t="n">
        <x:v>1</x:v>
      </x:c>
      <x:c r="B109" s="9" t="n">
        <x:v>1</x:v>
      </x:c>
      <x:c r="C109" s="9" t="str">
        <x:v>2035-07-30_12</x:v>
      </x:c>
      <x:c r="D109" s="9" t="str">
        <x:v>FULL</x:v>
      </x:c>
      <x:c r="E109" s="9" t="n">
        <x:v>1</x:v>
      </x:c>
      <x:c r="F109" s="9" t="n">
        <x:v>2017</x:v>
      </x:c>
      <x:c r="G109" s="11" t="n">
        <x:v>1070370.166305542</x:v>
      </x:c>
      <x:c r="H109" s="11" t="n">
        <x:v>61.440427999943495</x:v>
      </x:c>
      <x:c r="I109" s="13" t="n">
        <x:v>7240</x:v>
      </x:c>
      <x:c r="J109" s="15" t="n">
        <x:f>(G109-G109)/ABS(G109)</x:f>
        <x:v>0</x:v>
      </x:c>
      <x:c r="K109" s="15" t="n">
        <x:f>1-H109/H109</x:f>
        <x:v>0</x:v>
      </x:c>
      <x:c r="L109" s="9" t="n">
        <x:v>1</x:v>
      </x:c>
      <x:c r="M109" s="9" t="n">
        <x:v>1</x:v>
      </x:c>
      <x:c r="N109" s="17" t="n">
        <x:v>19.958278900005098</x:v>
      </x:c>
    </x:row>
    <x:row r="110" ht="23" customHeight="1">
      <x:c r="A110" s="2" t="n">
        <x:v>1</x:v>
      </x:c>
      <x:c r="B110" s="2" t="n">
        <x:v>1</x:v>
      </x:c>
      <x:c r="C110" s="2" t="str">
        <x:v>2035-09-24_4</x:v>
      </x:c>
      <x:c r="D110" s="2" t="str">
        <x:v>FULL</x:v>
      </x:c>
      <x:c r="E110" s="2" t="n">
        <x:v>1</x:v>
      </x:c>
      <x:c r="F110" s="2" t="n">
        <x:v>2017</x:v>
      </x:c>
      <x:c r="G110" s="10" t="n">
        <x:v>1342635.41847229</x:v>
      </x:c>
      <x:c r="H110" s="10" t="n">
        <x:v>38.57440039991343</x:v>
      </x:c>
      <x:c r="I110" s="12" t="n">
        <x:v>7211</x:v>
      </x:c>
      <x:c r="J110" s="14" t="n">
        <x:f>(G110-G110)/ABS(G110)</x:f>
        <x:v>0</x:v>
      </x:c>
      <x:c r="K110" s="14" t="n">
        <x:f>1-H110/H110</x:f>
        <x:v>0</x:v>
      </x:c>
      <x:c r="L110" s="2" t="n">
        <x:v>1</x:v>
      </x:c>
      <x:c r="M110" s="2" t="n">
        <x:v>1</x:v>
      </x:c>
      <x:c r="N110" s="16" t="n">
        <x:v>17.78993810000975</x:v>
      </x:c>
    </x:row>
    <x:row r="111" ht="23" customHeight="1">
      <x:c r="A111" s="9" t="n">
        <x:v>1</x:v>
      </x:c>
      <x:c r="B111" s="9" t="n">
        <x:v>1</x:v>
      </x:c>
      <x:c r="C111" s="9" t="str">
        <x:v>2035-09-24_4</x:v>
      </x:c>
      <x:c r="D111" s="9" t="str">
        <x:v>LOCAL_GNN1</x:v>
      </x:c>
      <x:c r="E111" s="9" t="n">
        <x:v>1</x:v>
      </x:c>
      <x:c r="F111" s="9" t="n">
        <x:v>2017</x:v>
      </x:c>
      <x:c r="G111" s="11" t="n">
        <x:v>1342293.062789917</x:v>
      </x:c>
      <x:c r="H111" s="11" t="n">
        <x:v>24.367487300034554</x:v>
      </x:c>
      <x:c r="I111" s="13" t="n">
        <x:v>1024</x:v>
      </x:c>
      <x:c r="J111" s="15" t="n">
        <x:f>(G111-G110)/ABS(G110)</x:f>
        <x:v>-0.00025498782295092017</x:v>
      </x:c>
      <x:c r="K111" s="15" t="n">
        <x:f>1-H111/H110</x:f>
        <x:v>0.3682990001812383</x:v>
      </x:c>
      <x:c r="L111" s="9" t="n">
        <x:v>1</x:v>
      </x:c>
      <x:c r="M111" s="9" t="n">
        <x:v>1</x:v>
      </x:c>
      <x:c r="N111" s="17" t="n">
        <x:v>3.596471900011238</x:v>
      </x:c>
    </x:row>
    <x:row r="112" ht="23" customHeight="1">
      <x:c r="A112" s="2" t="n">
        <x:v>1</x:v>
      </x:c>
      <x:c r="B112" s="2" t="n">
        <x:v>1</x:v>
      </x:c>
      <x:c r="C112" s="2" t="str">
        <x:v>2035-09-24_4</x:v>
      </x:c>
      <x:c r="D112" s="2" t="str">
        <x:v>LOCAL_GNN0</x:v>
      </x:c>
      <x:c r="E112" s="2" t="n">
        <x:v>1</x:v>
      </x:c>
      <x:c r="F112" s="2" t="n">
        <x:v>2017</x:v>
      </x:c>
      <x:c r="G112" s="10" t="n">
        <x:v>1342498.2954559326</x:v>
      </x:c>
      <x:c r="H112" s="10" t="n">
        <x:v>24.46846090010513</x:v>
      </x:c>
      <x:c r="I112" s="12" t="n">
        <x:v>1024</x:v>
      </x:c>
      <x:c r="J112" s="14" t="n">
        <x:f>(G112-G110)/ABS(G110)</x:f>
        <x:v>-0.00010212974756277955</x:v>
      </x:c>
      <x:c r="K112" s="14" t="n">
        <x:f>1-H112/H110</x:f>
        <x:v>0.36568136778711813</x:v>
      </x:c>
      <x:c r="L112" s="2" t="n">
        <x:v>1</x:v>
      </x:c>
      <x:c r="M112" s="2" t="n">
        <x:v>1</x:v>
      </x:c>
      <x:c r="N112" s="16" t="n">
        <x:v>3.7663603000255534</x:v>
      </x:c>
    </x:row>
    <x:row r="113" ht="23" customHeight="1">
      <x:c r="A113" s="9" t="n">
        <x:v>1</x:v>
      </x:c>
      <x:c r="B113" s="9" t="n">
        <x:v>1</x:v>
      </x:c>
      <x:c r="C113" s="9" t="str">
        <x:v>2035-09-24_4</x:v>
      </x:c>
      <x:c r="D113" s="9" t="str">
        <x:v>COMPRESSED_GNN1</x:v>
      </x:c>
      <x:c r="E113" s="9" t="n">
        <x:v>1</x:v>
      </x:c>
      <x:c r="F113" s="9" t="n">
        <x:v>2017</x:v>
      </x:c>
      <x:c r="G113" s="11" t="n">
        <x:v>1342405.4433441162</x:v>
      </x:c>
      <x:c r="H113" s="11" t="n">
        <x:v>24.328631099881022</x:v>
      </x:c>
      <x:c r="I113" s="13" t="n">
        <x:v>1024</x:v>
      </x:c>
      <x:c r="J113" s="15" t="n">
        <x:f>(G113-G110)/ABS(G110)</x:f>
        <x:v>-0.0001712863559308632</x:v>
      </x:c>
      <x:c r="K113" s="15" t="n">
        <x:f>1-H113/H110</x:f>
        <x:v>0.36930630553791777</x:v>
      </x:c>
      <x:c r="L113" s="9" t="n">
        <x:v>1</x:v>
      </x:c>
      <x:c r="M113" s="9" t="n">
        <x:v>1</x:v>
      </x:c>
      <x:c r="N113" s="17" t="n">
        <x:v>3.7591915000011795</x:v>
      </x:c>
    </x:row>
    <x:row r="114" ht="23" customHeight="1">
      <x:c r="A114" s="2" t="n">
        <x:v>1</x:v>
      </x:c>
      <x:c r="B114" s="2" t="n">
        <x:v>1</x:v>
      </x:c>
      <x:c r="C114" s="2" t="str">
        <x:v>2035-09-24_4</x:v>
      </x:c>
      <x:c r="D114" s="2" t="str">
        <x:v>COMPRESSED_GNN0</x:v>
      </x:c>
      <x:c r="E114" s="2" t="n">
        <x:v>1</x:v>
      </x:c>
      <x:c r="F114" s="2" t="n">
        <x:v>2017</x:v>
      </x:c>
      <x:c r="G114" s="10" t="n">
        <x:v>1342635.41847229</x:v>
      </x:c>
      <x:c r="H114" s="10" t="n">
        <x:v>24.437733999817283</x:v>
      </x:c>
      <x:c r="I114" s="12" t="n">
        <x:v>1024</x:v>
      </x:c>
      <x:c r="J114" s="14" t="n">
        <x:f>(G114-G110)/ABS(G110)</x:f>
        <x:v>0</x:v>
      </x:c>
      <x:c r="K114" s="14" t="n">
        <x:f>1-H114/H110</x:f>
        <x:v>0.36647792975488147</x:v>
      </x:c>
      <x:c r="L114" s="2" t="n">
        <x:v>1</x:v>
      </x:c>
      <x:c r="M114" s="2" t="n">
        <x:v>1</x:v>
      </x:c>
      <x:c r="N114" s="16" t="n">
        <x:v>3.628161500004353</x:v>
      </x:c>
    </x:row>
    <x:row r="115" ht="23" customHeight="1">
      <x:c r="A115" s="9" t="n">
        <x:v>1</x:v>
      </x:c>
      <x:c r="B115" s="9" t="n">
        <x:v>1</x:v>
      </x:c>
      <x:c r="C115" s="9" t="str">
        <x:v>2035-09-24_4</x:v>
      </x:c>
      <x:c r="D115" s="9" t="str">
        <x:v>LOCAL_PPO</x:v>
      </x:c>
      <x:c r="E115" s="9" t="n">
        <x:v>1</x:v>
      </x:c>
      <x:c r="F115" s="9" t="n">
        <x:v>2017</x:v>
      </x:c>
      <x:c r="G115" s="11" t="n">
        <x:v>1339023.6539764404</x:v>
      </x:c>
      <x:c r="H115" s="11" t="n">
        <x:v>25.341420799937623</x:v>
      </x:c>
      <x:c r="I115" s="13" t="n">
        <x:v>1024</x:v>
      </x:c>
      <x:c r="J115" s="15" t="n">
        <x:f>(G115-G110)/ABS(G110)</x:f>
        <x:v>-0.002690056024262517</x:v>
      </x:c>
      <x:c r="K115" s="15" t="n">
        <x:f>1-H115/H110</x:f>
        <x:v>0.3430508177129178</x:v>
      </x:c>
      <x:c r="L115" s="9" t="n">
        <x:v>1</x:v>
      </x:c>
      <x:c r="M115" s="9" t="n">
        <x:v>1</x:v>
      </x:c>
      <x:c r="N115" s="17" t="n">
        <x:v>4.04274480001186</x:v>
      </x:c>
    </x:row>
    <x:row r="116" ht="23" customHeight="1">
      <x:c r="A116" s="2" t="n">
        <x:v>1</x:v>
      </x:c>
      <x:c r="B116" s="2" t="n">
        <x:v>1</x:v>
      </x:c>
      <x:c r="C116" s="2" t="str">
        <x:v>2035-09-24_4</x:v>
      </x:c>
      <x:c r="D116" s="2" t="str">
        <x:v>SOFTGNN1</x:v>
      </x:c>
      <x:c r="E116" s="2" t="n">
        <x:v>1</x:v>
      </x:c>
      <x:c r="F116" s="2" t="n">
        <x:v>2017</x:v>
      </x:c>
      <x:c r="G116" s="10" t="n">
        <x:v>1344903.5353546143</x:v>
      </x:c>
      <x:c r="H116" s="10" t="n">
        <x:v>25.387980899926333</x:v>
      </x:c>
      <x:c r="I116" s="12" t="n">
        <x:v>1024</x:v>
      </x:c>
      <x:c r="J116" s="14" t="n">
        <x:f>(G116-G110)/ABS(G110)</x:f>
        <x:v>0.0016893021375117472</x:v>
      </x:c>
      <x:c r="K116" s="14" t="n">
        <x:f>1-H116/H110</x:f>
        <x:v>0.34184379700732015</x:v>
      </x:c>
      <x:c r="L116" s="2" t="n">
        <x:v>1</x:v>
      </x:c>
      <x:c r="M116" s="2" t="n">
        <x:v>1</x:v>
      </x:c>
      <x:c r="N116" s="16" t="n">
        <x:v>3.624203800005489</x:v>
      </x:c>
    </x:row>
    <x:row r="117" ht="23" customHeight="1">
      <x:c r="A117" s="9" t="n">
        <x:v>1</x:v>
      </x:c>
      <x:c r="B117" s="9" t="n">
        <x:v>1</x:v>
      </x:c>
      <x:c r="C117" s="9" t="str">
        <x:v>2035-09-24_4</x:v>
      </x:c>
      <x:c r="D117" s="9" t="str">
        <x:v>SOFTGNN0</x:v>
      </x:c>
      <x:c r="E117" s="9" t="n">
        <x:v>1</x:v>
      </x:c>
      <x:c r="F117" s="9" t="n">
        <x:v>2017</x:v>
      </x:c>
      <x:c r="G117" s="11" t="n">
        <x:v>1342807.0201568604</x:v>
      </x:c>
      <x:c r="H117" s="11" t="n">
        <x:v>24.513704499717278</x:v>
      </x:c>
      <x:c r="I117" s="13" t="n">
        <x:v>1024</x:v>
      </x:c>
      <x:c r="J117" s="15" t="n">
        <x:f>(G117-G110)/ABS(G110)</x:f>
        <x:v>0.00012780959165040388</x:v>
      </x:c>
      <x:c r="K117" s="15" t="n">
        <x:f>1-H117/H110</x:f>
        <x:v>0.36450847594322444</x:v>
      </x:c>
      <x:c r="L117" s="9" t="n">
        <x:v>1</x:v>
      </x:c>
      <x:c r="M117" s="9" t="n">
        <x:v>1</x:v>
      </x:c>
      <x:c r="N117" s="17" t="n">
        <x:v>3.4343779000046197</x:v>
      </x:c>
    </x:row>
    <x:row r="118" ht="23" customHeight="1">
      <x:c r="A118" s="2" t="n">
        <x:v>1</x:v>
      </x:c>
      <x:c r="B118" s="2" t="n">
        <x:v>1</x:v>
      </x:c>
      <x:c r="C118" s="2" t="str">
        <x:v>2035-10-15_4</x:v>
      </x:c>
      <x:c r="D118" s="2" t="str">
        <x:v>SOFTGNN0</x:v>
      </x:c>
      <x:c r="E118" s="2" t="n">
        <x:v>1</x:v>
      </x:c>
      <x:c r="F118" s="2" t="n">
        <x:v>2017</x:v>
      </x:c>
      <x:c r="G118" s="10" t="n">
        <x:v>2008374.360321045</x:v>
      </x:c>
      <x:c r="H118" s="10" t="n">
        <x:v>75.5264226001018</x:v>
      </x:c>
      <x:c r="I118" s="12" t="n">
        <x:v>4294</x:v>
      </x:c>
      <x:c r="J118" s="14" t="n">
        <x:f>(G118-G119)/ABS(G119)</x:f>
        <x:v>-0.0029249317758971343</x:v>
      </x:c>
      <x:c r="K118" s="14" t="n">
        <x:f>1-H118/H119</x:f>
        <x:v>0.23478882066131201</x:v>
      </x:c>
      <x:c r="L118" s="2" t="n">
        <x:v>1</x:v>
      </x:c>
      <x:c r="M118" s="2" t="n">
        <x:v>1</x:v>
      </x:c>
      <x:c r="N118" s="16" t="n">
        <x:v>14.524253799987491</x:v>
      </x:c>
    </x:row>
    <x:row r="119" ht="23" customHeight="1">
      <x:c r="A119" s="9" t="n">
        <x:v>1</x:v>
      </x:c>
      <x:c r="B119" s="9" t="n">
        <x:v>1</x:v>
      </x:c>
      <x:c r="C119" s="9" t="str">
        <x:v>2035-10-15_4</x:v>
      </x:c>
      <x:c r="D119" s="9" t="str">
        <x:v>FULL</x:v>
      </x:c>
      <x:c r="E119" s="9" t="n">
        <x:v>1</x:v>
      </x:c>
      <x:c r="F119" s="9" t="n">
        <x:v>2017</x:v>
      </x:c>
      <x:c r="G119" s="11" t="n">
        <x:v>2014265.950805664</x:v>
      </x:c>
      <x:c r="H119" s="11" t="n">
        <x:v>98.70010350002121</x:v>
      </x:c>
      <x:c r="I119" s="13" t="n">
        <x:v>12248</x:v>
      </x:c>
      <x:c r="J119" s="15" t="n">
        <x:f>(G119-G119)/ABS(G119)</x:f>
        <x:v>0</x:v>
      </x:c>
      <x:c r="K119" s="15" t="n">
        <x:f>1-H119/H119</x:f>
        <x:v>0</x:v>
      </x:c>
      <x:c r="L119" s="9" t="n">
        <x:v>1</x:v>
      </x:c>
      <x:c r="M119" s="9" t="n">
        <x:v>1</x:v>
      </x:c>
      <x:c r="N119" s="17" t="n">
        <x:v>37.944685700000264</x:v>
      </x:c>
    </x:row>
    <x:row r="120" ht="23" customHeight="1">
      <x:c r="A120" s="2" t="n">
        <x:v>1</x:v>
      </x:c>
      <x:c r="B120" s="2" t="n">
        <x:v>1</x:v>
      </x:c>
      <x:c r="C120" s="2" t="str">
        <x:v>2035-10-15_4</x:v>
      </x:c>
      <x:c r="D120" s="2" t="str">
        <x:v>LOCAL_GNN1</x:v>
      </x:c>
      <x:c r="E120" s="2" t="n">
        <x:v>1</x:v>
      </x:c>
      <x:c r="F120" s="2" t="n">
        <x:v>2017</x:v>
      </x:c>
      <x:c r="G120" s="10" t="n">
        <x:v>2048596.776397705</x:v>
      </x:c>
      <x:c r="H120" s="10" t="n">
        <x:v>68.2850611996837</x:v>
      </x:c>
      <x:c r="I120" s="12" t="n">
        <x:v>3566</x:v>
      </x:c>
      <x:c r="J120" s="14" t="n">
        <x:f>(G120-G119)/ABS(G119)</x:f>
        <x:v>0.017043839508039844</x:v>
      </x:c>
      <x:c r="K120" s="14" t="n">
        <x:f>1-H120/H119</x:f>
        <x:v>0.30815613380112594</x:v>
      </x:c>
      <x:c r="L120" s="2" t="n">
        <x:v>1</x:v>
      </x:c>
      <x:c r="M120" s="2" t="n">
        <x:v>0</x:v>
      </x:c>
      <x:c r="N120" s="16" t="n">
        <x:v>13.149961799987068</x:v>
      </x:c>
    </x:row>
    <x:row r="121" ht="23" customHeight="1">
      <x:c r="A121" s="9" t="n">
        <x:v>1</x:v>
      </x:c>
      <x:c r="B121" s="9" t="n">
        <x:v>1</x:v>
      </x:c>
      <x:c r="C121" s="9" t="str">
        <x:v>2035-10-15_4</x:v>
      </x:c>
      <x:c r="D121" s="9" t="str">
        <x:v>LOCAL_GNN0</x:v>
      </x:c>
      <x:c r="E121" s="9" t="n">
        <x:v>1</x:v>
      </x:c>
      <x:c r="F121" s="9" t="n">
        <x:v>2017</x:v>
      </x:c>
      <x:c r="G121" s="11" t="n">
        <x:v>2049321.4553222656</x:v>
      </x:c>
      <x:c r="H121" s="11" t="n">
        <x:v>66.93003209977905</x:v>
      </x:c>
      <x:c r="I121" s="13" t="n">
        <x:v>3564</x:v>
      </x:c>
      <x:c r="J121" s="15" t="n">
        <x:f>(G121-G119)/ABS(G119)</x:f>
        <x:v>0.017403612716870926</x:v>
      </x:c>
      <x:c r="K121" s="15" t="n">
        <x:f>1-H121/H119</x:f>
        <x:v>0.3218848843480223</x:v>
      </x:c>
      <x:c r="L121" s="9" t="n">
        <x:v>1</x:v>
      </x:c>
      <x:c r="M121" s="9" t="n">
        <x:v>0</x:v>
      </x:c>
      <x:c r="N121" s="17" t="n">
        <x:v>13.140262599983544</x:v>
      </x:c>
    </x:row>
    <x:row r="122" ht="23" customHeight="1">
      <x:c r="A122" s="2" t="n">
        <x:v>1</x:v>
      </x:c>
      <x:c r="B122" s="2" t="n">
        <x:v>1</x:v>
      </x:c>
      <x:c r="C122" s="2" t="str">
        <x:v>2035-10-15_4</x:v>
      </x:c>
      <x:c r="D122" s="2" t="str">
        <x:v>COMPRESSED_GNN1</x:v>
      </x:c>
      <x:c r="E122" s="2" t="n">
        <x:v>1</x:v>
      </x:c>
      <x:c r="F122" s="2" t="n">
        <x:v>2017</x:v>
      </x:c>
      <x:c r="G122" s="10" t="n">
        <x:v>1997841.327911377</x:v>
      </x:c>
      <x:c r="H122" s="10" t="n">
        <x:v>80.32081989991275</x:v>
      </x:c>
      <x:c r="I122" s="12" t="n">
        <x:v>2998</x:v>
      </x:c>
      <x:c r="J122" s="14" t="n">
        <x:f>(G122-G119)/ABS(G119)</x:f>
        <x:v>-0.008154148109249231</x:v>
      </x:c>
      <x:c r="K122" s="14" t="n">
        <x:f>1-H122/H119</x:f>
        <x:v>0.18621341770026123</x:v>
      </x:c>
      <x:c r="L122" s="2" t="n">
        <x:v>1</x:v>
      </x:c>
      <x:c r="M122" s="2" t="n">
        <x:v>1</x:v>
      </x:c>
      <x:c r="N122" s="16" t="n">
        <x:v>11.698326799996721</x:v>
      </x:c>
    </x:row>
    <x:row r="123" ht="23" customHeight="1">
      <x:c r="A123" s="9" t="n">
        <x:v>1</x:v>
      </x:c>
      <x:c r="B123" s="9" t="n">
        <x:v>1</x:v>
      </x:c>
      <x:c r="C123" s="9" t="str">
        <x:v>2035-10-15_4</x:v>
      </x:c>
      <x:c r="D123" s="9" t="str">
        <x:v>COMPRESSED_GNN0</x:v>
      </x:c>
      <x:c r="E123" s="9" t="n">
        <x:v>1</x:v>
      </x:c>
      <x:c r="F123" s="9" t="n">
        <x:v>2017</x:v>
      </x:c>
      <x:c r="G123" s="11" t="n">
        <x:v>2013516.9062805176</x:v>
      </x:c>
      <x:c r="H123" s="11" t="n">
        <x:v>84.64821539979312</x:v>
      </x:c>
      <x:c r="I123" s="13" t="n">
        <x:v>3475</x:v>
      </x:c>
      <x:c r="J123" s="15" t="n">
        <x:f>(G123-G119)/ABS(G119)</x:f>
        <x:v>-0.0003718697249719593</x:v>
      </x:c>
      <x:c r="K123" s="15" t="n">
        <x:f>1-H123/H119</x:f>
        <x:v>0.14236953763908744</x:v>
      </x:c>
      <x:c r="L123" s="9" t="n">
        <x:v>1</x:v>
      </x:c>
      <x:c r="M123" s="9" t="n">
        <x:v>1</x:v>
      </x:c>
      <x:c r="N123" s="17" t="n">
        <x:v>14.655817800019577</x:v>
      </x:c>
    </x:row>
    <x:row r="124" ht="23" customHeight="1">
      <x:c r="A124" s="2" t="n">
        <x:v>1</x:v>
      </x:c>
      <x:c r="B124" s="2" t="n">
        <x:v>1</x:v>
      </x:c>
      <x:c r="C124" s="2" t="str">
        <x:v>2035-10-15_4</x:v>
      </x:c>
      <x:c r="D124" s="2" t="str">
        <x:v>LOCAL_PPO</x:v>
      </x:c>
      <x:c r="E124" s="2" t="n">
        <x:v>1</x:v>
      </x:c>
      <x:c r="F124" s="2" t="n">
        <x:v>2017</x:v>
      </x:c>
      <x:c r="G124" s="10" t="n">
        <x:v>2042224.0426330566</x:v>
      </x:c>
      <x:c r="H124" s="10" t="n">
        <x:v>71.11160720000771</x:v>
      </x:c>
      <x:c r="I124" s="12" t="n">
        <x:v>2801</x:v>
      </x:c>
      <x:c r="J124" s="14" t="n">
        <x:f>(G124-G119)/ABS(G119)</x:f>
        <x:v>0.013880039930283252</x:v>
      </x:c>
      <x:c r="K124" s="14" t="n">
        <x:f>1-H124/H119</x:f>
        <x:v>0.2795184130684075</x:v>
      </x:c>
      <x:c r="L124" s="2" t="n">
        <x:v>1</x:v>
      </x:c>
      <x:c r="M124" s="2" t="n">
        <x:v>0</x:v>
      </x:c>
      <x:c r="N124" s="16" t="n">
        <x:v>11.504236000000674</x:v>
      </x:c>
    </x:row>
    <x:row r="125" ht="23" customHeight="1">
      <x:c r="A125" s="9" t="n">
        <x:v>1</x:v>
      </x:c>
      <x:c r="B125" s="9" t="n">
        <x:v>1</x:v>
      </x:c>
      <x:c r="C125" s="9" t="str">
        <x:v>2035-10-15_4</x:v>
      </x:c>
      <x:c r="D125" s="9" t="str">
        <x:v>SOFTGNN1</x:v>
      </x:c>
      <x:c r="E125" s="9" t="n">
        <x:v>1</x:v>
      </x:c>
      <x:c r="F125" s="9" t="n">
        <x:v>2017</x:v>
      </x:c>
      <x:c r="G125" s="11" t="n">
        <x:v>2008376.311553955</x:v>
      </x:c>
      <x:c r="H125" s="11" t="n">
        <x:v>81.89878820005106</x:v>
      </x:c>
      <x:c r="I125" s="13" t="n">
        <x:v>4071</x:v>
      </x:c>
      <x:c r="J125" s="15" t="n">
        <x:f>(G125-G119)/ABS(G119)</x:f>
        <x:v>-0.002923963069203077</x:v>
      </x:c>
      <x:c r="K125" s="15" t="n">
        <x:f>1-H125/H119</x:f>
        <x:v>0.17022591369386497</x:v>
      </x:c>
      <x:c r="L125" s="9" t="n">
        <x:v>1</x:v>
      </x:c>
      <x:c r="M125" s="9" t="n">
        <x:v>1</x:v>
      </x:c>
      <x:c r="N125" s="17" t="n">
        <x:v>16.592165700007172</x:v>
      </x:c>
    </x:row>
    <x:row r="126" ht="23" customHeight="1">
      <x:c r="A126" s="2" t="n">
        <x:v>1</x:v>
      </x:c>
      <x:c r="B126" s="2" t="n">
        <x:v>2</x:v>
      </x:c>
      <x:c r="C126" s="2" t="str">
        <x:v>2035-11-12_9</x:v>
      </x:c>
      <x:c r="D126" s="2" t="str">
        <x:v>SOFTGNN1</x:v>
      </x:c>
      <x:c r="E126" s="2" t="n">
        <x:v>1</x:v>
      </x:c>
      <x:c r="F126" s="2" t="n">
        <x:v>2017</x:v>
      </x:c>
      <x:c r="G126" s="10" t="n">
        <x:v>1877367.8850708008</x:v>
      </x:c>
      <x:c r="H126" s="10" t="n">
        <x:v>88.42739659999461</x:v>
      </x:c>
      <x:c r="I126" s="12" t="n">
        <x:v>2239</x:v>
      </x:c>
      <x:c r="J126" s="14" t="n">
        <x:f>(G126-G128)/ABS(G128)</x:f>
        <x:v>0</x:v>
      </x:c>
      <x:c r="K126" s="14" t="n">
        <x:f>1-H126/H128</x:f>
        <x:v>0.09450607173838665</x:v>
      </x:c>
      <x:c r="L126" s="2" t="n">
        <x:v>1</x:v>
      </x:c>
      <x:c r="M126" s="2" t="n">
        <x:v>1</x:v>
      </x:c>
      <x:c r="N126" s="16" t="n">
        <x:v>7.475909999999885</x:v>
      </x:c>
    </x:row>
    <x:row r="127" ht="23" customHeight="1">
      <x:c r="A127" s="9" t="n">
        <x:v>1</x:v>
      </x:c>
      <x:c r="B127" s="9" t="n">
        <x:v>2</x:v>
      </x:c>
      <x:c r="C127" s="9" t="str">
        <x:v>2035-11-12_9</x:v>
      </x:c>
      <x:c r="D127" s="9" t="str">
        <x:v>SOFTGNN0</x:v>
      </x:c>
      <x:c r="E127" s="9" t="n">
        <x:v>1</x:v>
      </x:c>
      <x:c r="F127" s="9" t="n">
        <x:v>2017</x:v>
      </x:c>
      <x:c r="G127" s="11" t="n">
        <x:v>1877367.8850708008</x:v>
      </x:c>
      <x:c r="H127" s="11" t="n">
        <x:v>87.80974640000045</x:v>
      </x:c>
      <x:c r="I127" s="13" t="n">
        <x:v>2096</x:v>
      </x:c>
      <x:c r="J127" s="15" t="n">
        <x:f>(G127-G128)/ABS(G128)</x:f>
        <x:v>0</x:v>
      </x:c>
      <x:c r="K127" s="15" t="n">
        <x:f>1-H127/H128</x:f>
        <x:v>0.10083079153551244</x:v>
      </x:c>
      <x:c r="L127" s="9" t="n">
        <x:v>1</x:v>
      </x:c>
      <x:c r="M127" s="9" t="n">
        <x:v>1</x:v>
      </x:c>
      <x:c r="N127" s="17" t="n">
        <x:v>7.1397372999997515</x:v>
      </x:c>
    </x:row>
    <x:row r="128" ht="23" customHeight="1">
      <x:c r="A128" s="2" t="n">
        <x:v>1</x:v>
      </x:c>
      <x:c r="B128" s="2" t="n">
        <x:v>2</x:v>
      </x:c>
      <x:c r="C128" s="2" t="str">
        <x:v>2035-11-12_9</x:v>
      </x:c>
      <x:c r="D128" s="2" t="str">
        <x:v>FULL</x:v>
      </x:c>
      <x:c r="E128" s="2" t="n">
        <x:v>1</x:v>
      </x:c>
      <x:c r="F128" s="2" t="n">
        <x:v>2017</x:v>
      </x:c>
      <x:c r="G128" s="10" t="n">
        <x:v>1877367.8850708008</x:v>
      </x:c>
      <x:c r="H128" s="10" t="n">
        <x:v>97.65653180000822</x:v>
      </x:c>
      <x:c r="I128" s="12" t="n">
        <x:v>5392</x:v>
      </x:c>
      <x:c r="J128" s="14" t="n">
        <x:f>(G128-G128)/ABS(G128)</x:f>
        <x:v>0</x:v>
      </x:c>
      <x:c r="K128" s="14" t="n">
        <x:f>1-H128/H128</x:f>
        <x:v>0</x:v>
      </x:c>
      <x:c r="L128" s="2" t="n">
        <x:v>1</x:v>
      </x:c>
      <x:c r="M128" s="2" t="n">
        <x:v>1</x:v>
      </x:c>
      <x:c r="N128" s="16" t="n">
        <x:v>16.17158269999959</x:v>
      </x:c>
    </x:row>
    <x:row r="129" ht="23" customHeight="1">
      <x:c r="A129" s="9" t="n">
        <x:v>1</x:v>
      </x:c>
      <x:c r="B129" s="9" t="n">
        <x:v>2</x:v>
      </x:c>
      <x:c r="C129" s="9" t="str">
        <x:v>2035-11-12_9</x:v>
      </x:c>
      <x:c r="D129" s="9" t="str">
        <x:v>LOCAL_GNN1</x:v>
      </x:c>
      <x:c r="E129" s="9" t="n">
        <x:v>1</x:v>
      </x:c>
      <x:c r="F129" s="9" t="n">
        <x:v>2017</x:v>
      </x:c>
      <x:c r="G129" s="11" t="n">
        <x:v>1877367.8850708008</x:v>
      </x:c>
      <x:c r="H129" s="11" t="n">
        <x:v>87.66280230000007</x:v>
      </x:c>
      <x:c r="I129" s="13" t="n">
        <x:v>1750</x:v>
      </x:c>
      <x:c r="J129" s="15" t="n">
        <x:f>(G129-G128)/ABS(G128)</x:f>
        <x:v>0</x:v>
      </x:c>
      <x:c r="K129" s="15" t="n">
        <x:f>1-H129/H128</x:f>
        <x:v>0.10233549477749648</x:v>
      </x:c>
      <x:c r="L129" s="9" t="n">
        <x:v>1</x:v>
      </x:c>
      <x:c r="M129" s="9" t="n">
        <x:v>1</x:v>
      </x:c>
      <x:c r="N129" s="17" t="n">
        <x:v>5.917256900000211</x:v>
      </x:c>
    </x:row>
    <x:row r="130" ht="23" customHeight="1">
      <x:c r="A130" s="2" t="n">
        <x:v>1</x:v>
      </x:c>
      <x:c r="B130" s="2" t="n">
        <x:v>2</x:v>
      </x:c>
      <x:c r="C130" s="2" t="str">
        <x:v>2035-11-12_9</x:v>
      </x:c>
      <x:c r="D130" s="2" t="str">
        <x:v>LOCAL_GNN0</x:v>
      </x:c>
      <x:c r="E130" s="2" t="n">
        <x:v>1</x:v>
      </x:c>
      <x:c r="F130" s="2" t="n">
        <x:v>2017</x:v>
      </x:c>
      <x:c r="G130" s="10" t="n">
        <x:v>1877367.8850708008</x:v>
      </x:c>
      <x:c r="H130" s="10" t="n">
        <x:v>87.46771290000652</x:v>
      </x:c>
      <x:c r="I130" s="12" t="n">
        <x:v>1795</x:v>
      </x:c>
      <x:c r="J130" s="14" t="n">
        <x:f>(G130-G128)/ABS(G128)</x:f>
        <x:v>0</x:v>
      </x:c>
      <x:c r="K130" s="14" t="n">
        <x:f>1-H130/H128</x:f>
        <x:v>0.10433320446877525</x:v>
      </x:c>
      <x:c r="L130" s="2" t="n">
        <x:v>1</x:v>
      </x:c>
      <x:c r="M130" s="2" t="n">
        <x:v>1</x:v>
      </x:c>
      <x:c r="N130" s="16" t="n">
        <x:v>6.018620000000055</x:v>
      </x:c>
    </x:row>
    <x:row r="131" ht="23" customHeight="1">
      <x:c r="A131" s="9" t="n">
        <x:v>1</x:v>
      </x:c>
      <x:c r="B131" s="9" t="n">
        <x:v>2</x:v>
      </x:c>
      <x:c r="C131" s="9" t="str">
        <x:v>2035-11-12_9</x:v>
      </x:c>
      <x:c r="D131" s="9" t="str">
        <x:v>COMPRESSED_GNN1</x:v>
      </x:c>
      <x:c r="E131" s="9" t="n">
        <x:v>1</x:v>
      </x:c>
      <x:c r="F131" s="9" t="n">
        <x:v>2017</x:v>
      </x:c>
      <x:c r="G131" s="11" t="n">
        <x:v>1872796.9528198242</x:v>
      </x:c>
      <x:c r="H131" s="11" t="n">
        <x:v>86.07459130000302</x:v>
      </x:c>
      <x:c r="I131" s="13" t="n">
        <x:v>1509</x:v>
      </x:c>
      <x:c r="J131" s="15" t="n">
        <x:f>(G131-G128)/ABS(G128)</x:f>
        <x:v>-0.0024347557489001045</x:v>
      </x:c>
      <x:c r="K131" s="15" t="n">
        <x:f>1-H131/H128</x:f>
        <x:v>0.11859872848775721</x:v>
      </x:c>
      <x:c r="L131" s="9" t="n">
        <x:v>1</x:v>
      </x:c>
      <x:c r="M131" s="9" t="n">
        <x:v>1</x:v>
      </x:c>
      <x:c r="N131" s="17" t="n">
        <x:v>5.061363299999812</x:v>
      </x:c>
    </x:row>
    <x:row r="132" ht="23" customHeight="1">
      <x:c r="A132" s="2" t="n">
        <x:v>1</x:v>
      </x:c>
      <x:c r="B132" s="2" t="n">
        <x:v>2</x:v>
      </x:c>
      <x:c r="C132" s="2" t="str">
        <x:v>2035-11-12_9</x:v>
      </x:c>
      <x:c r="D132" s="2" t="str">
        <x:v>COMPRESSED_GNN0</x:v>
      </x:c>
      <x:c r="E132" s="2" t="n">
        <x:v>1</x:v>
      </x:c>
      <x:c r="F132" s="2" t="n">
        <x:v>2017</x:v>
      </x:c>
      <x:c r="G132" s="10" t="n">
        <x:v>1872796.9528198242</x:v>
      </x:c>
      <x:c r="H132" s="10" t="n">
        <x:v>85.98897769999189</x:v>
      </x:c>
      <x:c r="I132" s="12" t="n">
        <x:v>1486</x:v>
      </x:c>
      <x:c r="J132" s="14" t="n">
        <x:f>(G132-G128)/ABS(G128)</x:f>
        <x:v>-0.0024347557489001045</x:v>
      </x:c>
      <x:c r="K132" s="14" t="n">
        <x:f>1-H132/H128</x:f>
        <x:v>0.1194754092220931</x:v>
      </x:c>
      <x:c r="L132" s="2" t="n">
        <x:v>1</x:v>
      </x:c>
      <x:c r="M132" s="2" t="n">
        <x:v>1</x:v>
      </x:c>
      <x:c r="N132" s="16" t="n">
        <x:v>4.974204399999962</x:v>
      </x:c>
    </x:row>
    <x:row r="133" ht="23" customHeight="1">
      <x:c r="A133" s="9" t="n">
        <x:v>1</x:v>
      </x:c>
      <x:c r="B133" s="9" t="n">
        <x:v>2</x:v>
      </x:c>
      <x:c r="C133" s="9" t="str">
        <x:v>2035-11-12_9</x:v>
      </x:c>
      <x:c r="D133" s="9" t="str">
        <x:v>LOCAL_PPO</x:v>
      </x:c>
      <x:c r="E133" s="9" t="n">
        <x:v>1</x:v>
      </x:c>
      <x:c r="F133" s="9" t="n">
        <x:v>2017</x:v>
      </x:c>
      <x:c r="G133" s="11" t="n">
        <x:v>1877367.8850708008</x:v>
      </x:c>
      <x:c r="H133" s="11" t="n">
        <x:v>88.7496339000038</x:v>
      </x:c>
      <x:c r="I133" s="13" t="n">
        <x:v>1975</x:v>
      </x:c>
      <x:c r="J133" s="15" t="n">
        <x:f>(G133-G128)/ABS(G128)</x:f>
        <x:v>0</x:v>
      </x:c>
      <x:c r="K133" s="15" t="n">
        <x:f>1-H133/H128</x:f>
        <x:v>0.09120637130801401</x:v>
      </x:c>
      <x:c r="L133" s="9" t="n">
        <x:v>1</x:v>
      </x:c>
      <x:c r="M133" s="9" t="n">
        <x:v>1</x:v>
      </x:c>
      <x:c r="N133" s="17" t="n">
        <x:v>6.5509755999999015</x:v>
      </x:c>
    </x:row>
    <x:row r="134" ht="23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 ht="23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6" hidden="0" customWidth="1"/>
    <x:col min="4" max="4" width="18" hidden="0" customWidth="1"/>
    <x:col min="5" max="5" width="21" hidden="0" customWidth="1"/>
    <x:col min="6" max="6" width="26" hidden="0" customWidth="1"/>
    <x:col min="7" max="7" width="26" hidden="0" customWidth="1"/>
    <x:col min="8" max="8" width="2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强频次顺序消融：八个已暴露日期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 t="str">
        <x:v>不同批次不比较控制速度；这里只对照质量、存活和查询。</x:v>
      </x:c>
      <x:c r="B3" s="2"/>
      <x:c r="C3" s="2"/>
      <x:c r="D3" s="2"/>
      <x:c r="E3" s="2"/>
      <x:c r="F3" s="2"/>
      <x:c r="G3" s="2"/>
      <x:c r="H3" s="2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44" customHeight="1">
      <x:c r="A5" s="8" t="str">
        <x:v>日期</x:v>
      </x:c>
      <x:c r="B5" s="8" t="str">
        <x:v>STATIC完成</x:v>
      </x:c>
      <x:c r="C5" s="8" t="str">
        <x:v>STATIC成本变化/FULL</x:v>
      </x:c>
      <x:c r="D5" s="8" t="str">
        <x:v>STATIC查询</x:v>
      </x:c>
      <x:c r="E5" s="8" t="str">
        <x:v>GNN平均查询</x:v>
      </x:c>
      <x:c r="F5" s="8" t="str">
        <x:v>GNN查询减少/STATIC</x:v>
      </x:c>
      <x:c r="G5" s="8" t="str">
        <x:v>GNN成本变化/FULL</x:v>
      </x:c>
      <x:c r="H5" s="8" t="str">
        <x:v>GNN成本增益/FULL</x:v>
      </x:c>
    </x:row>
    <x:row r="6" ht="23" customHeight="1">
      <x:c r="A6" s="2" t="str">
        <x:v>2035-01-22_2</x:v>
      </x:c>
      <x:c r="B6" s="2" t="n">
        <x:v>1</x:v>
      </x:c>
      <x:c r="C6" s="14" t="n">
        <x:v>-0.09032696980509691</x:v>
      </x:c>
      <x:c r="D6" s="12" t="n">
        <x:v>5102</x:v>
      </x:c>
      <x:c r="E6" s="20" t="n">
        <x:v>7011</x:v>
      </x:c>
      <x:c r="F6" s="22" t="n">
        <x:f>IF(D6=0,"n.a.",1-E6/D6)</x:f>
        <x:v>-0.3741669933359466</x:v>
      </x:c>
      <x:c r="G6" s="14" t="n">
        <x:f>C6-H6</x:f>
        <x:v>-0.06836715083013259</x:v>
      </x:c>
      <x:c r="H6" s="14" t="n">
        <x:v>-0.02195981897496432</x:v>
      </x:c>
    </x:row>
    <x:row r="7" ht="23" customHeight="1">
      <x:c r="A7" s="9" t="str">
        <x:v>2035-02-26_13</x:v>
      </x:c>
      <x:c r="B7" s="9" t="n">
        <x:v>1</x:v>
      </x:c>
      <x:c r="C7" s="15" t="n">
        <x:v>-0.005290313623439577</x:v>
      </x:c>
      <x:c r="D7" s="13" t="n">
        <x:v>2748</x:v>
      </x:c>
      <x:c r="E7" s="21" t="n">
        <x:v>2545.5</x:v>
      </x:c>
      <x:c r="F7" s="23" t="n">
        <x:f>IF(D7=0,"n.a.",1-E7/D7)</x:f>
        <x:v>0.07368995633187769</x:v>
      </x:c>
      <x:c r="G7" s="15" t="n">
        <x:f>C7-H7</x:f>
        <x:v>0.0008044936193065148</x:v>
      </x:c>
      <x:c r="H7" s="15" t="n">
        <x:v>-0.006094807242746092</x:v>
      </x:c>
    </x:row>
    <x:row r="8" ht="23" customHeight="1">
      <x:c r="A8" s="2" t="str">
        <x:v>2035-05-28_0</x:v>
      </x:c>
      <x:c r="B8" s="2" t="n">
        <x:v>1</x:v>
      </x:c>
      <x:c r="C8" s="14" t="n">
        <x:v>0</x:v>
      </x:c>
      <x:c r="D8" s="12" t="n">
        <x:v>0</x:v>
      </x:c>
      <x:c r="E8" s="20" t="n">
        <x:v>0</x:v>
      </x:c>
      <x:c r="F8" s="22" t="str">
        <x:f>IF(D8=0,"n.a.",1-E8/D8)</x:f>
        <x:v>n.a.</x:v>
      </x:c>
      <x:c r="G8" s="14" t="n">
        <x:f>C8-H8</x:f>
        <x:v>0</x:v>
      </x:c>
      <x:c r="H8" s="14" t="n">
        <x:v>0</x:v>
      </x:c>
    </x:row>
    <x:row r="9" ht="23" customHeight="1">
      <x:c r="A9" s="9" t="str">
        <x:v>2035-06-04_6</x:v>
      </x:c>
      <x:c r="B9" s="9" t="n">
        <x:v>1</x:v>
      </x:c>
      <x:c r="C9" s="15" t="n">
        <x:v>-0.0017649819137699997</x:v>
      </x:c>
      <x:c r="D9" s="13" t="n">
        <x:v>1714</x:v>
      </x:c>
      <x:c r="E9" s="21" t="n">
        <x:v>1600.5</x:v>
      </x:c>
      <x:c r="F9" s="23" t="n">
        <x:f>IF(D9=0,"n.a.",1-E9/D9)</x:f>
        <x:v>0.06621936989498245</x:v>
      </x:c>
      <x:c r="G9" s="15" t="n">
        <x:f>C9-H9</x:f>
        <x:v>-0.0017443946275142077</x:v>
      </x:c>
      <x:c r="H9" s="15" t="n">
        <x:v>-0.00002058728625579186</x:v>
      </x:c>
    </x:row>
    <x:row r="10" ht="23" customHeight="1">
      <x:c r="A10" s="2" t="str">
        <x:v>2035-07-30_12</x:v>
      </x:c>
      <x:c r="B10" s="2" t="n">
        <x:v>1</x:v>
      </x:c>
      <x:c r="C10" s="14" t="n">
        <x:v>-0.001733780247273433</x:v>
      </x:c>
      <x:c r="D10" s="12" t="n">
        <x:v>1431</x:v>
      </x:c>
      <x:c r="E10" s="20" t="n">
        <x:v>1024</x:v>
      </x:c>
      <x:c r="F10" s="22" t="n">
        <x:f>IF(D10=0,"n.a.",1-E10/D10)</x:f>
        <x:v>0.2844164919636618</x:v>
      </x:c>
      <x:c r="G10" s="14" t="n">
        <x:f>C10-H10</x:f>
        <x:v>-0.002822162272335757</x:v>
      </x:c>
      <x:c r="H10" s="14" t="n">
        <x:v>0.0010883820250623237</x:v>
      </x:c>
    </x:row>
    <x:row r="11" ht="23" customHeight="1">
      <x:c r="A11" s="9" t="str">
        <x:v>2035-09-24_4</x:v>
      </x:c>
      <x:c r="B11" s="9" t="n">
        <x:v>1</x:v>
      </x:c>
      <x:c r="C11" s="15" t="n">
        <x:v>-0.0009727389844687886</x:v>
      </x:c>
      <x:c r="D11" s="13" t="n">
        <x:v>1024</x:v>
      </x:c>
      <x:c r="E11" s="21" t="n">
        <x:v>1024</x:v>
      </x:c>
      <x:c r="F11" s="23" t="n">
        <x:f>IF(D11=0,"n.a.",1-E11/D11)</x:f>
        <x:v>0</x:v>
      </x:c>
      <x:c r="G11" s="15" t="n">
        <x:f>C11-H11</x:f>
        <x:v>-0.00008564317796543161</x:v>
      </x:c>
      <x:c r="H11" s="15" t="n">
        <x:v>-0.000887095806503357</x:v>
      </x:c>
    </x:row>
    <x:row r="12" ht="23" customHeight="1">
      <x:c r="A12" s="2" t="str">
        <x:v>2035-10-15_4</x:v>
      </x:c>
      <x:c r="B12" s="2" t="n">
        <x:v>1</x:v>
      </x:c>
      <x:c r="C12" s="14" t="n">
        <x:v>-0.008954157482381146</x:v>
      </x:c>
      <x:c r="D12" s="12" t="n">
        <x:v>3036</x:v>
      </x:c>
      <x:c r="E12" s="20" t="n">
        <x:v>3236.5</x:v>
      </x:c>
      <x:c r="F12" s="22" t="n">
        <x:f>IF(D12=0,"n.a.",1-E12/D12)</x:f>
        <x:v>-0.06604084321475634</x:v>
      </x:c>
      <x:c r="G12" s="14" t="n">
        <x:f>C12-H12</x:f>
        <x:v>-0.004263008917110595</x:v>
      </x:c>
      <x:c r="H12" s="14" t="n">
        <x:v>-0.004691148565270551</x:v>
      </x:c>
    </x:row>
    <x:row r="13" ht="23" customHeight="1">
      <x:c r="A13" s="9" t="str">
        <x:v>2035-11-12_9</x:v>
      </x:c>
      <x:c r="B13" s="9" t="n">
        <x:v>1</x:v>
      </x:c>
      <x:c r="C13" s="15" t="n">
        <x:v>-0.010558622061441326</x:v>
      </x:c>
      <x:c r="D13" s="13" t="n">
        <x:v>1759</x:v>
      </x:c>
      <x:c r="E13" s="21" t="n">
        <x:v>1497.5</x:v>
      </x:c>
      <x:c r="F13" s="23" t="n">
        <x:f>IF(D13=0,"n.a.",1-E13/D13)</x:f>
        <x:v>0.14866401364411597</x:v>
      </x:c>
      <x:c r="G13" s="15" t="n">
        <x:f>C13-H13</x:f>
        <x:v>-0.0024347557489001054</x:v>
      </x:c>
      <x:c r="H13" s="15" t="n">
        <x:v>-0.00812386631254122</x:v>
      </x:c>
    </x:row>
    <x:row r="14" ht="23" customHeight="1">
      <x:c r="A14" s="2"/>
      <x:c r="B14" s="2"/>
      <x:c r="C14" s="2"/>
      <x:c r="D14" s="2"/>
      <x:c r="E14" s="2"/>
      <x:c r="F14" s="2"/>
      <x:c r="G14" s="2"/>
      <x:c r="H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</x:row>
    <x:row r="16" ht="23" customHeight="1">
      <x:c r="A16" s="2" t="str">
        <x:v>STATIC保留作者教师频次顺序；有历史知识，不是随机顺序。5月双方零查询，比例不定义。</x:v>
      </x:c>
      <x:c r="B16" s="2"/>
      <x:c r="C16" s="2"/>
      <x:c r="D16" s="2"/>
      <x:c r="E16" s="2"/>
      <x:c r="F16" s="2"/>
      <x:c r="G16" s="2"/>
      <x:c r="H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7" hidden="0" customWidth="1"/>
    <x:col min="3" max="3" width="14" hidden="0" customWidth="1"/>
    <x:col min="4" max="4" width="14" hidden="0" customWidth="1"/>
    <x:col min="5" max="5" width="23" hidden="0" customWidth="1"/>
    <x:col min="6" max="6" width="20" hidden="0" customWidth="1"/>
    <x:col min="7" max="7" width="17" hidden="0" customWidth="1"/>
    <x:col min="8" max="8" width="21" hidden="0" customWidth="1"/>
    <x:col min="9" max="9" width="17" hidden="0" customWidth="1"/>
    <x:col min="10" max="10" width="18" hidden="0" customWidth="1"/>
    <x:col min="11" max="11" width="20" hidden="0" customWidth="1"/>
    <x:col min="12" max="12" width="21" hidden="0" customWidth="1"/>
    <x:col min="13" max="13" width="21" hidden="0" customWidth="1"/>
    <x:col min="14" max="14" width="25" hidden="0" customWidth="1"/>
    <x:col min="15" max="15" width="25" hidden="0" customWidth="1"/>
    <x:col min="16" max="16" width="25" hidden="0" customWidth="1"/>
    <x:col min="17" max="17" width="2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3" customHeight="1">
      <x:c r="A2" s="3" t="str">
        <x:v>频次先验GNN试点：16条同批回放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3" customHeight="1">
      <x:c r="A3" s="4" t="str">
        <x:v>四个旧开发日期、单次计时；六月全部在1901步共同失败，完整周成本变化不定义。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44" customHeight="1">
      <x:c r="A5" s="8" t="str">
        <x:v>日期</x:v>
      </x:c>
      <x:c r="B5" s="8" t="str">
        <x:v>方法ID</x:v>
      </x:c>
      <x:c r="C5" s="8" t="str">
        <x:v>完成(1/0)</x:v>
      </x:c>
      <x:c r="D5" s="8" t="str">
        <x:v>步数</x:v>
      </x:c>
      <x:c r="E5" s="8" t="str">
        <x:v>累计模拟成本</x:v>
      </x:c>
      <x:c r="F5" s="8" t="str">
        <x:v>控制时间(s)</x:v>
      </x:c>
      <x:c r="G5" s="8" t="str">
        <x:v>N1查询</x:v>
      </x:c>
      <x:c r="H5" s="8" t="str">
        <x:v>N1搜索时间(s)</x:v>
      </x:c>
      <x:c r="I5" s="8" t="str">
        <x:v>先验(s)</x:v>
      </x:c>
      <x:c r="J5" s="8" t="str">
        <x:v>图构造(s)</x:v>
      </x:c>
      <x:c r="K5" s="8" t="str">
        <x:v>前向排序(s)</x:v>
      </x:c>
      <x:c r="L5" s="8" t="str">
        <x:v>成本变化/FULL</x:v>
      </x:c>
      <x:c r="M5" s="8" t="str">
        <x:v>控制减少/FULL</x:v>
      </x:c>
      <x:c r="N5" s="8" t="str">
        <x:v>查询减少/STATIC</x:v>
      </x:c>
      <x:c r="O5" s="8" t="str">
        <x:v>控制减少/STATIC</x:v>
      </x:c>
      <x:c r="P5" s="8" t="str">
        <x:v>搜索差/STATIC(s)</x:v>
      </x:c>
      <x:c r="Q5" s="8" t="str">
        <x:v>非搜索差/STATIC(s)</x:v>
      </x:c>
    </x:row>
    <x:row r="6" ht="23" customHeight="1">
      <x:c r="A6" s="2" t="str">
        <x:v>2035-03-05_0</x:v>
      </x:c>
      <x:c r="B6" s="2" t="str">
        <x:v>FULL</x:v>
      </x:c>
      <x:c r="C6" s="2" t="n">
        <x:v>1</x:v>
      </x:c>
      <x:c r="D6" s="2" t="n">
        <x:v>2017</x:v>
      </x:c>
      <x:c r="E6" s="10" t="n">
        <x:v>2964114.382446289</x:v>
      </x:c>
      <x:c r="F6" s="10" t="n">
        <x:v>137.97705339999175</x:v>
      </x:c>
      <x:c r="G6" s="12" t="n">
        <x:v>9578</x:v>
      </x:c>
      <x:c r="H6" s="24" t="n">
        <x:v>27.457269800001086</x:v>
      </x:c>
      <x:c r="I6" s="24" t="n">
        <x:v>0</x:v>
      </x:c>
      <x:c r="J6" s="24" t="n">
        <x:v>0</x:v>
      </x:c>
      <x:c r="K6" s="24" t="n">
        <x:v>0</x:v>
      </x:c>
      <x:c r="L6" s="26" t="n">
        <x:f>IF(AND(C6=1,C6=1),(E6-E6)/ABS(E6),"n.a.")</x:f>
        <x:v>0</x:v>
      </x:c>
      <x:c r="M6" s="14" t="n">
        <x:f>1-F6/F6</x:f>
        <x:v>0</x:v>
      </x:c>
      <x:c r="N6" s="14" t="n">
        <x:f>1-G6/G7</x:f>
        <x:v>-1.8711031175059953</x:v>
      </x:c>
      <x:c r="O6" s="14" t="n">
        <x:f>1-F6/F7</x:f>
        <x:v>-0.1547516282042476</x:v>
      </x:c>
      <x:c r="P6" s="24" t="n">
        <x:f>H6-H7</x:f>
        <x:v>17.430283100001816</x:v>
      </x:c>
      <x:c r="Q6" s="24" t="n">
        <x:f>(F6-H6)-(F7-H7)</x:f>
        <x:v>1.0604235999990124</x:v>
      </x:c>
    </x:row>
    <x:row r="7" ht="23" customHeight="1">
      <x:c r="A7" s="9" t="str">
        <x:v>2035-03-05_0</x:v>
      </x:c>
      <x:c r="B7" s="9" t="str">
        <x:v>STATIC_ID</x:v>
      </x:c>
      <x:c r="C7" s="9" t="n">
        <x:v>1</x:v>
      </x:c>
      <x:c r="D7" s="9" t="n">
        <x:v>2017</x:v>
      </x:c>
      <x:c r="E7" s="11" t="n">
        <x:v>2975141.026245117</x:v>
      </x:c>
      <x:c r="F7" s="11" t="n">
        <x:v>119.48634669999092</x:v>
      </x:c>
      <x:c r="G7" s="13" t="n">
        <x:v>3336</x:v>
      </x:c>
      <x:c r="H7" s="25" t="n">
        <x:v>10.02698669999927</x:v>
      </x:c>
      <x:c r="I7" s="25" t="n">
        <x:v>0</x:v>
      </x:c>
      <x:c r="J7" s="25" t="n">
        <x:v>0</x:v>
      </x:c>
      <x:c r="K7" s="25" t="n">
        <x:v>0.0003388000000086322</x:v>
      </x:c>
      <x:c r="L7" s="27" t="n">
        <x:f>IF(AND(C7=1,C6=1),(E7-E6)/ABS(E6),"n.a.")</x:f>
        <x:v>0.003720046656812149</x:v>
      </x:c>
      <x:c r="M7" s="15" t="n">
        <x:f>1-F7/F6</x:f>
        <x:v>0.1340129118890282</x:v>
      </x:c>
      <x:c r="N7" s="15" t="n">
        <x:f>1-G7/G7</x:f>
        <x:v>0</x:v>
      </x:c>
      <x:c r="O7" s="15" t="n">
        <x:f>1-F7/F7</x:f>
        <x:v>0</x:v>
      </x:c>
      <x:c r="P7" s="25" t="n">
        <x:f>H7-H7</x:f>
        <x:v>0</x:v>
      </x:c>
      <x:c r="Q7" s="25" t="n">
        <x:f>(F7-H7)-(F7-H7)</x:f>
        <x:v>0</x:v>
      </x:c>
    </x:row>
    <x:row r="8" ht="23" customHeight="1">
      <x:c r="A8" s="2" t="str">
        <x:v>2035-03-05_0</x:v>
      </x:c>
      <x:c r="B8" s="2" t="str">
        <x:v>FREQUENCY_GNN0</x:v>
      </x:c>
      <x:c r="C8" s="2" t="n">
        <x:v>1</x:v>
      </x:c>
      <x:c r="D8" s="2" t="n">
        <x:v>2017</x:v>
      </x:c>
      <x:c r="E8" s="10" t="n">
        <x:v>2975141.026245117</x:v>
      </x:c>
      <x:c r="F8" s="10" t="n">
        <x:v>117.56713639999953</x:v>
      </x:c>
      <x:c r="G8" s="12" t="n">
        <x:v>2983</x:v>
      </x:c>
      <x:c r="H8" s="24" t="n">
        <x:v>9.121861699999045</x:v>
      </x:c>
      <x:c r="I8" s="24" t="n">
        <x:v>0.0008093999999800872</x:v>
      </x:c>
      <x:c r="J8" s="24" t="n">
        <x:v>0.02305010000100083</x:v>
      </x:c>
      <x:c r="K8" s="24" t="n">
        <x:v>0.023569200000110868</x:v>
      </x:c>
      <x:c r="L8" s="26" t="n">
        <x:f>IF(AND(C8=1,C6=1),(E8-E6)/ABS(E6),"n.a.")</x:f>
        <x:v>0.003720046656812149</x:v>
      </x:c>
      <x:c r="M8" s="14" t="n">
        <x:f>1-F8/F6</x:f>
        <x:v>0.14792254579335318</x:v>
      </x:c>
      <x:c r="N8" s="14" t="n">
        <x:f>1-G8/G7</x:f>
        <x:v>0.10581534772182255</x:v>
      </x:c>
      <x:c r="O8" s="14" t="n">
        <x:f>1-F8/F7</x:f>
        <x:v>0.0160621723987443</x:v>
      </x:c>
      <x:c r="P8" s="24" t="n">
        <x:f>H8-H7</x:f>
        <x:v>-0.9051250000002256</x:v>
      </x:c>
      <x:c r="Q8" s="24" t="n">
        <x:f>(F8-H8)-(F7-H7)</x:f>
        <x:v>-1.0140852999911658</x:v>
      </x:c>
    </x:row>
    <x:row r="9" ht="23" customHeight="1">
      <x:c r="A9" s="9" t="str">
        <x:v>2035-03-05_0</x:v>
      </x:c>
      <x:c r="B9" s="9" t="str">
        <x:v>FREQUENCY_GNN1</x:v>
      </x:c>
      <x:c r="C9" s="9" t="n">
        <x:v>1</x:v>
      </x:c>
      <x:c r="D9" s="9" t="n">
        <x:v>2017</x:v>
      </x:c>
      <x:c r="E9" s="11" t="n">
        <x:v>2975141.026245117</x:v>
      </x:c>
      <x:c r="F9" s="11" t="n">
        <x:v>117.31403610001826</x:v>
      </x:c>
      <x:c r="G9" s="13" t="n">
        <x:v>3038</x:v>
      </x:c>
      <x:c r="H9" s="25" t="n">
        <x:v>9.210159700000077</x:v>
      </x:c>
      <x:c r="I9" s="25" t="n">
        <x:v>0.0007894999994277896</x:v>
      </x:c>
      <x:c r="J9" s="25" t="n">
        <x:v>0.023406100000556762</x:v>
      </x:c>
      <x:c r="K9" s="25" t="n">
        <x:v>0.023441200000888784</x:v>
      </x:c>
      <x:c r="L9" s="27" t="n">
        <x:f>IF(AND(C9=1,C6=1),(E9-E6)/ABS(E6),"n.a.")</x:f>
        <x:v>0.003720046656812149</x:v>
      </x:c>
      <x:c r="M9" s="15" t="n">
        <x:f>1-F9/F6</x:f>
        <x:v>0.14975691095585264</x:v>
      </x:c>
      <x:c r="N9" s="15" t="n">
        <x:f>1-G9/G7</x:f>
        <x:v>0.08932853717026379</x:v>
      </x:c>
      <x:c r="O9" s="15" t="n">
        <x:f>1-F9/F7</x:f>
        <x:v>0.01818040855686176</x:v>
      </x:c>
      <x:c r="P9" s="25" t="n">
        <x:f>H9-H7</x:f>
        <x:v>-0.8168269999991935</x:v>
      </x:c>
      <x:c r="Q9" s="25" t="n">
        <x:f>(F9-H9)-(F7-H7)</x:f>
        <x:v>-1.3554835999734678</x:v>
      </x:c>
    </x:row>
    <x:row r="10" ht="23" customHeight="1">
      <x:c r="A10" s="2" t="str">
        <x:v>2035-06-25_8</x:v>
      </x:c>
      <x:c r="B10" s="2" t="str">
        <x:v>STATIC_ID</x:v>
      </x:c>
      <x:c r="C10" s="2" t="n">
        <x:v>0</x:v>
      </x:c>
      <x:c r="D10" s="2" t="n">
        <x:v>1901</x:v>
      </x:c>
      <x:c r="E10" s="10" t="n">
        <x:v>1158032.2856445312</x:v>
      </x:c>
      <x:c r="F10" s="10" t="n">
        <x:v>48.37523440000541</x:v>
      </x:c>
      <x:c r="G10" s="12" t="n">
        <x:v>1428</x:v>
      </x:c>
      <x:c r="H10" s="24" t="n">
        <x:v>4.3859676000001855</x:v>
      </x:c>
      <x:c r="I10" s="24" t="n">
        <x:v>0</x:v>
      </x:c>
      <x:c r="J10" s="24" t="n">
        <x:v>0</x:v>
      </x:c>
      <x:c r="K10" s="24" t="n">
        <x:v>0.00015790000043125474</x:v>
      </x:c>
      <x:c r="L10" s="26" t="str">
        <x:f>IF(AND(C10=1,C13=1),(E10-E13)/ABS(E13),"n.a.")</x:f>
        <x:v>n.a.</x:v>
      </x:c>
      <x:c r="M10" s="14" t="n">
        <x:f>1-F10/F13</x:f>
        <x:v>0.14441662685418855</x:v>
      </x:c>
      <x:c r="N10" s="14" t="n">
        <x:f>1-G10/G10</x:f>
        <x:v>0</x:v>
      </x:c>
      <x:c r="O10" s="14" t="n">
        <x:f>1-F10/F10</x:f>
        <x:v>0</x:v>
      </x:c>
      <x:c r="P10" s="24" t="n">
        <x:f>H10-H10</x:f>
        <x:v>0</x:v>
      </x:c>
      <x:c r="Q10" s="24" t="n">
        <x:f>(F10-H10)-(F10-H10)</x:f>
        <x:v>0</x:v>
      </x:c>
    </x:row>
    <x:row r="11" ht="23" customHeight="1">
      <x:c r="A11" s="9" t="str">
        <x:v>2035-06-25_8</x:v>
      </x:c>
      <x:c r="B11" s="9" t="str">
        <x:v>FREQUENCY_GNN0</x:v>
      </x:c>
      <x:c r="C11" s="9" t="n">
        <x:v>0</x:v>
      </x:c>
      <x:c r="D11" s="9" t="n">
        <x:v>1901</x:v>
      </x:c>
      <x:c r="E11" s="11" t="n">
        <x:v>1158491.3384399414</x:v>
      </x:c>
      <x:c r="F11" s="11" t="n">
        <x:v>49.2596898000088</x:v>
      </x:c>
      <x:c r="G11" s="13" t="n">
        <x:v>1447</x:v>
      </x:c>
      <x:c r="H11" s="25" t="n">
        <x:v>4.468926999999439</x:v>
      </x:c>
      <x:c r="I11" s="25" t="n">
        <x:v>0.0004278000001249893</x:v>
      </x:c>
      <x:c r="J11" s="25" t="n">
        <x:v>0.011754199999813864</x:v>
      </x:c>
      <x:c r="K11" s="25" t="n">
        <x:v>0.012380499999380845</x:v>
      </x:c>
      <x:c r="L11" s="27" t="str">
        <x:f>IF(AND(C11=1,C13=1),(E11-E13)/ABS(E13),"n.a.")</x:f>
        <x:v>n.a.</x:v>
      </x:c>
      <x:c r="M11" s="15" t="n">
        <x:f>1-F11/F13</x:f>
        <x:v>0.12877380167891983</x:v>
      </x:c>
      <x:c r="N11" s="15" t="n">
        <x:f>1-G11/G10</x:f>
        <x:v>-0.013305322128851493</x:v>
      </x:c>
      <x:c r="O11" s="15" t="n">
        <x:f>1-F11/F10</x:f>
        <x:v>-0.018283227171366212</x:v>
      </x:c>
      <x:c r="P11" s="25" t="n">
        <x:f>H11-H10</x:f>
        <x:v>0.08295939999925395</x:v>
      </x:c>
      <x:c r="Q11" s="25" t="n">
        <x:f>(F11-H11)-(F10-H10)</x:f>
        <x:v>0.8014960000041356</x:v>
      </x:c>
    </x:row>
    <x:row r="12" ht="23" customHeight="1">
      <x:c r="A12" s="2" t="str">
        <x:v>2035-06-25_8</x:v>
      </x:c>
      <x:c r="B12" s="2" t="str">
        <x:v>FREQUENCY_GNN1</x:v>
      </x:c>
      <x:c r="C12" s="2" t="n">
        <x:v>0</x:v>
      </x:c>
      <x:c r="D12" s="2" t="n">
        <x:v>1901</x:v>
      </x:c>
      <x:c r="E12" s="10" t="n">
        <x:v>1158491.3384399414</x:v>
      </x:c>
      <x:c r="F12" s="10" t="n">
        <x:v>49.06636719998869</x:v>
      </x:c>
      <x:c r="G12" s="12" t="n">
        <x:v>1442</x:v>
      </x:c>
      <x:c r="H12" s="24" t="n">
        <x:v>4.402845099999922</x:v>
      </x:c>
      <x:c r="I12" s="24" t="n">
        <x:v>0.00043000000005122274</x:v>
      </x:c>
      <x:c r="J12" s="24" t="n">
        <x:v>0.0115843000003224</x:v>
      </x:c>
      <x:c r="K12" s="24" t="n">
        <x:v>0.01224510000065493</x:v>
      </x:c>
      <x:c r="L12" s="26" t="str">
        <x:f>IF(AND(C12=1,C13=1),(E12-E13)/ABS(E13),"n.a.")</x:f>
        <x:v>n.a.</x:v>
      </x:c>
      <x:c r="M12" s="14" t="n">
        <x:f>1-F12/F13</x:f>
        <x:v>0.13219298102310317</x:v>
      </x:c>
      <x:c r="N12" s="14" t="n">
        <x:f>1-G12/G10</x:f>
        <x:v>-0.009803921568627416</x:v>
      </x:c>
      <x:c r="O12" s="14" t="n">
        <x:f>1-F12/F10</x:f>
        <x:v>-0.014286913718462468</x:v>
      </x:c>
      <x:c r="P12" s="24" t="n">
        <x:f>H12-H10</x:f>
        <x:v>0.016877499999736756</x:v>
      </x:c>
      <x:c r="Q12" s="24" t="n">
        <x:f>(F12-H12)-(F10-H10)</x:f>
        <x:v>0.6742552999835425</x:v>
      </x:c>
    </x:row>
    <x:row r="13" ht="23" customHeight="1">
      <x:c r="A13" s="9" t="str">
        <x:v>2035-06-25_8</x:v>
      </x:c>
      <x:c r="B13" s="9" t="str">
        <x:v>FULL</x:v>
      </x:c>
      <x:c r="C13" s="9" t="n">
        <x:v>0</x:v>
      </x:c>
      <x:c r="D13" s="9" t="n">
        <x:v>1901</x:v>
      </x:c>
      <x:c r="E13" s="11" t="n">
        <x:v>1156085.3905029297</x:v>
      </x:c>
      <x:c r="F13" s="11" t="n">
        <x:v>56.54064339999877</x:v>
      </x:c>
      <x:c r="G13" s="13" t="n">
        <x:v>4002</x:v>
      </x:c>
      <x:c r="H13" s="25" t="n">
        <x:v>11.190587400000368</x:v>
      </x:c>
      <x:c r="I13" s="25" t="n">
        <x:v>0</x:v>
      </x:c>
      <x:c r="J13" s="25" t="n">
        <x:v>0</x:v>
      </x:c>
      <x:c r="K13" s="25" t="n">
        <x:v>0</x:v>
      </x:c>
      <x:c r="L13" s="27" t="str">
        <x:f>IF(AND(C13=1,C13=1),(E13-E13)/ABS(E13),"n.a.")</x:f>
        <x:v>n.a.</x:v>
      </x:c>
      <x:c r="M13" s="15" t="n">
        <x:f>1-F13/F13</x:f>
        <x:v>0</x:v>
      </x:c>
      <x:c r="N13" s="15" t="n">
        <x:f>1-G13/G10</x:f>
        <x:v>-1.8025210084033612</x:v>
      </x:c>
      <x:c r="O13" s="15" t="n">
        <x:f>1-F13/F10</x:f>
        <x:v>-0.16879316661238652</x:v>
      </x:c>
      <x:c r="P13" s="25" t="n">
        <x:f>H13-H10</x:f>
        <x:v>6.804619800000182</x:v>
      </x:c>
      <x:c r="Q13" s="25" t="n">
        <x:f>(F13-H13)-(F10-H10)</x:f>
        <x:v>1.360789199993178</x:v>
      </x:c>
    </x:row>
    <x:row r="14" ht="23" customHeight="1">
      <x:c r="A14" s="2" t="str">
        <x:v>2035-09-03_4</x:v>
      </x:c>
      <x:c r="B14" s="2" t="str">
        <x:v>FREQUENCY_GNN0</x:v>
      </x:c>
      <x:c r="C14" s="2" t="n">
        <x:v>1</x:v>
      </x:c>
      <x:c r="D14" s="2" t="n">
        <x:v>2017</x:v>
      </x:c>
      <x:c r="E14" s="10" t="n">
        <x:v>1289912.7855377197</x:v>
      </x:c>
      <x:c r="F14" s="10" t="n">
        <x:v>50.27220599999191</x:v>
      </x:c>
      <x:c r="G14" s="12" t="n">
        <x:v>2642</x:v>
      </x:c>
      <x:c r="H14" s="24" t="n">
        <x:v>8.288740799999232</x:v>
      </x:c>
      <x:c r="I14" s="24" t="n">
        <x:v>0.0007391000003735826</x:v>
      </x:c>
      <x:c r="J14" s="24" t="n">
        <x:v>0.019671800000651274</x:v>
      </x:c>
      <x:c r="K14" s="24" t="n">
        <x:v>0.01899139999932231</x:v>
      </x:c>
      <x:c r="L14" s="26" t="n">
        <x:f>IF(AND(C14=1,C16=1),(E14-E16)/ABS(E16),"n.a.")</x:f>
        <x:v>0</x:v>
      </x:c>
      <x:c r="M14" s="14" t="n">
        <x:f>1-F14/F16</x:f>
        <x:v>0.20007799589488906</x:v>
      </x:c>
      <x:c r="N14" s="14" t="n">
        <x:f>1-G14/G17</x:f>
        <x:v>0.03258879531307213</x:v>
      </x:c>
      <x:c r="O14" s="14" t="n">
        <x:f>1-F14/F17</x:f>
        <x:v>-0.02585303946490769</x:v>
      </x:c>
      <x:c r="P14" s="24" t="n">
        <x:f>H14-H17</x:f>
        <x:v>-0.29869570000118983</x:v>
      </x:c>
      <x:c r="Q14" s="24" t="n">
        <x:f>(F14-H14)-(F17-H17)</x:f>
        <x:v>1.5656308999823523</x:v>
      </x:c>
    </x:row>
    <x:row r="15" ht="23" customHeight="1">
      <x:c r="A15" s="9" t="str">
        <x:v>2035-09-03_4</x:v>
      </x:c>
      <x:c r="B15" s="9" t="str">
        <x:v>FREQUENCY_GNN1</x:v>
      </x:c>
      <x:c r="C15" s="9" t="n">
        <x:v>1</x:v>
      </x:c>
      <x:c r="D15" s="9" t="n">
        <x:v>2017</x:v>
      </x:c>
      <x:c r="E15" s="11" t="n">
        <x:v>1289912.7855377197</x:v>
      </x:c>
      <x:c r="F15" s="11" t="n">
        <x:v>50.4083535000068</x:v>
      </x:c>
      <x:c r="G15" s="13" t="n">
        <x:v>2656</x:v>
      </x:c>
      <x:c r="H15" s="25" t="n">
        <x:v>8.24977700000045</x:v>
      </x:c>
      <x:c r="I15" s="25" t="n">
        <x:v>0.0007302000003619469</x:v>
      </x:c>
      <x:c r="J15" s="25" t="n">
        <x:v>0.01946100000077422</x:v>
      </x:c>
      <x:c r="K15" s="25" t="n">
        <x:v>0.01919509999879665</x:v>
      </x:c>
      <x:c r="L15" s="27" t="n">
        <x:f>IF(AND(C15=1,C16=1),(E15-E16)/ABS(E16),"n.a.")</x:f>
        <x:v>0</x:v>
      </x:c>
      <x:c r="M15" s="15" t="n">
        <x:f>1-F15/F16</x:f>
        <x:v>0.19791164216325008</x:v>
      </x:c>
      <x:c r="N15" s="15" t="n">
        <x:f>1-G15/G17</x:f>
        <x:v>0.02746246796045404</x:v>
      </x:c>
      <x:c r="O15" s="15" t="n">
        <x:f>1-F15/F17</x:f>
        <x:v>-0.028631261027451282</x:v>
      </x:c>
      <x:c r="P15" s="25" t="n">
        <x:f>H15-H17</x:f>
        <x:v>-0.33765949999997247</x:v>
      </x:c>
      <x:c r="Q15" s="25" t="n">
        <x:f>(F15-H15)-(F17-H17)</x:f>
        <x:v>1.7407421999960206</x:v>
      </x:c>
    </x:row>
    <x:row r="16" ht="23" customHeight="1">
      <x:c r="A16" s="2" t="str">
        <x:v>2035-09-03_4</x:v>
      </x:c>
      <x:c r="B16" s="2" t="str">
        <x:v>FULL</x:v>
      </x:c>
      <x:c r="C16" s="2" t="n">
        <x:v>1</x:v>
      </x:c>
      <x:c r="D16" s="2" t="n">
        <x:v>2017</x:v>
      </x:c>
      <x:c r="E16" s="10" t="n">
        <x:v>1289912.7855377197</x:v>
      </x:c>
      <x:c r="F16" s="10" t="n">
        <x:v>62.84638470000891</x:v>
      </x:c>
      <x:c r="G16" s="12" t="n">
        <x:v>7200</x:v>
      </x:c>
      <x:c r="H16" s="24" t="n">
        <x:v>20.985013100000288</x:v>
      </x:c>
      <x:c r="I16" s="24" t="n">
        <x:v>0</x:v>
      </x:c>
      <x:c r="J16" s="24" t="n">
        <x:v>0</x:v>
      </x:c>
      <x:c r="K16" s="24" t="n">
        <x:v>0</x:v>
      </x:c>
      <x:c r="L16" s="26" t="n">
        <x:f>IF(AND(C16=1,C16=1),(E16-E16)/ABS(E16),"n.a.")</x:f>
        <x:v>0</x:v>
      </x:c>
      <x:c r="M16" s="14" t="n">
        <x:f>1-F16/F16</x:f>
        <x:v>0</x:v>
      </x:c>
      <x:c r="N16" s="14" t="n">
        <x:f>1-G16/G17</x:f>
        <x:v>-1.6363969242035883</x:v>
      </x:c>
      <x:c r="O16" s="14" t="n">
        <x:f>1-F16/F17</x:f>
        <x:v>-0.28244133078018074</x:v>
      </x:c>
      <x:c r="P16" s="24" t="n">
        <x:f>H16-H17</x:f>
        <x:v>12.397576599999866</x:v>
      </x:c>
      <x:c r="Q16" s="24" t="n">
        <x:f>(F16-H16)-(F17-H17)</x:f>
        <x:v>1.4435372999982974</x:v>
      </x:c>
    </x:row>
    <x:row r="17" ht="23" customHeight="1">
      <x:c r="A17" s="9" t="str">
        <x:v>2035-09-03_4</x:v>
      </x:c>
      <x:c r="B17" s="9" t="str">
        <x:v>STATIC_ID</x:v>
      </x:c>
      <x:c r="C17" s="9" t="n">
        <x:v>1</x:v>
      </x:c>
      <x:c r="D17" s="9" t="n">
        <x:v>2017</x:v>
      </x:c>
      <x:c r="E17" s="11" t="n">
        <x:v>1265835.7439422607</x:v>
      </x:c>
      <x:c r="F17" s="11" t="n">
        <x:v>49.00527080001075</x:v>
      </x:c>
      <x:c r="G17" s="13" t="n">
        <x:v>2731</x:v>
      </x:c>
      <x:c r="H17" s="25" t="n">
        <x:v>8.587436500000422</x:v>
      </x:c>
      <x:c r="I17" s="25" t="n">
        <x:v>0</x:v>
      </x:c>
      <x:c r="J17" s="25" t="n">
        <x:v>0</x:v>
      </x:c>
      <x:c r="K17" s="25" t="n">
        <x:v>0.0002912000013566285</x:v>
      </x:c>
      <x:c r="L17" s="27" t="n">
        <x:f>IF(AND(C17=1,C16=1),(E17-E16)/ABS(E16),"n.a.")</x:f>
        <x:v>-0.018665635278141773</x:v>
      </x:c>
      <x:c r="M17" s="15" t="n">
        <x:f>1-F17/F16</x:f>
        <x:v>0.22023723347122304</x:v>
      </x:c>
      <x:c r="N17" s="15" t="n">
        <x:f>1-G17/G17</x:f>
        <x:v>0</x:v>
      </x:c>
      <x:c r="O17" s="15" t="n">
        <x:f>1-F17/F17</x:f>
        <x:v>0</x:v>
      </x:c>
      <x:c r="P17" s="25" t="n">
        <x:f>H17-H17</x:f>
        <x:v>0</x:v>
      </x:c>
      <x:c r="Q17" s="25" t="n">
        <x:f>(F17-H17)-(F17-H17)</x:f>
        <x:v>0</x:v>
      </x:c>
    </x:row>
    <x:row r="18" ht="23" customHeight="1">
      <x:c r="A18" s="2" t="str">
        <x:v>2035-10-01_5</x:v>
      </x:c>
      <x:c r="B18" s="2" t="str">
        <x:v>FREQUENCY_GNN1</x:v>
      </x:c>
      <x:c r="C18" s="2" t="n">
        <x:v>1</x:v>
      </x:c>
      <x:c r="D18" s="2" t="n">
        <x:v>2017</x:v>
      </x:c>
      <x:c r="E18" s="10" t="n">
        <x:v>1544822.9655151367</x:v>
      </x:c>
      <x:c r="F18" s="10" t="n">
        <x:v>41.96463529998255</x:v>
      </x:c>
      <x:c r="G18" s="12" t="n">
        <x:v>256</x:v>
      </x:c>
      <x:c r="H18" s="24" t="n">
        <x:v>0.8849608999998964</x:v>
      </x:c>
      <x:c r="I18" s="24" t="n">
        <x:v>0.00020089999998162966</x:v>
      </x:c>
      <x:c r="J18" s="24" t="n">
        <x:v>0.004977699999926699</x:v>
      </x:c>
      <x:c r="K18" s="24" t="n">
        <x:v>0.005474499999763793</x:v>
      </x:c>
      <x:c r="L18" s="26" t="n">
        <x:f>IF(AND(C18=1,C19=1),(E18-E19)/ABS(E19),"n.a.")</x:f>
        <x:v>0</x:v>
      </x:c>
      <x:c r="M18" s="14" t="n">
        <x:f>1-F18/F19</x:f>
        <x:v>0.11876518931886704</x:v>
      </x:c>
      <x:c r="N18" s="14" t="n">
        <x:f>1-G18/G20</x:f>
        <x:v>0</x:v>
      </x:c>
      <x:c r="O18" s="14" t="n">
        <x:f>1-F18/F20</x:f>
        <x:v>0.0044933714332567876</x:v>
      </x:c>
      <x:c r="P18" s="24" t="n">
        <x:f>H18-H20</x:f>
        <x:v>-0.015841999999793188</x:v>
      </x:c>
      <x:c r="Q18" s="24" t="n">
        <x:f>(F18-H18)-(F20-H20)</x:f>
        <x:v>-0.17357180002227324</x:v>
      </x:c>
    </x:row>
    <x:row r="19" ht="23" customHeight="1">
      <x:c r="A19" s="9" t="str">
        <x:v>2035-10-01_5</x:v>
      </x:c>
      <x:c r="B19" s="9" t="str">
        <x:v>FULL</x:v>
      </x:c>
      <x:c r="C19" s="9" t="n">
        <x:v>1</x:v>
      </x:c>
      <x:c r="D19" s="9" t="n">
        <x:v>2017</x:v>
      </x:c>
      <x:c r="E19" s="11" t="n">
        <x:v>1544822.9655151367</x:v>
      </x:c>
      <x:c r="F19" s="11" t="n">
        <x:v>47.620265099998505</x:v>
      </x:c>
      <x:c r="G19" s="13" t="n">
        <x:v>1817</x:v>
      </x:c>
      <x:c r="H19" s="25" t="n">
        <x:v>5.120046000000002</x:v>
      </x:c>
      <x:c r="I19" s="25" t="n">
        <x:v>0</x:v>
      </x:c>
      <x:c r="J19" s="25" t="n">
        <x:v>0</x:v>
      </x:c>
      <x:c r="K19" s="25" t="n">
        <x:v>0</x:v>
      </x:c>
      <x:c r="L19" s="27" t="n">
        <x:f>IF(AND(C19=1,C19=1),(E19-E19)/ABS(E19),"n.a.")</x:f>
        <x:v>0</x:v>
      </x:c>
      <x:c r="M19" s="15" t="n">
        <x:f>1-F19/F19</x:f>
        <x:v>0</x:v>
      </x:c>
      <x:c r="N19" s="15" t="n">
        <x:f>1-G19/G20</x:f>
        <x:v>-6.09765625</x:v>
      </x:c>
      <x:c r="O19" s="15" t="n">
        <x:f>1-F19/F20</x:f>
        <x:v>-0.12967238300230788</x:v>
      </x:c>
      <x:c r="P19" s="25" t="n">
        <x:f>H19-H20</x:f>
        <x:v>4.2192431000003126</x:v>
      </x:c>
      <x:c r="Q19" s="25" t="n">
        <x:f>(F19-H19)-(F20-H20)</x:f>
        <x:v>1.2469728999935796</x:v>
      </x:c>
    </x:row>
    <x:row r="20" ht="23" customHeight="1">
      <x:c r="A20" s="2" t="str">
        <x:v>2035-10-01_5</x:v>
      </x:c>
      <x:c r="B20" s="2" t="str">
        <x:v>STATIC_ID</x:v>
      </x:c>
      <x:c r="C20" s="2" t="n">
        <x:v>1</x:v>
      </x:c>
      <x:c r="D20" s="2" t="n">
        <x:v>2017</x:v>
      </x:c>
      <x:c r="E20" s="10" t="n">
        <x:v>1544822.9655151367</x:v>
      </x:c>
      <x:c r="F20" s="10" t="n">
        <x:v>42.15404910000461</x:v>
      </x:c>
      <x:c r="G20" s="12" t="n">
        <x:v>256</x:v>
      </x:c>
      <x:c r="H20" s="24" t="n">
        <x:v>0.9008028999996895</x:v>
      </x:c>
      <x:c r="I20" s="24" t="n">
        <x:v>0</x:v>
      </x:c>
      <x:c r="J20" s="24" t="n">
        <x:v>0</x:v>
      </x:c>
      <x:c r="K20" s="24" t="n">
        <x:v>0.00006309999980658176</x:v>
      </x:c>
      <x:c r="L20" s="26" t="n">
        <x:f>IF(AND(C20=1,C19=1),(E20-E19)/ABS(E19),"n.a.")</x:f>
        <x:v>0</x:v>
      </x:c>
      <x:c r="M20" s="14" t="n">
        <x:f>1-F20/F19</x:f>
        <x:v>0.11478760121379639</x:v>
      </x:c>
      <x:c r="N20" s="14" t="n">
        <x:f>1-G20/G20</x:f>
        <x:v>0</x:v>
      </x:c>
      <x:c r="O20" s="14" t="n">
        <x:f>1-F20/F20</x:f>
        <x:v>0</x:v>
      </x:c>
      <x:c r="P20" s="24" t="n">
        <x:f>H20-H20</x:f>
        <x:v>0</x:v>
      </x:c>
      <x:c r="Q20" s="24" t="n">
        <x:f>(F20-H20)-(F20-H20)</x:f>
        <x:v>0</x:v>
      </x:c>
    </x:row>
    <x:row r="21" ht="23" customHeight="1">
      <x:c r="A21" s="9" t="str">
        <x:v>2035-10-01_5</x:v>
      </x:c>
      <x:c r="B21" s="9" t="str">
        <x:v>FREQUENCY_GNN0</x:v>
      </x:c>
      <x:c r="C21" s="9" t="n">
        <x:v>1</x:v>
      </x:c>
      <x:c r="D21" s="9" t="n">
        <x:v>2017</x:v>
      </x:c>
      <x:c r="E21" s="11" t="n">
        <x:v>1544822.9655151367</x:v>
      </x:c>
      <x:c r="F21" s="11" t="n">
        <x:v>42.04108460000862</x:v>
      </x:c>
      <x:c r="G21" s="13" t="n">
        <x:v>256</x:v>
      </x:c>
      <x:c r="H21" s="25" t="n">
        <x:v>0.8789685000001555</x:v>
      </x:c>
      <x:c r="I21" s="25" t="n">
        <x:v>0.00021220000007815543</x:v>
      </x:c>
      <x:c r="J21" s="25" t="n">
        <x:v>0.0047908000001370965</x:v>
      </x:c>
      <x:c r="K21" s="25" t="n">
        <x:v>0.005731000000196218</x:v>
      </x:c>
      <x:c r="L21" s="27" t="n">
        <x:f>IF(AND(C21=1,C19=1),(E21-E19)/ABS(E19),"n.a.")</x:f>
        <x:v>0</x:v>
      </x:c>
      <x:c r="M21" s="15" t="n">
        <x:f>1-F21/F19</x:f>
        <x:v>0.11715979506359497</x:v>
      </x:c>
      <x:c r="N21" s="15" t="n">
        <x:f>1-G21/G20</x:f>
        <x:v>0</x:v>
      </x:c>
      <x:c r="O21" s="15" t="n">
        <x:f>1-F21/F20</x:f>
        <x:v>0.002679801879245436</x:v>
      </x:c>
      <x:c r="P21" s="25" t="n">
        <x:f>H21-H20</x:f>
        <x:v>-0.02183439999953407</x:v>
      </x:c>
      <x:c r="Q21" s="25" t="n">
        <x:f>(F21-H21)-(F20-H20)</x:f>
        <x:v>-0.09113009999646238</x:v>
      </x:c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3" customHeight="1">
      <x:c r="A24" s="2" t="str">
        <x:v>停止先验修订：平均查询收益不足5%，每种子仅2/4日期正向；成本尺度与无提前失败均通过。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25" hidden="0" customWidth="1"/>
    <x:col min="4" max="4" width="25" hidden="0" customWidth="1"/>
    <x:col min="5" max="5" width="21" hidden="0" customWidth="1"/>
    <x:col min="6" max="6" width="23" hidden="0" customWidth="1"/>
    <x:col min="7" max="7" width="23" hidden="0" customWidth="1"/>
    <x:col min="8" max="8" width="25" hidden="0" customWidth="1"/>
    <x:col min="9" max="9" width="23" hidden="0" customWidth="1"/>
    <x:col min="10" max="10" width="2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同批差异分解：GNN相对STATIC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 t="str">
        <x:v>控制差=搜索差+搜索外差；正数表示GNN多耗时。分解是账目恒等式，不是因果识别。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4" customHeight="1">
      <x:c r="A5" s="8" t="str">
        <x:v>日期</x:v>
      </x:c>
      <x:c r="B5" s="8" t="str">
        <x:v>模型种子</x:v>
      </x:c>
      <x:c r="C5" s="8" t="str">
        <x:v>查询减少/STATIC</x:v>
      </x:c>
      <x:c r="D5" s="8" t="str">
        <x:v>控制减少/STATIC</x:v>
      </x:c>
      <x:c r="E5" s="8" t="str">
        <x:v>控制差(s)</x:v>
      </x:c>
      <x:c r="F5" s="8" t="str">
        <x:v>N1搜索差(s)</x:v>
      </x:c>
      <x:c r="G5" s="8" t="str">
        <x:v>搜索外差(s)</x:v>
      </x:c>
      <x:c r="H5" s="8" t="str">
        <x:v>图先验前向(s)</x:v>
      </x:c>
      <x:c r="I5" s="8" t="str">
        <x:v>动作不同步数</x:v>
      </x:c>
      <x:c r="J5" s="8" t="str">
        <x:v>后状态不同数</x:v>
      </x:c>
    </x:row>
    <x:row r="6" ht="23" customHeight="1">
      <x:c r="A6" s="2" t="str">
        <x:v>2035-03-05_0</x:v>
      </x:c>
      <x:c r="B6" s="2" t="n">
        <x:v>0</x:v>
      </x:c>
      <x:c r="C6" s="14" t="n">
        <x:v>0.10581534772182255</x:v>
      </x:c>
      <x:c r="D6" s="14" t="n">
        <x:v>0.0160621723987443</x:v>
      </x:c>
      <x:c r="E6" s="24" t="n">
        <x:v>-1.9192102999913914</x:v>
      </x:c>
      <x:c r="F6" s="24" t="n">
        <x:v>-0.9051250000002256</x:v>
      </x:c>
      <x:c r="G6" s="24" t="n">
        <x:v>-1.0140852999911658</x:v>
      </x:c>
      <x:c r="H6" s="24" t="n">
        <x:v>0.047428700001091784</x:v>
      </x:c>
      <x:c r="I6" s="2" t="n">
        <x:v>0</x:v>
      </x:c>
      <x:c r="J6" s="2" t="n">
        <x:v>0</x:v>
      </x:c>
    </x:row>
    <x:row r="7" ht="23" customHeight="1">
      <x:c r="A7" s="9" t="str">
        <x:v>2035-03-05_0</x:v>
      </x:c>
      <x:c r="B7" s="9" t="n">
        <x:v>1</x:v>
      </x:c>
      <x:c r="C7" s="15" t="n">
        <x:v>0.08932853717026379</x:v>
      </x:c>
      <x:c r="D7" s="15" t="n">
        <x:v>0.01818040855686176</x:v>
      </x:c>
      <x:c r="E7" s="25" t="n">
        <x:v>-2.1723105999726613</x:v>
      </x:c>
      <x:c r="F7" s="25" t="n">
        <x:v>-0.8168269999991935</x:v>
      </x:c>
      <x:c r="G7" s="25" t="n">
        <x:v>-1.3554835999734678</x:v>
      </x:c>
      <x:c r="H7" s="25" t="n">
        <x:v>0.047636800000873336</x:v>
      </x:c>
      <x:c r="I7" s="9" t="n">
        <x:v>0</x:v>
      </x:c>
      <x:c r="J7" s="9" t="n">
        <x:v>0</x:v>
      </x:c>
    </x:row>
    <x:row r="8" ht="23" customHeight="1">
      <x:c r="A8" s="2" t="str">
        <x:v>2035-06-25_8</x:v>
      </x:c>
      <x:c r="B8" s="2" t="n">
        <x:v>0</x:v>
      </x:c>
      <x:c r="C8" s="14" t="n">
        <x:v>-0.013305322128851493</x:v>
      </x:c>
      <x:c r="D8" s="14" t="n">
        <x:v>-0.018283227171366212</x:v>
      </x:c>
      <x:c r="E8" s="24" t="n">
        <x:v>0.8844554000033895</x:v>
      </x:c>
      <x:c r="F8" s="24" t="n">
        <x:v>0.08295939999925395</x:v>
      </x:c>
      <x:c r="G8" s="24" t="n">
        <x:v>0.8014960000041356</x:v>
      </x:c>
      <x:c r="H8" s="24" t="n">
        <x:v>0.024562499999319698</x:v>
      </x:c>
      <x:c r="I8" s="2" t="n">
        <x:v>4</x:v>
      </x:c>
      <x:c r="J8" s="2" t="n">
        <x:v>89</x:v>
      </x:c>
    </x:row>
    <x:row r="9" ht="23" customHeight="1">
      <x:c r="A9" s="9" t="str">
        <x:v>2035-06-25_8</x:v>
      </x:c>
      <x:c r="B9" s="9" t="n">
        <x:v>1</x:v>
      </x:c>
      <x:c r="C9" s="15" t="n">
        <x:v>-0.009803921568627416</x:v>
      </x:c>
      <x:c r="D9" s="15" t="n">
        <x:v>-0.014286913718462468</x:v>
      </x:c>
      <x:c r="E9" s="25" t="n">
        <x:v>0.6911327999832793</x:v>
      </x:c>
      <x:c r="F9" s="25" t="n">
        <x:v>0.016877499999736756</x:v>
      </x:c>
      <x:c r="G9" s="25" t="n">
        <x:v>0.6742552999835425</x:v>
      </x:c>
      <x:c r="H9" s="25" t="n">
        <x:v>0.024259400001028553</x:v>
      </x:c>
      <x:c r="I9" s="9" t="n">
        <x:v>4</x:v>
      </x:c>
      <x:c r="J9" s="9" t="n">
        <x:v>89</x:v>
      </x:c>
    </x:row>
    <x:row r="10" ht="23" customHeight="1">
      <x:c r="A10" s="2" t="str">
        <x:v>2035-09-03_4</x:v>
      </x:c>
      <x:c r="B10" s="2" t="n">
        <x:v>0</x:v>
      </x:c>
      <x:c r="C10" s="14" t="n">
        <x:v>0.03258879531307213</x:v>
      </x:c>
      <x:c r="D10" s="14" t="n">
        <x:v>-0.02585303946490769</x:v>
      </x:c>
      <x:c r="E10" s="24" t="n">
        <x:v>1.2669351999811624</x:v>
      </x:c>
      <x:c r="F10" s="24" t="n">
        <x:v>-0.29869570000118983</x:v>
      </x:c>
      <x:c r="G10" s="24" t="n">
        <x:v>1.5656308999823523</x:v>
      </x:c>
      <x:c r="H10" s="24" t="n">
        <x:v>0.03940230000034717</x:v>
      </x:c>
      <x:c r="I10" s="2" t="n">
        <x:v>6</x:v>
      </x:c>
      <x:c r="J10" s="2" t="n">
        <x:v>818</x:v>
      </x:c>
    </x:row>
    <x:row r="11" ht="23" customHeight="1">
      <x:c r="A11" s="9" t="str">
        <x:v>2035-09-03_4</x:v>
      </x:c>
      <x:c r="B11" s="9" t="n">
        <x:v>1</x:v>
      </x:c>
      <x:c r="C11" s="15" t="n">
        <x:v>0.02746246796045404</x:v>
      </x:c>
      <x:c r="D11" s="15" t="n">
        <x:v>-0.028631261027451282</x:v>
      </x:c>
      <x:c r="E11" s="25" t="n">
        <x:v>1.4030826999960482</x:v>
      </x:c>
      <x:c r="F11" s="25" t="n">
        <x:v>-0.33765949999997247</x:v>
      </x:c>
      <x:c r="G11" s="25" t="n">
        <x:v>1.7407421999960206</x:v>
      </x:c>
      <x:c r="H11" s="25" t="n">
        <x:v>0.03938629999993282</x:v>
      </x:c>
      <x:c r="I11" s="9" t="n">
        <x:v>6</x:v>
      </x:c>
      <x:c r="J11" s="9" t="n">
        <x:v>818</x:v>
      </x:c>
    </x:row>
    <x:row r="12" ht="23" customHeight="1">
      <x:c r="A12" s="2" t="str">
        <x:v>2035-10-01_5</x:v>
      </x:c>
      <x:c r="B12" s="2" t="n">
        <x:v>0</x:v>
      </x:c>
      <x:c r="C12" s="14" t="n">
        <x:v>0</x:v>
      </x:c>
      <x:c r="D12" s="14" t="n">
        <x:v>0.002679801879245436</x:v>
      </x:c>
      <x:c r="E12" s="24" t="n">
        <x:v>-0.11296449999599645</x:v>
      </x:c>
      <x:c r="F12" s="24" t="n">
        <x:v>-0.02183439999953407</x:v>
      </x:c>
      <x:c r="G12" s="24" t="n">
        <x:v>-0.09113009999646238</x:v>
      </x:c>
      <x:c r="H12" s="24" t="n">
        <x:v>0.01073400000041147</x:v>
      </x:c>
      <x:c r="I12" s="2" t="n">
        <x:v>0</x:v>
      </x:c>
      <x:c r="J12" s="2" t="n">
        <x:v>0</x:v>
      </x:c>
    </x:row>
    <x:row r="13" ht="23" customHeight="1">
      <x:c r="A13" s="9" t="str">
        <x:v>2035-10-01_5</x:v>
      </x:c>
      <x:c r="B13" s="9" t="n">
        <x:v>1</x:v>
      </x:c>
      <x:c r="C13" s="15" t="n">
        <x:v>0</x:v>
      </x:c>
      <x:c r="D13" s="15" t="n">
        <x:v>0.0044933714332567876</x:v>
      </x:c>
      <x:c r="E13" s="25" t="n">
        <x:v>-0.18941380002206643</x:v>
      </x:c>
      <x:c r="F13" s="25" t="n">
        <x:v>-0.015841999999793188</x:v>
      </x:c>
      <x:c r="G13" s="25" t="n">
        <x:v>-0.17357180002227324</x:v>
      </x:c>
      <x:c r="H13" s="25" t="n">
        <x:v>0.010653099999672122</x:v>
      </x:c>
      <x:c r="I13" s="9" t="n">
        <x:v>0</x:v>
      </x:c>
      <x:c r="J13" s="9" t="n">
        <x:v>0</x:v>
      </x:c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3" hidden="0" customWidth="1"/>
    <x:col min="3" max="3" width="112" hidden="0" customWidth="1"/>
  </x:cols>
  <x:sheetData>
    <x:row r="1" ht="23" customHeight="1">
      <x:c r="A1" s="2"/>
      <x:c r="B1" s="2"/>
      <x:c r="C1" s="2"/>
    </x:row>
    <x:row r="2" ht="23" customHeight="1">
      <x:c r="A2" s="3" t="str">
        <x:v>数据口径、方法和来源</x:v>
      </x:c>
      <x:c r="B2" s="2"/>
      <x:c r="C2" s="2"/>
    </x:row>
    <x:row r="3" ht="23" customHeight="1">
      <x:c r="A3" s="4" t="str">
        <x:v>原始文件与哈希位于同一数据包；所有旧版本、较差结果和共同失败保留。</x:v>
      </x:c>
      <x:c r="B3" s="2"/>
      <x:c r="C3" s="2"/>
    </x:row>
    <x:row r="4" ht="23" customHeight="1">
      <x:c r="A4" s="2"/>
      <x:c r="B4" s="2"/>
      <x:c r="C4" s="2"/>
    </x:row>
    <x:row r="5" ht="44" customHeight="1">
      <x:c r="A5" s="8" t="str">
        <x:v>项目</x:v>
      </x:c>
      <x:c r="B5" s="8" t="str">
        <x:v>定义或方法</x:v>
      </x:c>
      <x:c r="C5" s="8" t="str">
        <x:v>解释与边界</x:v>
      </x:c>
    </x:row>
    <x:row r="6" ht="33" customHeight="1">
      <x:c r="A6" s="2" t="str">
        <x:v>控制时间</x:v>
      </x:c>
      <x:c r="B6" s="2" t="str">
        <x:v>每步选择动作的实际墙钟累计</x:v>
      </x:c>
      <x:c r="C6" s="2" t="str">
        <x:v>包含排序、图构造、模型推理、公开预测仿真和连续优化；不含环境物理推进、初始化及保存。</x:v>
      </x:c>
    </x:row>
    <x:row r="7" ht="33" customHeight="1">
      <x:c r="A7" s="9" t="str">
        <x:v>模拟成本</x:v>
      </x:c>
      <x:c r="B7" s="9" t="str">
        <x:v>累计奖励中的成本账目</x:v>
      </x:c>
      <x:c r="C7" s="9" t="str">
        <x:v>数值越低越好；不是生产电费。成本变化=(方法成本-FULL成本)/|FULL成本|。</x:v>
      </x:c>
    </x:row>
    <x:row r="8" ht="33" customHeight="1">
      <x:c r="A8" s="2" t="str">
        <x:v>N1查询</x:v>
      </x:c>
      <x:c r="B8" s="2" t="str">
        <x:v>拓扑候选的公开预测调用数</x:v>
      </x:c>
      <x:c r="C8" s="2" t="str">
        <x:v>不等于物理运行步数，也不等于全部控制器预测数。所有方法可使用共同DC/safeQP缓存。</x:v>
      </x:c>
    </x:row>
    <x:row r="9" ht="33" customHeight="1">
      <x:c r="A9" s="9" t="str">
        <x:v>宏平均</x:v>
      </x:c>
      <x:c r="B9" s="9" t="str">
        <x:v>先对每个日期计算比例再等权平均</x:v>
      </x:c>
      <x:c r="C9" s="9" t="str">
        <x:v>15.75%是宏平均控制提速。先加总时间再求比例约13.92%；不能互换。</x:v>
      </x:c>
    </x:row>
    <x:row r="10" ht="33" customHeight="1">
      <x:c r="A10" s="2" t="str">
        <x:v>两种子</x:v>
      </x:c>
      <x:c r="B10" s="2" t="str">
        <x:v>两份固定训练随机种子</x:v>
      </x:c>
      <x:c r="C10" s="2" t="str">
        <x:v>不按结果选种子。种子与计时重复不是独立日期样本。</x:v>
      </x:c>
    </x:row>
    <x:row r="11" ht="33" customHeight="1">
      <x:c r="A11" s="9" t="str">
        <x:v>原GNN</x:v>
      </x:c>
      <x:c r="B11" s="9" t="str">
        <x:v>LOCAL_GNN0/1</x:v>
      </x:c>
      <x:c r="C11" s="9" t="str">
        <x:v>PPO先验与tanh残差；更快但完整周成本尾部超0.5%尺度。</x:v>
      </x:c>
    </x:row>
    <x:row r="12" ht="33" customHeight="1">
      <x:c r="A12" s="2" t="str">
        <x:v>质量补强GNN</x:v>
      </x:c>
      <x:c r="B12" s="2" t="str">
        <x:v>COMPRESSED_GNN0/1</x:v>
      </x:c>
      <x:c r="C12" s="2" t="str">
        <x:v>PPO先验与软压缩残差；不是最近的频次先验模型。</x:v>
      </x:c>
    </x:row>
    <x:row r="13" ht="33" customHeight="1">
      <x:c r="A13" s="9" t="str">
        <x:v>新先验GNN</x:v>
      </x:c>
      <x:c r="B13" s="9" t="str">
        <x:v>FREQUENCY_GNN0/1</x:v>
      </x:c>
      <x:c r="C13" s="9" t="str">
        <x:v>改用作者教师频次顺序作先验；只在四个旧开发日期有限试点，不能与八日期结果横比均值。</x:v>
      </x:c>
    </x:row>
    <x:row r="14" ht="33" customHeight="1">
      <x:c r="A14" s="2" t="str">
        <x:v>STATIC</x:v>
      </x:c>
      <x:c r="B14" s="2" t="str">
        <x:v>作者教师频次顺序</x:v>
      </x:c>
      <x:c r="C14" s="2" t="str">
        <x:v>同一公开动作库有历史经验；所有方法共享库，作者训练日期未知。</x:v>
      </x:c>
    </x:row>
    <x:row r="15" ht="33" customHeight="1">
      <x:c r="A15" s="9" t="str">
        <x:v>SoftGNN</x:v>
      </x:c>
      <x:c r="B15" s="9" t="str">
        <x:v>资源匹配的适配版</x:v>
      </x:c>
      <x:c r="C15" s="9" t="str">
        <x:v>使用作者架构与转换器，未声称完整复现论文全部训练协议。</x:v>
      </x:c>
    </x:row>
    <x:row r="16" ht="33" customHeight="1">
      <x:c r="A16" s="2" t="str">
        <x:v>训练性质</x:v>
      </x:c>
      <x:c r="B16" s="2" t="str">
        <x:v>当前GNN是监督候选排序</x:v>
      </x:c>
      <x:c r="C16" s="2" t="str">
        <x:v>不是本轮训练新的RL策略。已有作者PPO是控制器组成。</x:v>
      </x:c>
    </x:row>
    <x:row r="17" ht="33" customHeight="1">
      <x:c r="A17" s="9" t="str">
        <x:v>八日期正式来源</x:v>
      </x:c>
      <x:c r="B17" s="9" t="str">
        <x:v>GRID55B qualified_view</x:v>
      </x:c>
      <x:c r="C17" s="9" t="str">
        <x:v>基于GRID55原128条；受待机影响的一日期对所有八方法统一换计时槽位，来源JSON与原数据保留。</x:v>
      </x:c>
    </x:row>
    <x:row r="18" ht="33" customHeight="1">
      <x:c r="A18" s="2" t="str">
        <x:v>八日期STATIC来源</x:v>
      </x:c>
      <x:c r="B18" s="2" t="str">
        <x:v>GRID57 per_family.csv</x:v>
      </x:c>
      <x:c r="C18" s="2" t="str">
        <x:v>单次额外回放，不能跨批声称STATIC控制提速。查询和完整周成本可离线对照。</x:v>
      </x:c>
    </x:row>
    <x:row r="19" ht="33" customHeight="1">
      <x:c r="A19" s="9" t="str">
        <x:v>四日期试点来源</x:v>
      </x:c>
      <x:c r="B19" s="9" t="str">
        <x:v>GRID59 finished/review.json</x:v>
      </x:c>
      <x:c r="C19" s="9" t="str">
        <x:v>新16条同批、一次计时；两个日期与早期训练家庭重合，不是封存泛化确认。</x:v>
      </x:c>
    </x:row>
    <x:row r="20" ht="33" customHeight="1">
      <x:c r="A20" s="2" t="str">
        <x:v>计时路径来源</x:v>
      </x:c>
      <x:c r="B20" s="2" t="str">
        <x:v>GRID59_closeout paired_diagnostics.csv</x:v>
      </x:c>
      <x:c r="C20" s="2" t="str">
        <x:v>保存hash和反馈验算；没有独立AC重求解，未在本导出中重新拟合。</x:v>
      </x:c>
    </x:row>
    <x:row r="21" ht="23" customHeight="1">
      <x:c r="A21" s="2"/>
      <x:c r="B21" s="2"/>
      <x:c r="C21" s="2"/>
    </x:row>
    <x:row r="22" ht="23" customHeight="1">
      <x:c r="A22" s="2"/>
      <x:c r="B22" s="2"/>
      <x:c r="C22" s="2"/>
    </x:row>
    <x:row r="23" ht="23" customHeight="1">
      <x:c r="A23" s="2"/>
      <x:c r="B23" s="2"/>
      <x:c r="C23" s="2"/>
    </x:row>
    <x:row r="24" ht="23" customHeight="1">
      <x:c r="A24" s="2"/>
      <x:c r="B24" s="2"/>
      <x:c r="C24" s="2"/>
    </x:row>
    <x:row r="25" ht="23" customHeight="1">
      <x:c r="A25" s="2"/>
      <x:c r="B25" s="2"/>
      <x:c r="C25" s="2"/>
    </x:row>
    <x:row r="26" ht="23" customHeight="1">
      <x:c r="A26" s="2"/>
      <x:c r="B26" s="2"/>
      <x:c r="C26" s="2"/>
    </x:row>
    <x:row r="27" ht="23" customHeight="1">
      <x:c r="A27" s="2"/>
      <x:c r="B27" s="2"/>
      <x:c r="C27" s="2"/>
    </x:row>
    <x:row r="28" ht="23" customHeight="1">
      <x:c r="A28" s="2"/>
      <x:c r="B28" s="2"/>
      <x:c r="C28" s="2"/>
    </x:row>
    <x:row r="29" ht="23" customHeight="1">
      <x:c r="A29" s="2"/>
      <x:c r="B29" s="2"/>
      <x:c r="C29" s="2"/>
    </x:row>
    <x:row r="30" ht="23" customHeight="1">
      <x:c r="A30" s="2"/>
      <x:c r="B30" s="2"/>
      <x:c r="C30" s="2"/>
    </x:row>
  </x:sheetData>
  <x:pageMargins left="0.7" right="0.7" top="0.75" bottom="0.75" header="0.3" footer="0.3"/>
</x:worksheet>
</file>