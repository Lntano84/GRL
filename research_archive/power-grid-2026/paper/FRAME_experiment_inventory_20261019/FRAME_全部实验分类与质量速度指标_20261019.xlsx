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fd0f7a290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贡献总表" sheetId="1" r:id="Rc87892ce35a04a47"/>
    <x:sheet xmlns:r="http://schemas.openxmlformats.org/officeDocument/2006/relationships" name="质量速度汇总" sheetId="2" r:id="R034af38321d34b77"/>
    <x:sheet xmlns:r="http://schemas.openxmlformats.org/officeDocument/2006/relationships" name="逐日期数据" sheetId="3" r:id="R65d87f55a29f47e9"/>
    <x:sheet xmlns:r="http://schemas.openxmlformats.org/officeDocument/2006/relationships" name="逐轮记录" sheetId="4" r:id="R1618b930f8ec47b2"/>
    <x:sheet xmlns:r="http://schemas.openxmlformats.org/officeDocument/2006/relationships" name="原报告指标" sheetId="5" r:id="Rd03f24c8b9a24db0"/>
    <x:sheet xmlns:r="http://schemas.openxmlformats.org/officeDocument/2006/relationships" name="对照与口径" sheetId="6" r:id="Ra4c51568691a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%"/>
    <x:numFmt numFmtId="203" formatCode="#,##0"/>
    <x:numFmt numFmtId="204" formatCode="0.000"/>
    <x:numFmt numFmtId="205" formatCode="0.00%"/>
  </x:numFmts>
  <x:fonts count="6">
    <x:font>
      <x:sz val="11"/>
      <x:name val="Carlito"/>
    </x:font>
    <x:font>
      <x:b/>
      <x:sz val="20"/>
      <x:color rgb="FF263342"/>
      <x:name val="Noto Sans SC"/>
    </x:font>
    <x:font>
      <x:sz val="10"/>
      <x:color rgb="FF677788"/>
      <x:name val="Noto Sans SC"/>
    </x:font>
    <x:font>
      <x:sz val="12"/>
      <x:color rgb="FF263342"/>
      <x:name val="Noto Sans SC"/>
    </x:font>
    <x:font>
      <x:b/>
      <x:sz val="11"/>
      <x:color rgb="FFFFFFFF"/>
      <x:name val="Noto Sans SC"/>
    </x:font>
    <x:font>
      <x:sz val="11"/>
      <x:color rgb="FF263342"/>
      <x:name val="Noto Sans SC"/>
    </x:font>
  </x:fonts>
  <x:fills count="11">
    <x:fill>
      <x:patternFill patternType="none"/>
    </x:fill>
    <x:fill>
      <x:patternFill patternType="gray125"/>
    </x:fill>
    <x:fill>
      <x:patternFill patternType="solid">
        <x:fgColor rgb="FF263B53"/>
      </x:patternFill>
    </x:fill>
    <x:fill>
      <x:patternFill patternType="solid">
        <x:fgColor rgb="FFE6EEF7"/>
      </x:patternFill>
    </x:fill>
    <x:fill>
      <x:patternFill patternType="solid">
        <x:fgColor rgb="FFE9E5F2"/>
      </x:patternFill>
    </x:fill>
    <x:fill>
      <x:patternFill patternType="solid">
        <x:fgColor rgb="FFE4F1E9"/>
      </x:patternFill>
    </x:fill>
    <x:fill>
      <x:patternFill patternType="solid">
        <x:fgColor rgb="FFE7EDF6"/>
      </x:patternFill>
    </x:fill>
    <x:fill>
      <x:patternFill patternType="solid">
        <x:fgColor rgb="FFF3EDE3"/>
      </x:patternFill>
    </x:fill>
    <x:fill>
      <x:patternFill patternType="solid">
        <x:fgColor rgb="FFE5EEF0"/>
      </x:patternFill>
    </x:fill>
    <x:fill>
      <x:patternFill patternType="solid">
        <x:fgColor rgb="FFECEAF2"/>
      </x:patternFill>
    </x:fill>
    <x:fill>
      <x:patternFill patternType="solid">
        <x:fgColor rgb="FFF5E6E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center" wrapText="1"/>
    </x:xf>
    <x:xf numFmtId="205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A2925"/>
      </x:font>
      <x:fill>
        <x:patternFill patternType="solid">
          <x:bgColor rgb="FFF9E5E2"/>
        </x:patternFill>
      </x:fill>
    </x:dxf>
    <x:dxf>
      <x:font>
        <x:color rgb="FF9A2925"/>
      </x:font>
      <x:fill>
        <x:patternFill patternType="solid">
          <x:bgColor rgb="FFF9E5E2"/>
        </x:patternFill>
      </x:fill>
    </x:dxf>
    <x:dxf>
      <x:font>
        <x:color rgb="FF9A2925"/>
      </x:font>
      <x:fill>
        <x:patternFill patternType="solid">
          <x:bgColor rgb="FFF9E5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ba5f44d904c71" /><Relationship Type="http://schemas.openxmlformats.org/officeDocument/2006/relationships/theme" Target="/xl/theme/theme1.xml" Id="Rea3ea3bcc65e4dbc" /><Relationship Type="http://schemas.openxmlformats.org/officeDocument/2006/relationships/sharedStrings" Target="/xl/sharedStrings.xml" Id="Rcc1e4644e5c2491f" /><Relationship Type="http://schemas.openxmlformats.org/officeDocument/2006/relationships/worksheet" Target="/xl/worksheets/sheet1.xml" Id="Rc87892ce35a04a47" /><Relationship Type="http://schemas.openxmlformats.org/officeDocument/2006/relationships/worksheet" Target="/xl/worksheets/sheet2.xml" Id="R034af38321d34b77" /><Relationship Type="http://schemas.openxmlformats.org/officeDocument/2006/relationships/worksheet" Target="/xl/worksheets/sheet3.xml" Id="R65d87f55a29f47e9" /><Relationship Type="http://schemas.openxmlformats.org/officeDocument/2006/relationships/worksheet" Target="/xl/worksheets/sheet4.xml" Id="R1618b930f8ec47b2" /><Relationship Type="http://schemas.openxmlformats.org/officeDocument/2006/relationships/worksheet" Target="/xl/worksheets/sheet5.xml" Id="Rd03f24c8b9a24db0" /><Relationship Type="http://schemas.openxmlformats.org/officeDocument/2006/relationships/worksheet" Target="/xl/worksheets/sheet6.xml" Id="Ra4c51568691a4838" /></Relationships>
</file>

<file path=xl/tables/table1.xml><?xml version="1.0" encoding="utf-8"?>
<x:table xmlns:x="http://schemas.openxmlformats.org/spreadsheetml/2006/main" id="1" name="ContributionEvidence" displayName="ContributionEvidence" ref="A6:G44" headerRowCount="1" totalsRowCount="0" totalsRowShown="0">
  <x:autoFilter ref="A6:G44"/>
  <x:tableColumns count="7">
    <x:tableColumn id="1" name="类别"/>
    <x:tableColumn id="2" name="实验与场景"/>
    <x:tableColumn id="3" name="和谁比较"/>
    <x:tableColumn id="4" name="实验目的：检验FRAME什么特点"/>
    <x:tableColumn id="5" name="结果"/>
    <x:tableColumn id="6" name="证据说明"/>
    <x:tableColumn id="7" name="来源编号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3" name="QualitySpeedSummary" displayName="QualitySpeedSummary" ref="A6:AB66" headerRowCount="1" totalsRowCount="0" totalsRowShown="0">
  <x:autoFilter ref="A6:AB66"/>
  <x:tableColumns count="28">
    <x:tableColumn id="1" name="批次"/>
    <x:tableColumn id="2" name="方法"/>
    <x:tableColumn id="3" name="场景数"/>
    <x:tableColumn id="4" name="质量达标"/>
    <x:tableColumn id="5" name="整周完成"/>
    <x:tableColumn id="6" name="步数最小–最大"/>
    <x:tableColumn id="7" name="平均完整周成本变化"/>
    <x:tableColumn id="8" name="最大完整周成本变化"/>
    <x:tableColumn id="9" name="查询合计"/>
    <x:tableColumn id="10" name="查询宏平均减少"/>
    <x:tableColumn id="11" name="控制秒/日期"/>
    <x:tableColumn id="12" name="控制时间宏平均减少"/>
    <x:tableColumn id="13" name="搜索秒/日期"/>
    <x:tableColumn id="14" name="预测秒/日期"/>
    <x:tableColumn id="15" name="优化秒/日期"/>
    <x:tableColumn id="16" name="搜索其他秒/日期"/>
    <x:tableColumn id="17" name="其余控制秒/日期"/>
    <x:tableColumn id="18" name="全步骤P95(ms)"/>
    <x:tableColumn id="19" name="全步骤P99(ms)"/>
    <x:tableColumn id="20" name="搜索步P95(ms)"/>
    <x:tableColumn id="21" name="搜索步P99(ms)"/>
    <x:tableColumn id="22" name="全步骤P95宏平均减少"/>
    <x:tableColumn id="23" name="搜索P95宏平均减少"/>
    <x:tableColumn id="24" name="日期内CV范围"/>
    <x:tableColumn id="25" name="计时重复数"/>
    <x:tableColumn id="26" name="同批速度参照"/>
    <x:tableColumn id="27" name="质量及时间解释"/>
    <x:tableColumn id="28" name="来源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2" name="PerDateEvidence" displayName="PerDateEvidence" ref="A6:AC360" headerRowCount="1" totalsRowCount="0" totalsRowShown="0">
  <x:autoFilter ref="A6:AC360"/>
  <x:tableColumns count="29">
    <x:tableColumn id="1" name="批次"/>
    <x:tableColumn id="2" name="日期/场景"/>
    <x:tableColumn id="3" name="方法"/>
    <x:tableColumn id="4" name="计时重复数"/>
    <x:tableColumn id="5" name="运行步数"/>
    <x:tableColumn id="6" name="质量达标(1/0)"/>
    <x:tableColumn id="7" name="完整周(1/0)"/>
    <x:tableColumn id="8" name="累计运行成本"/>
    <x:tableColumn id="9" name="完整周成本变化/FULL"/>
    <x:tableColumn id="10" name="查询数(日期计一次)"/>
    <x:tableColumn id="11" name="完整控制(s)"/>
    <x:tableColumn id="12" name="预测仿真(s)"/>
    <x:tableColumn id="13" name="连续优化(s)"/>
    <x:tableColumn id="14" name="搜索其他(s)"/>
    <x:tableColumn id="15" name="其余控制(s)"/>
    <x:tableColumn id="16" name="全步骤P95(s)"/>
    <x:tableColumn id="17" name="全步骤P99(s)"/>
    <x:tableColumn id="18" name="搜索步P95(s)"/>
    <x:tableColumn id="19" name="搜索步P99(s)"/>
    <x:tableColumn id="20" name="重复最小控制(s)"/>
    <x:tableColumn id="21" name="重复最大控制(s)"/>
    <x:tableColumn id="22" name="重复标准差(s)"/>
    <x:tableColumn id="23" name="同批速度参照"/>
    <x:tableColumn id="24" name="查询减少比"/>
    <x:tableColumn id="25" name="控制时间减少比"/>
    <x:tableColumn id="26" name="全步骤P95减少比"/>
    <x:tableColumn id="27" name="搜索步P95减少比"/>
    <x:tableColumn id="28" name="重复CV"/>
    <x:tableColumn id="29" name="数据来源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StageHistory" displayName="StageHistory" ref="A6:H102" headerRowCount="1" totalsRowCount="0" totalsRowShown="0">
  <x:autoFilter ref="A6:H102"/>
  <x:tableColumns count="8">
    <x:tableColumn id="1" name="编号"/>
    <x:tableColumn id="2" name="类别"/>
    <x:tableColumn id="3" name="实验名称与版本"/>
    <x:tableColumn id="4" name="比较对象"/>
    <x:tableColumn id="5" name="实验目的：检验什么"/>
    <x:tableColumn id="6" name="结果摘要"/>
    <x:tableColumn id="7" name="与当前论文的关系"/>
    <x:tableColumn id="8" name="来源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ReportedMetrics" displayName="ReportedMetrics" ref="A6:H4716" headerRowCount="1" totalsRowCount="0" totalsRowShown="0">
  <x:autoFilter ref="A6:H4716"/>
  <x:tableColumns count="8">
    <x:tableColumn id="1" name="编号"/>
    <x:tableColumn id="2" name="报告文件"/>
    <x:tableColumn id="3" name="原表与章节"/>
    <x:tableColumn id="4" name="原行上下文"/>
    <x:tableColumn id="5" name="原指标/列名"/>
    <x:tableColumn id="6" name="原值"/>
    <x:tableColumn id="7" name="指标类别"/>
    <x:tableColumn id="8" name="来源路径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Definitions" displayName="Definitions" ref="A6:C46" headerRowCount="1" totalsRowCount="0" totalsRowShown="0">
  <x:autoFilter ref="A6:C46"/>
  <x:tableColumns count="3">
    <x:tableColumn id="1" name="类别"/>
    <x:tableColumn id="2" name="名称"/>
    <x:tableColumn id="3" name="含义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fe7797ba1a40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5e6873065e44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f1b8d58d6840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4fe950ae1f44e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a452a410c24f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040442411b24746" /></Relationships>
</file>

<file path=xl/worksheets/sheet1.xml><?xml version="1.0" encoding="utf-8"?>
<x:worksheet xmlns:x="http://schemas.openxmlformats.org/spreadsheetml/2006/main">
  <x:sheetPr>
    <x:tabColor rgb="FF263B5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.5" hidden="0" customWidth="1"/>
    <x:col min="2" max="2" width="32.5" hidden="0" customWidth="1"/>
    <x:col min="3" max="3" width="28.1299991607666" hidden="0" customWidth="1"/>
    <x:col min="4" max="4" width="38.130001068115234" hidden="0" customWidth="1"/>
    <x:col min="5" max="5" width="71.25" hidden="0" customWidth="1"/>
    <x:col min="6" max="6" width="42.5" hidden="0" customWidth="1"/>
    <x:col min="7" max="7" width="18.1299991607666" hidden="0" customWidth="1"/>
  </x:cols>
  <x:sheetData>
    <x:row r="2" ht="30" customHeight="1">
      <x:c r="A2" s="1" t="str">
        <x:v>FRAME实验总表：比较、结果与贡献</x:v>
      </x:c>
    </x:row>
    <x:row r="4" ht="22.5" customHeight="1">
      <x:c r="A4" s="2" t="str">
        <x:v>截至2026-10-19。38项贡献证据；另保留96轮记录。质量、速度数值见下一页，出处见逐轮/逐日期/原报告指标。</x:v>
      </x:c>
    </x:row>
    <x:row r="6" ht="33" customHeight="1">
      <x:c r="A6" s="8" t="str">
        <x:v>类别</x:v>
      </x:c>
      <x:c r="B6" s="8" t="str">
        <x:v>实验与场景</x:v>
      </x:c>
      <x:c r="C6" s="8" t="str">
        <x:v>和谁比较</x:v>
      </x:c>
      <x:c r="D6" s="8" t="str">
        <x:v>实验目的：检验FRAME什么特点</x:v>
      </x:c>
      <x:c r="E6" s="8" t="str">
        <x:v>结果</x:v>
      </x:c>
      <x:c r="F6" s="8" t="str">
        <x:v>证据说明</x:v>
      </x:c>
      <x:c r="G6" s="8" t="str">
        <x:v>来源编号</x:v>
      </x:c>
    </x:row>
    <x:row r="7" ht="75" customHeight="1">
      <x:c r="A7" s="9" t="str">
        <x:v>A 整体有效性</x:v>
      </x:c>
      <x:c r="B7" s="5" t="str">
        <x:v>GRID89
最终FRAME的主评价
G2六场景；三次轮换计时</x:v>
      </x:c>
      <x:c r="C7" s="5" t="str">
        <x:v>FULL</x:v>
      </x:c>
      <x:c r="D7" s="5" t="str">
        <x:v>检验少查询能否保持闭环效果并减少完整控制计算</x:v>
      </x:c>
      <x:c r="E7" s="5" t="str">
        <x:v>质量6/6，双方完成5/6且终止步数相同；5个可比完整周成本均未增加。查询宏平均少60.728%，完整控制时间少14.301%；日期簇描述区间9.955%～18.739%</x:v>
      </x:c>
      <x:c r="F7" s="5" t="str">
        <x:v>当前最直接的主结果；5%同质量筛查通过。重复不当独立场景</x:v>
      </x:c>
      <x:c r="G7" s="5" t="str">
        <x:v>GRID89</x:v>
      </x:c>
    </x:row>
    <x:row r="8" ht="75" customHeight="1">
      <x:c r="A8" s="9" t="str">
        <x:v>A 整体有效性</x:v>
      </x:c>
      <x:c r="B8" s="5" t="str">
        <x:v>GRID81
固定核查版的第一组生成场景
G1六场景；两次反向计时</x:v>
      </x:c>
      <x:c r="C8" s="5" t="str">
        <x:v>FULL</x:v>
      </x:c>
      <x:c r="D8" s="5" t="str">
        <x:v>检验最终固定搜索在生成时序中的运行质量与计算收益</x:v>
      </x:c>
      <x:c r="E8" s="5" t="str">
        <x:v>质量6/6，双方完整4/6，最坏完整周成本+0.0866%；查询少65.10%，完整控制时间少14.98%</x:v>
      </x:c>
      <x:c r="F8" s="5" t="str">
        <x:v>与G2分别报告，不能合成12个不同日历日期</x:v>
      </x:c>
      <x:c r="G8" s="5" t="str">
        <x:v>GRID81</x:v>
      </x:c>
    </x:row>
    <x:row r="9" ht="75" customHeight="1">
      <x:c r="A9" s="9" t="str">
        <x:v>A 整体有效性</x:v>
      </x:c>
      <x:c r="B9" s="5" t="str">
        <x:v>GRID70
最终修复版的旧日期回归
D组13日期；单次新回放</x:v>
      </x:c>
      <x:c r="C9" s="5" t="str">
        <x:v>原FRAME与FULL</x:v>
      </x:c>
      <x:c r="D9" s="5" t="str">
        <x:v>检验增加必要核查、限制无依据补查后能否修复质量</x:v>
      </x:c>
      <x:c r="E9" s="5" t="str">
        <x:v>质量13/13，完成11/13同FULL；原版完成10/13。活跃匹配日期查询少61.999%，最坏成本+0.372%</x:v>
      </x:c>
      <x:c r="F9" s="5" t="str">
        <x:v>当前算法实现锚点；本批不建立新同批重复加速结论</x:v>
      </x:c>
      <x:c r="G9" s="5" t="str">
        <x:v>GRID70</x:v>
      </x:c>
    </x:row>
    <x:row r="10" ht="75" customHeight="1">
      <x:c r="A10" s="10" t="str">
        <x:v>B 搜索深度</x:v>
      </x:c>
      <x:c r="B10" s="5" t="str">
        <x:v>GRID85
安全前缀之后为何仍需核查
D组101次调用；G1为30次</x:v>
      </x:c>
      <x:c r="C10" s="5" t="str">
        <x:v>前缀动作与核查后动作</x:v>
      </x:c>
      <x:c r="D10" s="5" t="str">
        <x:v>检验前缀达到0.9阈值是否意味着继续搜索没有价值</x:v>
      </x:c>
      <x:c r="E10" s="5" t="str">
        <x:v>前缀低于0.9后仍改变动作：D组12/39，G1为2/12；原版与修复版7处首次分歧均来自该分支</x:v>
      </x:c>
      <x:c r="F10" s="5" t="str">
        <x:v>支持保留核查机会；一步改善不等于整周成本必降</x:v>
      </x:c>
      <x:c r="G10" s="5" t="str">
        <x:v>GRID85</x:v>
      </x:c>
    </x:row>
    <x:row r="11" ht="75" customHeight="1">
      <x:c r="A11" s="10" t="str">
        <x:v>B 搜索深度</x:v>
      </x:c>
      <x:c r="B11" s="5" t="str">
        <x:v>GRID86
低预算是否已经足够
G1六场景；两次反向计时</x:v>
      </x:c>
      <x:c r="C11" s="5" t="str">
        <x:v>FIXED_256</x:v>
      </x:c>
      <x:c r="D11" s="5" t="str">
        <x:v>检验反馈深度比简单低预算是否更划算</x:v>
      </x:c>
      <x:c r="E11" s="5" t="str">
        <x:v>双方质量6/6、完成4/6；FRAME查询更多（相对固定256的宏平均节省−45.590%），完整控制慢2.021%</x:v>
      </x:c>
      <x:c r="F11" s="5" t="str">
        <x:v>重要边界：这一场景组低预算确实更便宜，完整保留</x:v>
      </x:c>
      <x:c r="G11" s="5" t="str">
        <x:v>GRID86</x:v>
      </x:c>
    </x:row>
    <x:row r="12" ht="75" customHeight="1">
      <x:c r="A12" s="10" t="str">
        <x:v>B 搜索深度</x:v>
      </x:c>
      <x:c r="B12" s="5" t="str">
        <x:v>GRID86
与较大固定预算比较
G1六场景；两次反向计时</x:v>
      </x:c>
      <x:c r="C12" s="5" t="str">
        <x:v>FIXED_512</x:v>
      </x:c>
      <x:c r="D12" s="5" t="str">
        <x:v>检验动态深度能否避免统一大预算的多余计算</x:v>
      </x:c>
      <x:c r="E12" s="5" t="str">
        <x:v>双方质量6/6、完成4/6；FRAME查询少40.893%，完整控制时间少7.099%；两次均同向</x:v>
      </x:c>
      <x:c r="F12" s="5" t="str">
        <x:v>通过本轮对512的计算优势判据；不抹去对256的反向结果</x:v>
      </x:c>
      <x:c r="G12" s="5" t="str">
        <x:v>GRID86</x:v>
      </x:c>
    </x:row>
    <x:row r="13" ht="75" customHeight="1">
      <x:c r="A13" s="10" t="str">
        <x:v>B 搜索深度</x:v>
      </x:c>
      <x:c r="B13" s="5" t="str">
        <x:v>GRID87
固定256跨旧日期的质量
D组13日期；固定256单次</x:v>
      </x:c>
      <x:c r="C13" s="5" t="str">
        <x:v>冻结FULL及FRAME_GUARD</x:v>
      </x:c>
      <x:c r="D13" s="5" t="str">
        <x:v>检验G1里便宜的固定256能否覆盖更难旧场景</x:v>
      </x:c>
      <x:c r="E13" s="5" t="str">
        <x:v>固定256质量9/13，FRAME13/13；均完整11/13；三月固定版成本+4.4242%，FRAME+0.372%</x:v>
      </x:c>
      <x:c r="F13" s="5" t="str">
        <x:v>说明统一低预算有质量缺口；未同批运行FULL，不比较旧时间</x:v>
      </x:c>
      <x:c r="G13" s="5" t="str">
        <x:v>GRID87</x:v>
      </x:c>
    </x:row>
    <x:row r="14" ht="75" customHeight="1">
      <x:c r="A14" s="10" t="str">
        <x:v>B 搜索深度</x:v>
      </x:c>
      <x:c r="B14" s="5" t="str">
        <x:v>GRID88
提高固定预算能否兼顾质量与效率
D组13日期；两次反向计时</x:v>
      </x:c>
      <x:c r="C14" s="5" t="str">
        <x:v>FIXED_512</x:v>
      </x:c>
      <x:c r="D14" s="5" t="str">
        <x:v>检验简单增加查询是否替代反馈分配</x:v>
      </x:c>
      <x:c r="E14" s="5" t="str">
        <x:v>FRAME/固定512质量13/13与11/13，均完整11/13；FRAME查询少33.573%，控制少3.883%；全部步P95仅少约0.42%</x:v>
      </x:c>
      <x:c r="F14" s="5" t="str">
        <x:v>质量与计算组合较好；没有通过双方同质量且时间至少5%的判据</x:v>
      </x:c>
      <x:c r="G14" s="5" t="str">
        <x:v>GRID88</x:v>
      </x:c>
    </x:row>
    <x:row r="15" ht="75" customHeight="1">
      <x:c r="A15" s="10" t="str">
        <x:v>B 搜索深度</x:v>
      </x:c>
      <x:c r="B15" s="5" t="str">
        <x:v>GRID89
最终独立种子下的固定预算比较
G2六场景；三次轮换计时</x:v>
      </x:c>
      <x:c r="C15" s="5" t="str">
        <x:v>FIXED_512</x:v>
      </x:c>
      <x:c r="D15" s="5" t="str">
        <x:v>检验新随机时序下反馈搜索与固定大预算的质量—计算表现</x:v>
      </x:c>
      <x:c r="E15" s="5" t="str">
        <x:v>质量6/6对5/6，均完整5/6；FRAME查询少32.737%、控制少5.480%；固定版最坏成本+0.9463%</x:v>
      </x:c>
      <x:c r="F15" s="5" t="str">
        <x:v>对手质量未全通过，时间为描述性比较，不称双方同质量加速</x:v>
      </x:c>
      <x:c r="G15" s="5" t="str">
        <x:v>GRID89</x:v>
      </x:c>
    </x:row>
    <x:row r="16" ht="75" customHeight="1">
      <x:c r="A16" s="11" t="str">
        <x:v>C 补查位置</x:v>
      </x:c>
      <x:c r="B16" s="5" t="str">
        <x:v>GRID61
原框架取消局部补查
四开发日期×两重复</x:v>
      </x:c>
      <x:c r="C16" s="5" t="str">
        <x:v>NO_LOCAL、FIRST_SAFE_BEST</x:v>
      </x:c>
      <x:c r="D16" s="5" t="str">
        <x:v>检验补查是否帮助弥补全局截断后的质量缺口</x:v>
      </x:c>
      <x:c r="E16" s="5" t="str">
        <x:v>按回放计质量：FRAME8/8、NO_LOCAL6/8、首安全4/8；最坏成本+0.372%/+4.810%/+3.952%</x:v>
      </x:c>
      <x:c r="F16" s="5" t="str">
        <x:v>旧版机制支持；追加次数不同，单独不能排除多查询解释</x:v>
      </x:c>
      <x:c r="G16" s="5" t="str">
        <x:v>GRID61</x:v>
      </x:c>
    </x:row>
    <x:row r="17" ht="75" customHeight="1">
      <x:c r="A17" s="11" t="str">
        <x:v>C 补查位置</x:v>
      </x:c>
      <x:c r="B17" s="5" t="str">
        <x:v>GRID62
补查增量很小的剩余日期
三个当时剩余日期；两重复</x:v>
      </x:c>
      <x:c r="C17" s="5" t="str">
        <x:v>NO_LOCAL与FRAME</x:v>
      </x:c>
      <x:c r="D17" s="5" t="str">
        <x:v>检验旧版补查收益是否跨日期稳定</x:v>
      </x:c>
      <x:c r="E17" s="5" t="str">
        <x:v>两者均质量3/3，最坏完整周成本均约+0.014%；FRAME较FULL控制少6.086%，NO_LOCAL少9.384%</x:v>
      </x:c>
      <x:c r="F17" s="5" t="str">
        <x:v>不利边界：该组NO_LOCAL已经接近，补查增量有限</x:v>
      </x:c>
      <x:c r="G17" s="5" t="str">
        <x:v>GRID62</x:v>
      </x:c>
    </x:row>
    <x:row r="18" ht="75" customHeight="1">
      <x:c r="A18" s="11" t="str">
        <x:v>C 补查位置</x:v>
      </x:c>
      <x:c r="B18" s="5" t="str">
        <x:v>GRID63
原版等预算闭环
旧七日期；两重复</x:v>
      </x:c>
      <x:c r="C18" s="5" t="str">
        <x:v>GLOBAL_MATCH</x:v>
      </x:c>
      <x:c r="D18" s="5" t="str">
        <x:v>区分结构选点与仅增加查询数量</x:v>
      </x:c>
      <x:c r="E18" s="5" t="str">
        <x:v>FRAME和GLOBAL均质量7/7，查询节省均74.092%；对FULL控制少14.016%/13.721%，结构增量不实质</x:v>
      </x:c>
      <x:c r="F18" s="5" t="str">
        <x:v>保留早期否定结果；算法为提前返回修复前版本</x:v>
      </x:c>
      <x:c r="G18" s="5" t="str">
        <x:v>GRID63</x:v>
      </x:c>
    </x:row>
    <x:row r="19" ht="75" customHeight="1">
      <x:c r="A19" s="11" t="str">
        <x:v>C 补查位置</x:v>
      </x:c>
      <x:c r="B19" s="5" t="str">
        <x:v>GRID85
最终版同状态等预算，旧日期
FULL的100个有可用候选状态</x:v>
      </x:c>
      <x:c r="C19" s="5" t="str">
        <x:v>NO_LOCAL与GLOBAL_MATCH</x:v>
      </x:c>
      <x:c r="D19" s="5" t="str">
        <x:v>在相同状态、相同追加次数下检验选点作用</x:v>
      </x:c>
      <x:c r="E19" s="5" t="str">
        <x:v>同FULL动作数65/71/84（NO_LOCAL/GLOBAL/FRAME）；补查排序键14胜0负，实质奖励优势13处</x:v>
      </x:c>
      <x:c r="F19" s="5" t="str">
        <x:v>同状态一步机制证据，不当作100个独立场景</x:v>
      </x:c>
      <x:c r="G19" s="5" t="str">
        <x:v>GRID85</x:v>
      </x:c>
    </x:row>
    <x:row r="20" ht="75" customHeight="1">
      <x:c r="A20" s="11" t="str">
        <x:v>C 补查位置</x:v>
      </x:c>
      <x:c r="B20" s="5" t="str">
        <x:v>GRID85
最终版同状态等预算，G1
28个有可用候选状态；18处触发</x:v>
      </x:c>
      <x:c r="C20" s="5" t="str">
        <x:v>GLOBAL_MATCH</x:v>
      </x:c>
      <x:c r="D20" s="5" t="str">
        <x:v>检查结构选点是否在第一组生成场景持续占优</x:v>
      </x:c>
      <x:c r="E20" s="5" t="str">
        <x:v>同站3胜1负；反向案例两边各追加198查询，全局奖励增0.012966，同站仅0.000606。日期宏平均遗憾FRAME0.000871，全局0.000089</x:v>
      </x:c>
      <x:c r="F20" s="5" t="str">
        <x:v>必须保留：胜的次数更多不代表平均改善更大</x:v>
      </x:c>
      <x:c r="G20" s="5" t="str">
        <x:v>GRID85；中文V4</x:v>
      </x:c>
    </x:row>
    <x:row r="21" ht="75" customHeight="1">
      <x:c r="A21" s="11" t="str">
        <x:v>C 补查位置</x:v>
      </x:c>
      <x:c r="B21" s="5" t="str">
        <x:v>GRID89
最终版同状态等预算，G2
新FULL访问的可比状态</x:v>
      </x:c>
      <x:c r="C21" s="5" t="str">
        <x:v>GLOBAL_MATCH</x:v>
      </x:c>
      <x:c r="D21" s="5" t="str">
        <x:v>在新随机时序里复查同站位置的收益</x:v>
      </x:c>
      <x:c r="E21" s="5" t="str">
        <x:v>同站奖励更好4处、全局更好0处；按有可比状态日期平均后，遗憾FRAME0.001153、全局0.001823</x:v>
      </x:c>
      <x:c r="F21" s="5" t="str">
        <x:v>支持当前组的选点作用，与G1反例共同解释适用条件</x:v>
      </x:c>
      <x:c r="G21" s="5" t="str">
        <x:v>GRID89；中文V4</x:v>
      </x:c>
    </x:row>
    <x:row r="22" ht="75" customHeight="1">
      <x:c r="A22" s="11" t="str">
        <x:v>C 补查位置</x:v>
      </x:c>
      <x:c r="B22" s="5" t="str">
        <x:v>GRID89
最终版等预算闭环，G2
六场景；三次轮换计时</x:v>
      </x:c>
      <x:c r="C22" s="5" t="str">
        <x:v>GLOBAL_MATCH</x:v>
      </x:c>
      <x:c r="D22" s="5" t="str">
        <x:v>检验接近查询规模下的补查位置能否影响长期效果</x:v>
      </x:c>
      <x:c r="E22" s="5" t="str">
        <x:v>质量6/6对5/6，均完整5/6；FRAME查询少0.277%、控制少0.785%；GLOBAL最坏完整周成本+1.1494%</x:v>
      </x:c>
      <x:c r="F22" s="5" t="str">
        <x:v>主要证据是质量差异，不能把0.785%写成明显速度优势</x:v>
      </x:c>
      <x:c r="G22" s="5" t="str">
        <x:v>GRID89</x:v>
      </x:c>
    </x:row>
    <x:row r="23" ht="75" customHeight="1">
      <x:c r="A23" s="12" t="str">
        <x:v>D 会议方法比较</x:v>
      </x:c>
      <x:c r="B23" s="5" t="str">
        <x:v>GRID65
早期停止限定META适配
旧七日期；两重复</x:v>
      </x:c>
      <x:c r="C23" s="5" t="str">
        <x:v>META_DQN两个种子</x:v>
      </x:c>
      <x:c r="D23" s="5" t="str">
        <x:v>检验规则搜索与会议来源停止策略的竞争力</x:v>
      </x:c>
      <x:c r="E23" s="5" t="str">
        <x:v>FRAME质量7/7，两个META6/7、5/7；接口还没有共同上下文和完整核查动作</x:v>
      </x:c>
      <x:c r="F23" s="5" t="str">
        <x:v>适配历史；主要以补齐权限后的比较为准</x:v>
      </x:c>
      <x:c r="G23" s="5" t="str">
        <x:v>GRID65</x:v>
      </x:c>
    </x:row>
    <x:row r="24" ht="75" customHeight="1">
      <x:c r="A24" s="12" t="str">
        <x:v>D 会议方法比较</x:v>
      </x:c>
      <x:c r="B24" s="5" t="str">
        <x:v>GRID77
共同信息与动作权限
129训练、22校准记录</x:v>
      </x:c>
      <x:c r="C24" s="5" t="str">
        <x:v>两个META种子×三种费用</x:v>
      </x:c>
      <x:c r="D24" s="5" t="str">
        <x:v>保证对手可以访问相同上下文、返回/续查/委托FRAME</x:v>
      </x:c>
      <x:c r="E24" s="5" t="str">
        <x:v>6次拟合完成；共同校准质量匹配False，按预设备选固定费用0。没有新教师查询</x:v>
      </x:c>
      <x:c r="F24" s="5" t="str">
        <x:v>配置与公平性说明，不是质量胜出实验</x:v>
      </x:c>
      <x:c r="G24" s="5" t="str">
        <x:v>GRID77</x:v>
      </x:c>
    </x:row>
    <x:row r="25" ht="75" customHeight="1">
      <x:c r="A25" s="12" t="str">
        <x:v>D 会议方法比较</x:v>
      </x:c>
      <x:c r="B25" s="5" t="str">
        <x:v>GRID79
门控版同批会议比较
旧七日期；两重复</x:v>
      </x:c>
      <x:c r="C25" s="5" t="str">
        <x:v>META_CONTEXT0/1及FULL</x:v>
      </x:c>
      <x:c r="D25" s="5" t="str">
        <x:v>核验早期门控版在完整控制时间上的表现</x:v>
      </x:c>
      <x:c r="E25" s="5" t="str">
        <x:v>门控质量7/7、META均6/7；门控对FULL控制少12.056%，对META少7.241%/2.976%</x:v>
      </x:c>
      <x:c r="F25" s="5" t="str">
        <x:v>门控版，不混成最终FRAME；对手质量不足需单列</x:v>
      </x:c>
      <x:c r="G25" s="5" t="str">
        <x:v>GRID79</x:v>
      </x:c>
    </x:row>
    <x:row r="26" ht="75" customHeight="1">
      <x:c r="A26" s="12" t="str">
        <x:v>D 会议方法比较</x:v>
      </x:c>
      <x:c r="B26" s="5" t="str">
        <x:v>GRID82
最终FRAME两种子同批比较
G1六场景；两重复</x:v>
      </x:c>
      <x:c r="C26" s="5" t="str">
        <x:v>META_CONTEXT0/1，费用0</x:v>
      </x:c>
      <x:c r="D26" s="5" t="str">
        <x:v>最终固定规则与同权限学习控制的直接比较</x:v>
      </x:c>
      <x:c r="E26" s="5" t="str">
        <x:v>双方质量均6/6；FRAME对种子0/1控制时间少6.435%/0.017%，后一两重复方向不同</x:v>
      </x:c>
      <x:c r="F26" s="5" t="str">
        <x:v>不选有利种子；后续五种子更完整</x:v>
      </x:c>
      <x:c r="G26" s="5" t="str">
        <x:v>GRID82</x:v>
      </x:c>
    </x:row>
    <x:row r="27" ht="75" customHeight="1">
      <x:c r="A27" s="12" t="str">
        <x:v>D 会议方法比较</x:v>
      </x:c>
      <x:c r="B27" s="5" t="str">
        <x:v>GRID84
五种子稳定性
G1六场景；两重复</x:v>
      </x:c>
      <x:c r="C27" s="5" t="str">
        <x:v>META_CONTEXT0–4，费用0</x:v>
      </x:c>
      <x:c r="D27" s="5" t="str">
        <x:v>检验小幅平均优势是否依赖某个训练种子</x:v>
      </x:c>
      <x:c r="E27" s="5" t="str">
        <x:v>全部质量6/6，均完整4/6；FRAME平均时间少2.228%，中位1.325%，范围−0.296%～7.550%；强提速通过1/5</x:v>
      </x:c>
      <x:c r="F27" s="5" t="str">
        <x:v>支持小幅平均计算优势；整体加强判据False</x:v>
      </x:c>
      <x:c r="G27" s="5" t="str">
        <x:v>GRID84</x:v>
      </x:c>
    </x:row>
    <x:row r="28" ht="75" customHeight="1">
      <x:c r="A28" s="12" t="str">
        <x:v>D 会议方法比较</x:v>
      </x:c>
      <x:c r="B28" s="5" t="str">
        <x:v>GRID83
META实际委托行为
既有调用，不新增回放</x:v>
      </x:c>
      <x:c r="C28" s="5" t="str">
        <x:v>META首决策与FRAME子程序</x:v>
      </x:c>
      <x:c r="D28" s="5" t="str">
        <x:v>明确学习适配到底做了哪些独立决策</x:v>
      </x:c>
      <x:c r="E28" s="5" t="str">
        <x:v>五种子首决策委托FRAME比例后续为12.5%、90.0%、76.7%、43.3%、56.7%；适配包含FRAME</x:v>
      </x:c>
      <x:c r="F28" s="5" t="str">
        <x:v>不能将其描述为纯独立原SOTA任务完整复现</x:v>
      </x:c>
      <x:c r="G28" s="5" t="str">
        <x:v>GRID84、GRID83</x:v>
      </x:c>
    </x:row>
    <x:row r="29" ht="75" customHeight="1">
      <x:c r="A29" s="12" t="str">
        <x:v>D 会议方法比较</x:v>
      </x:c>
      <x:c r="B29" s="5" t="str">
        <x:v>GRID89
非零计算成本复查
G1六场景；单次新计时</x:v>
      </x:c>
      <x:c r="C29" s="5" t="str">
        <x:v>META费用0和0.0025，各五种子</x:v>
      </x:c>
      <x:c r="D29" s="5" t="str">
        <x:v>检验零成本训练目标是否影响比较公平性</x:v>
      </x:c>
      <x:c r="E29" s="5" t="str">
        <x:v>费用0五种子均质量6/6；0.0025的种子0/4质量5/6，其余6/6。FRAME平均50.865秒/日期，非零META各50.505～54.675秒</x:v>
      </x:c>
      <x:c r="F29" s="5" t="str">
        <x:v>完整逐种子列入质量速度表；单次计时不建立稳定同质量优势</x:v>
      </x:c>
      <x:c r="G29" s="5" t="str">
        <x:v>GRID89</x:v>
      </x:c>
    </x:row>
    <x:row r="30" ht="75" customHeight="1">
      <x:c r="A30" s="13" t="str">
        <x:v>E 顺序与参数</x:v>
      </x:c>
      <x:c r="B30" s="5" t="str">
        <x:v>GRID89
候选顺序来源核实
909原始动作的元数据</x:v>
      </x:c>
      <x:c r="C30" s="5" t="str">
        <x:v>动作库编号与教师频次</x:v>
      </x:c>
      <x:c r="D30" s="5" t="str">
        <x:v>解释为什么评估前缀有合理优先级</x:v>
      </x:c>
      <x:c r="E30" s="5" t="str">
        <x:v>编号顺序承接教师使用频次降序；前128占原库频次44.38%</x:v>
      </x:c>
      <x:c r="F30" s="5" t="str">
        <x:v>44.38%不是当前状态命中率，也不是查询节省</x:v>
      </x:c>
      <x:c r="G30" s="5" t="str">
        <x:v>GRID89</x:v>
      </x:c>
    </x:row>
    <x:row r="31" ht="75" customHeight="1">
      <x:c r="A31" s="13" t="str">
        <x:v>E 顺序与参数</x:v>
      </x:c>
      <x:c r="B31" s="5" t="str">
        <x:v>GRID89
候选换序
G1六场景；各单次</x:v>
      </x:c>
      <x:c r="C31" s="5" t="str">
        <x:v>默认、随机11/23/37、负载顺序</x:v>
      </x:c>
      <x:c r="D31" s="5" t="str">
        <x:v>检验框架是否只适用于某个候选顺序</x:v>
      </x:c>
      <x:c r="E31" s="5" t="str">
        <x:v>质量依次6/6、6/6、5/6、5/6、6/6；匹配活跃时域查询节省53.453%～65.097%</x:v>
      </x:c>
      <x:c r="F31" s="5" t="str">
        <x:v>不同顺序仍省查询，质量不完全稳定；未按结果换默认</x:v>
      </x:c>
      <x:c r="G31" s="5" t="str">
        <x:v>GRID89</x:v>
      </x:c>
    </x:row>
    <x:row r="32" ht="75" customHeight="1">
      <x:c r="A32" s="13" t="str">
        <x:v>E 顺序与参数</x:v>
      </x:c>
      <x:c r="B32" s="5" t="str">
        <x:v>GRID89
最终版单因素参数检查
四旧场景；各单次</x:v>
      </x:c>
      <x:c r="C32" s="5" t="str">
        <x:v>p、h、qmin、patience、rho_safe各预定变体</x:v>
      </x:c>
      <x:c r="D32" s="5" t="str">
        <x:v>检验结论对查询前缀、核查量和停止阈值的依赖</x:v>
      </x:c>
      <x:c r="E32" s="5" t="str">
        <x:v>默认质量4/4、查询9108；p256、qmin512、safe0.85/0.95各3/4；其余预定变体4/4，逐项指标全保留</x:v>
      </x:c>
      <x:c r="F32" s="5" t="str">
        <x:v>参数有影响；本轮不据结果重选参数</x:v>
      </x:c>
      <x:c r="G32" s="5" t="str">
        <x:v>GRID89</x:v>
      </x:c>
    </x:row>
    <x:row r="33" ht="75" customHeight="1">
      <x:c r="A33" s="14" t="str">
        <x:v>F 速度与耗时来源</x:v>
      </x:c>
      <x:c r="B33" s="5" t="str">
        <x:v>GRID89
完整控制互斥分解
G2六场景；三重复</x:v>
      </x:c>
      <x:c r="C33" s="5" t="str">
        <x:v>FRAME与FULL</x:v>
      </x:c>
      <x:c r="D33" s="5" t="str">
        <x:v>解释查询大降幅如何转化为实际完整控制节省</x:v>
      </x:c>
      <x:c r="E33" s="5" t="str">
        <x:v>控制均值83.878→72.623秒/日期；预测27.78→17.36秒；连续优化50.18→49.73秒。预测节省占总差的大部分</x:v>
      </x:c>
      <x:c r="F33" s="5" t="str">
        <x:v>14.301%为日期比例宏平均，不用均值秒数比替换</x:v>
      </x:c>
      <x:c r="G33" s="5" t="str">
        <x:v>GRID89；中文V4</x:v>
      </x:c>
    </x:row>
    <x:row r="34" ht="75" customHeight="1">
      <x:c r="A34" s="14" t="str">
        <x:v>F 速度与耗时来源</x:v>
      </x:c>
      <x:c r="B34" s="5" t="str">
        <x:v>GRID89
高分位延迟与波动
G2；全步骤及搜索步骤分开</x:v>
      </x:c>
      <x:c r="C34" s="5" t="str">
        <x:v>FRAME与FULL</x:v>
      </x:c>
      <x:c r="D34" s="5" t="str">
        <x:v>检验平均计算改善是否也体现为决策尾延迟</x:v>
      </x:c>
      <x:c r="E34" s="5" t="str">
        <x:v>搜索步P95/P99分别少39.58%/38.26%；全部步P95增加3.36%，P99少8.40%；日期内完整时间CV为2.51%～8.27%</x:v>
      </x:c>
      <x:c r="F34" s="5" t="str">
        <x:v>搜索尾延迟改善，全部步P95没有同步改善</x:v>
      </x:c>
      <x:c r="G34" s="5" t="str">
        <x:v>GRID89；中文V4</x:v>
      </x:c>
    </x:row>
    <x:row r="35" ht="75" customHeight="1">
      <x:c r="A35" s="14" t="str">
        <x:v>F 速度与耗时来源</x:v>
      </x:c>
      <x:c r="B35" s="5" t="str">
        <x:v>GRID26
查询、搜索、整体时间的区别
四开发周；三次计时</x:v>
      </x:c>
      <x:c r="C35" s="5" t="str">
        <x:v>完整回退版GNN/PPO与FULL</x:v>
      </x:c>
      <x:c r="D35" s="5" t="str">
        <x:v>避免把少查询直接当成同比例完整控制提速</x:v>
      </x:c>
      <x:c r="E35" s="5" t="str">
        <x:v>GNN查询少34.09%，搜索少19.55%/17.14%，完整控制仅少1.40%/0.88%</x:v>
      </x:c>
      <x:c r="F35" s="5" t="str">
        <x:v>历史计时教训，版本不同，不混入当前主表</x:v>
      </x:c>
      <x:c r="G35" s="5" t="str">
        <x:v>GRID26</x:v>
      </x:c>
    </x:row>
    <x:row r="36" ht="75" customHeight="1">
      <x:c r="A36" s="14" t="str">
        <x:v>F 速度与耗时来源</x:v>
      </x:c>
      <x:c r="B36" s="5" t="str">
        <x:v>GRID31
公共优化的贡献
三月两次配对；其他三日见GRID32</x:v>
      </x:c>
      <x:c r="C36" s="5" t="str">
        <x:v>原控制器、DC复用、DC+safeQP</x:v>
      </x:c>
      <x:c r="D36" s="5" t="str">
        <x:v>划清共有工程缓存和FRAME/GNN算法收益</x:v>
      </x:c>
      <x:c r="E36" s="5" t="str">
        <x:v>双复用三月完整控制少22.42%且轨迹相同；其他三日少61.89%～74.46%</x:v>
      </x:c>
      <x:c r="F36" s="5" t="str">
        <x:v>所有主对照共享，不列为FRAME独有贡献</x:v>
      </x:c>
      <x:c r="G36" s="5" t="str">
        <x:v>GRID31</x:v>
      </x:c>
    </x:row>
    <x:row r="37" ht="75" customHeight="1">
      <x:c r="A37" s="15" t="str">
        <x:v>G GNN与学习门控必要性</x:v>
      </x:c>
      <x:c r="B37" s="5" t="str">
        <x:v>GRID37
静态顺序替换GNN
四旧日期；两重复</x:v>
      </x:c>
      <x:c r="C37" s="5" t="str">
        <x:v>STATIC_ID、GNN0/1、FULL</x:v>
      </x:c>
      <x:c r="D37" s="5" t="str">
        <x:v>检验是否必须靠GNN才能得到计算收益</x:v>
      </x:c>
      <x:c r="E37" s="5" t="str">
        <x:v>静态质量8/8、控制少14.827%；GNN少14.607%/13.101%，未稳定优于静态</x:v>
      </x:c>
      <x:c r="F37" s="5" t="str">
        <x:v>支持把核心定位放在搜索计算分配</x:v>
      </x:c>
      <x:c r="G37" s="5" t="str">
        <x:v>GRID37</x:v>
      </x:c>
    </x:row>
    <x:row r="38" ht="75" customHeight="1">
      <x:c r="A38" s="15" t="str">
        <x:v>G GNN与学习门控必要性</x:v>
      </x:c>
      <x:c r="B38" s="5" t="str">
        <x:v>GRID57
最终旧GNN版本静态消融
八个已暴露日期</x:v>
      </x:c>
      <x:c r="C38" s="5" t="str">
        <x:v>压缩GNN与STATIC_ID</x:v>
      </x:c>
      <x:c r="D38" s="5" t="str">
        <x:v>检验模型训练相对免费频次顺序的独有增量</x:v>
      </x:c>
      <x:c r="E38" s="5" t="str">
        <x:v>静态质量8/8；GNN平均查询仅少1.897%，正向4/8，混合结果</x:v>
      </x:c>
      <x:c r="F38" s="5" t="str">
        <x:v>GNN作为辅助，不承担主贡献</x:v>
      </x:c>
      <x:c r="G38" s="5" t="str">
        <x:v>GRID57</x:v>
      </x:c>
    </x:row>
    <x:row r="39" ht="75" customHeight="1">
      <x:c r="A39" s="15" t="str">
        <x:v>G GNN与学习门控必要性</x:v>
      </x:c>
      <x:c r="B39" s="5" t="str">
        <x:v>GRID59
更简单先验的GNN
四旧日期；单次配对</x:v>
      </x:c>
      <x:c r="C39" s="5" t="str">
        <x:v>频次GNN两种子与STATIC_ID</x:v>
      </x:c>
      <x:c r="D39" s="5" t="str">
        <x:v>检验学习评分是否优于原频次先验</x:v>
      </x:c>
      <x:c r="E39" s="5" t="str">
        <x:v>均质量4/4；GNN查询少3.127%/2.675%，但控制慢0.635%/0.506%</x:v>
      </x:c>
      <x:c r="F39" s="5" t="str">
        <x:v>少量查询增益没有转成实际更快</x:v>
      </x:c>
      <x:c r="G39" s="5" t="str">
        <x:v>GRID59</x:v>
      </x:c>
    </x:row>
    <x:row r="40" ht="75" customHeight="1">
      <x:c r="A40" s="15" t="str">
        <x:v>G GNN与学习门控必要性</x:v>
      </x:c>
      <x:c r="B40" s="5" t="str">
        <x:v>GRID75
学习核查门控资格
14校准状态；GRID72–75系列</x:v>
      </x:c>
      <x:c r="C40" s="5" t="str">
        <x:v>普通上下文与结构特征</x:v>
      </x:c>
      <x:c r="D40" s="5" t="str">
        <x:v>检验额外学习模型及结构特征是否有必要</x:v>
      </x:c>
      <x:c r="E40" s="5" t="str">
        <x:v>随机森林、小树、探针版均未达10%；电网上下文普通输入11.735%通过，结构5.868%未通过</x:v>
      </x:c>
      <x:c r="F40" s="5" t="str">
        <x:v>结构学习增量没有建立；全部失败保留</x:v>
      </x:c>
      <x:c r="G40" s="5" t="str">
        <x:v>GRID75</x:v>
      </x:c>
    </x:row>
    <x:row r="41" ht="75" customHeight="1">
      <x:c r="A41" s="15" t="str">
        <x:v>G GNN与学习门控必要性</x:v>
      </x:c>
      <x:c r="B41" s="5" t="str">
        <x:v>GRID81
学习门控对固定/随机门控
G1六场景；两重复</x:v>
      </x:c>
      <x:c r="C41" s="5" t="str">
        <x:v>CONTEXT_GATE、FRAME_GUARD、随机0/1</x:v>
      </x:c>
      <x:c r="D41" s="5" t="str">
        <x:v>检验进一步学何时跳过核查能否优于简单参照</x:v>
      </x:c>
      <x:c r="E41" s="5" t="str">
        <x:v>全部质量6/6；学习门控对固定核查时间变化−0.040%，对随机只快0.299%/0.373%，两重复方向混合</x:v>
      </x:c>
      <x:c r="F41" s="5" t="str">
        <x:v>支持最终保留固定规则；随机增量筛查False</x:v>
      </x:c>
      <x:c r="G41" s="5" t="str">
        <x:v>GRID81</x:v>
      </x:c>
    </x:row>
    <x:row r="42" ht="75" customHeight="1">
      <x:c r="A42" s="16" t="str">
        <x:v>H 失败与修复边界</x:v>
      </x:c>
      <x:c r="B42" s="5" t="str">
        <x:v>GRID68
原版提前返回的质量问题
六个当时未用于本地结果日期</x:v>
      </x:c>
      <x:c r="C42" s="5" t="str">
        <x:v>原FRAME与FULL</x:v>
      </x:c>
      <x:c r="D42" s="5" t="str">
        <x:v>检查原规则是否在更多场景保持质量</x:v>
      </x:c>
      <x:c r="E42" s="5" t="str">
        <x:v>质量4/6、完整5/6，FULL完整6/6；最大完整周成本+0.641%</x:v>
      </x:c>
      <x:c r="F42" s="5" t="str">
        <x:v>修复动机；不能把不同时域的低累计时间当加速</x:v>
      </x:c>
      <x:c r="G42" s="5" t="str">
        <x:v>GRID68</x:v>
      </x:c>
    </x:row>
    <x:row r="43" ht="75" customHeight="1">
      <x:c r="A43" s="16" t="str">
        <x:v>H 失败与修复边界</x:v>
      </x:c>
      <x:c r="B43" s="5" t="str">
        <x:v>GRID69
第一版修复为何未采用
6条试点</x:v>
      </x:c>
      <x:c r="C43" s="5" t="str">
        <x:v>原版与无条件增强核查/补查</x:v>
      </x:c>
      <x:c r="D43" s="5" t="str">
        <x:v>检验更积极补查会不会引入新的退化</x:v>
      </x:c>
      <x:c r="E43" s="5" t="str">
        <x:v>七月恢复完整、十二月改善，但三月成本+1.374%；最终版收窄触发，全部历史保留</x:v>
      </x:c>
      <x:c r="F43" s="5" t="str">
        <x:v>说明更多查询和更高一步奖励不自动改善闭环</x:v>
      </x:c>
      <x:c r="G43" s="5" t="str">
        <x:v>GRID69</x:v>
      </x:c>
    </x:row>
    <x:row r="44" ht="75" customHeight="1">
      <x:c r="A44" s="16" t="str">
        <x:v>H 失败与修复边界</x:v>
      </x:c>
      <x:c r="B44" s="5" t="str">
        <x:v>GRID55B
电源待机污染与统一补测
仅受影响日期新增八条</x:v>
      </x:c>
      <x:c r="C44" s="5" t="str">
        <x:v>原128条与全八臂统一补测槽位</x:v>
      </x:c>
      <x:c r="D44" s="5" t="str">
        <x:v>区分工程计时故障与方法退化</x:v>
      </x:c>
      <x:c r="E44" s="5" t="str">
        <x:v>补测路径/成本/查询完全一致；RAW压缩种子1的异常慢计时保留，统一同槽修正后控制少16.065%</x:v>
      </x:c>
      <x:c r="F44" s="5" t="str">
        <x:v>RAW和修正视图并存，不择有利方法补测</x:v>
      </x:c>
      <x:c r="G44" s="5" t="str">
        <x:v>GRID55B</x:v>
      </x:c>
    </x:row>
  </x:sheetData>
  <x:pageMargins left="0.7" right="0.7" top="0.75" bottom="0.75" header="0.3" footer="0.3"/>
  <x:tableParts count="1">
    <x:tablePart xmlns:r="http://schemas.openxmlformats.org/officeDocument/2006/relationships" r:id="Ra9fe7797ba1a40fd"/>
  </x:tableParts>
</x:worksheet>
</file>

<file path=xl/worksheets/sheet2.xml><?xml version="1.0" encoding="utf-8"?>
<x:worksheet xmlns:x="http://schemas.openxmlformats.org/spreadsheetml/2006/main">
  <x:sheetPr>
    <x:tabColor rgb="FF405B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3.75" hidden="0" customWidth="1"/>
    <x:col min="2" max="2" width="35.630001068115234" hidden="0" customWidth="1"/>
    <x:col min="3" max="3" width="10" hidden="0" customWidth="1"/>
    <x:col min="4" max="4" width="12.5" hidden="0" customWidth="1"/>
    <x:col min="5" max="5" width="12.5" hidden="0" customWidth="1"/>
    <x:col min="6" max="6" width="18.75" hidden="0" customWidth="1"/>
    <x:col min="7" max="7" width="20.6299991607666" hidden="0" customWidth="1"/>
    <x:col min="8" max="8" width="20.6299991607666" hidden="0" customWidth="1"/>
    <x:col min="9" max="9" width="16.8799991607666" hidden="0" customWidth="1"/>
    <x:col min="10" max="10" width="20.6299991607666" hidden="0" customWidth="1"/>
    <x:col min="11" max="11" width="19.3799991607666" hidden="0" customWidth="1"/>
    <x:col min="12" max="12" width="22.5" hidden="0" customWidth="1"/>
    <x:col min="13" max="13" width="19.3799991607666" hidden="0" customWidth="1"/>
    <x:col min="14" max="14" width="19.3799991607666" hidden="0" customWidth="1"/>
    <x:col min="15" max="15" width="19.3799991607666" hidden="0" customWidth="1"/>
    <x:col min="16" max="16" width="22.5" hidden="0" customWidth="1"/>
    <x:col min="17" max="17" width="22.5" hidden="0" customWidth="1"/>
    <x:col min="18" max="18" width="21.25" hidden="0" customWidth="1"/>
    <x:col min="19" max="19" width="21.25" hidden="0" customWidth="1"/>
    <x:col min="20" max="20" width="21.25" hidden="0" customWidth="1"/>
    <x:col min="21" max="21" width="21.25" hidden="0" customWidth="1"/>
    <x:col min="22" max="22" width="23.75" hidden="0" customWidth="1"/>
    <x:col min="23" max="23" width="23.75" hidden="0" customWidth="1"/>
    <x:col min="24" max="24" width="23.75" hidden="0" customWidth="1"/>
    <x:col min="25" max="25" width="13.130000114440918" hidden="0" customWidth="1"/>
    <x:col min="26" max="26" width="32.5" hidden="0" customWidth="1"/>
    <x:col min="27" max="27" width="54.380001068115234" hidden="0" customWidth="1"/>
    <x:col min="28" max="28" width="26.25" hidden="0" customWidth="1"/>
  </x:cols>
  <x:sheetData>
    <x:row r="2" ht="30" customHeight="1">
      <x:c r="A2" s="1" t="str">
        <x:v>质量与速度：多指标汇总</x:v>
      </x:c>
    </x:row>
    <x:row r="4" ht="22.5" customHeight="1">
      <x:c r="A4" s="2" t="str">
        <x:v>60个方法×批次。日期等权、先平均重复。比例为“本行方法相对同批参照减少”；质量不足时保留时间但不称同质量加速。</x:v>
      </x:c>
    </x:row>
    <x:row r="6" ht="33" customHeight="1">
      <x:c r="A6" s="8" t="str">
        <x:v>批次</x:v>
      </x:c>
      <x:c r="B6" s="8" t="str">
        <x:v>方法</x:v>
      </x:c>
      <x:c r="C6" s="8" t="str">
        <x:v>场景数</x:v>
      </x:c>
      <x:c r="D6" s="8" t="str">
        <x:v>质量达标</x:v>
      </x:c>
      <x:c r="E6" s="8" t="str">
        <x:v>整周完成</x:v>
      </x:c>
      <x:c r="F6" s="8" t="str">
        <x:v>步数最小–最大</x:v>
      </x:c>
      <x:c r="G6" s="8" t="str">
        <x:v>平均完整周成本变化</x:v>
      </x:c>
      <x:c r="H6" s="8" t="str">
        <x:v>最大完整周成本变化</x:v>
      </x:c>
      <x:c r="I6" s="8" t="str">
        <x:v>查询合计</x:v>
      </x:c>
      <x:c r="J6" s="8" t="str">
        <x:v>查询宏平均减少</x:v>
      </x:c>
      <x:c r="K6" s="8" t="str">
        <x:v>控制秒/日期</x:v>
      </x:c>
      <x:c r="L6" s="8" t="str">
        <x:v>控制时间宏平均减少</x:v>
      </x:c>
      <x:c r="M6" s="8" t="str">
        <x:v>搜索秒/日期</x:v>
      </x:c>
      <x:c r="N6" s="8" t="str">
        <x:v>预测秒/日期</x:v>
      </x:c>
      <x:c r="O6" s="8" t="str">
        <x:v>优化秒/日期</x:v>
      </x:c>
      <x:c r="P6" s="8" t="str">
        <x:v>搜索其他秒/日期</x:v>
      </x:c>
      <x:c r="Q6" s="8" t="str">
        <x:v>其余控制秒/日期</x:v>
      </x:c>
      <x:c r="R6" s="8" t="str">
        <x:v>全步骤P95(ms)</x:v>
      </x:c>
      <x:c r="S6" s="8" t="str">
        <x:v>全步骤P99(ms)</x:v>
      </x:c>
      <x:c r="T6" s="8" t="str">
        <x:v>搜索步P95(ms)</x:v>
      </x:c>
      <x:c r="U6" s="8" t="str">
        <x:v>搜索步P99(ms)</x:v>
      </x:c>
      <x:c r="V6" s="8" t="str">
        <x:v>全步骤P95宏平均减少</x:v>
      </x:c>
      <x:c r="W6" s="8" t="str">
        <x:v>搜索P95宏平均减少</x:v>
      </x:c>
      <x:c r="X6" s="8" t="str">
        <x:v>日期内CV范围</x:v>
      </x:c>
      <x:c r="Y6" s="8" t="str">
        <x:v>计时重复数</x:v>
      </x:c>
      <x:c r="Z6" s="8" t="str">
        <x:v>同批速度参照</x:v>
      </x:c>
      <x:c r="AA6" s="8" t="str">
        <x:v>质量及时间解释</x:v>
      </x:c>
      <x:c r="AB6" s="8" t="str">
        <x:v>来源</x:v>
      </x:c>
    </x:row>
    <x:row r="7" ht="54" customHeight="1">
      <x:c r="A7" s="19" t="str">
        <x:v>GRID89 G2主评价</x:v>
      </x:c>
      <x:c r="B7" s="19" t="str">
        <x:v>FULL</x:v>
      </x:c>
      <x:c r="C7" s="19" t="n">
        <x:f>ROWS('逐日期数据'!A349:A354)</x:f>
        <x:v>6</x:v>
      </x:c>
      <x:c r="D7" s="19" t="str">
        <x:f>SUM('逐日期数据'!F349:F354)&amp;"/"&amp;C7</x:f>
        <x:v>6/6</x:v>
      </x:c>
      <x:c r="E7" s="19" t="str">
        <x:f>SUM('逐日期数据'!G349:G354)&amp;"/"&amp;C7</x:f>
        <x:v>5/6</x:v>
      </x:c>
      <x:c r="F7" s="19" t="str">
        <x:f>MIN('逐日期数据'!E349:E354)&amp;"–"&amp;MAX('逐日期数据'!E349:E354)</x:f>
        <x:v>1878–2017</x:v>
      </x:c>
      <x:c r="G7" s="23" t="n">
        <x:f>IF(COUNT('逐日期数据'!I349:I354)=0,"未测",AVERAGE('逐日期数据'!I349:I354))</x:f>
        <x:v>0</x:v>
      </x:c>
      <x:c r="H7" s="23" t="n">
        <x:f>IF(COUNT('逐日期数据'!I349:I354)=0,"未测",MAX('逐日期数据'!I349:I354))</x:f>
        <x:v>0</x:v>
      </x:c>
      <x:c r="I7" s="24" t="n">
        <x:f>SUM('逐日期数据'!J349:J354)</x:f>
        <x:v>42822</x:v>
      </x:c>
      <x:c r="J7" s="26" t="n">
        <x:f>IF(COUNT('逐日期数据'!X349:X354)=0,"未测",AVERAGE('逐日期数据'!X349:X354))</x:f>
        <x:v>0</x:v>
      </x:c>
      <x:c r="K7" s="25" t="n">
        <x:f>IF(COUNT('逐日期数据'!K349:K354)=0,"未测",AVERAGE('逐日期数据'!K349:K354))</x:f>
        <x:v>83.87760456110401</x:v>
      </x:c>
      <x:c r="L7" s="26" t="n">
        <x:f>IF(COUNT('逐日期数据'!Y349:Y354)=0,"未测",AVERAGE('逐日期数据'!Y349:Y354))</x:f>
        <x:v>0</x:v>
      </x:c>
      <x:c r="M7" s="25" t="n">
        <x:f>IF(OR(COUNT('逐日期数据'!L349:L354)=0,COUNT('逐日期数据'!N349:N354)=0),"未测",AVERAGE('逐日期数据'!L349:L354)+AVERAGE('逐日期数据'!N349:N354))</x:f>
        <x:v>28.723454038906617</x:v>
      </x:c>
      <x:c r="N7" s="25" t="n">
        <x:f>IF(COUNT('逐日期数据'!L349:L354)=0,"未测",AVERAGE('逐日期数据'!L349:L354))</x:f>
        <x:v>27.778225305596507</x:v>
      </x:c>
      <x:c r="O7" s="25" t="n">
        <x:f>IF(COUNT('逐日期数据'!M349:M354)=0,"未测",AVERAGE('逐日期数据'!M349:M354))</x:f>
        <x:v>50.17857167222994</x:v>
      </x:c>
      <x:c r="P7" s="25" t="n">
        <x:f>IF(COUNT('逐日期数据'!N349:N354)=0,"未测",AVERAGE('逐日期数据'!N349:N354))</x:f>
        <x:v>0.9452287333101089</x:v>
      </x:c>
      <x:c r="Q7" s="25" t="n">
        <x:f>IF(COUNT('逐日期数据'!O349:O354)=0,"未测",AVERAGE('逐日期数据'!O349:O354))</x:f>
        <x:v>4.975578849967456</x:v>
      </x:c>
      <x:c r="R7" s="25" t="n">
        <x:f>IF(COUNT('逐日期数据'!P349:P354)=0,"未测",AVERAGE('逐日期数据'!P349:P354)*1000)</x:f>
        <x:v>32.55405194463957</x:v>
      </x:c>
      <x:c r="S7" s="25" t="n">
        <x:f>IF(COUNT('逐日期数据'!Q349:Q354)=0,"未测",AVERAGE('逐日期数据'!Q349:Q354)*1000)</x:f>
        <x:v>1238.2959064443482</x:v>
      </x:c>
      <x:c r="T7" s="25" t="n">
        <x:f>IF(COUNT('逐日期数据'!R349:R354)=0,"未测",AVERAGE('逐日期数据'!R349:R354)*1000)</x:f>
        <x:v>3916.9557411111077</x:v>
      </x:c>
      <x:c r="U7" s="25" t="n">
        <x:f>IF(COUNT('逐日期数据'!S349:S354)=0,"未测",AVERAGE('逐日期数据'!S349:S354)*1000)</x:f>
        <x:v>3994.400059333659</x:v>
      </x:c>
      <x:c r="V7" s="26" t="n">
        <x:f>IF(COUNT('逐日期数据'!Z349:Z354)=0,"未测",AVERAGE('逐日期数据'!Z349:Z354))</x:f>
        <x:v>0</x:v>
      </x:c>
      <x:c r="W7" s="26" t="n">
        <x:f>IF(COUNT('逐日期数据'!AA349:AA354)=0,"未测",AVERAGE('逐日期数据'!AA349:AA354))</x:f>
        <x:v>0</x:v>
      </x:c>
      <x:c r="X7" s="19" t="str">
        <x:f>IF(COUNT('逐日期数据'!AB349:AB354)=0,"单次，未估计",TEXT(MIN('逐日期数据'!AB349:AB354),"0.00%")&amp;"～"&amp;TEXT(MAX('逐日期数据'!AB349:AB354),"0.00%"))</x:f>
        <x:v>1.56%～8.62%</x:v>
      </x:c>
      <x:c r="Y7" s="19" t="str">
        <x:f>MIN('逐日期数据'!D349:D354)&amp;"～"&amp;MAX('逐日期数据'!D349:D354)</x:f>
        <x:v>3～3</x:v>
      </x:c>
      <x:c r="Z7" s="19" t="str">
        <x:v>FULL</x:v>
      </x:c>
      <x:c r="AA7" s="19" t="str">
        <x:v>质量/成本以冻结FULL为参照；速度方向为本行方法相对同批参照</x:v>
      </x:c>
      <x:c r="AB7" s="19" t="str">
        <x:v>GRID89 / per_date.csv</x:v>
      </x:c>
    </x:row>
    <x:row r="8" ht="54" customHeight="1">
      <x:c r="A8" s="19" t="str">
        <x:v>GRID89 G2主评价</x:v>
      </x:c>
      <x:c r="B8" s="19" t="str">
        <x:v>FRAME_GUARD</x:v>
      </x:c>
      <x:c r="C8" s="19" t="n">
        <x:f>ROWS('逐日期数据'!A343:A348)</x:f>
        <x:v>6</x:v>
      </x:c>
      <x:c r="D8" s="19" t="str">
        <x:f>SUM('逐日期数据'!F343:F348)&amp;"/"&amp;C8</x:f>
        <x:v>6/6</x:v>
      </x:c>
      <x:c r="E8" s="19" t="str">
        <x:f>SUM('逐日期数据'!G343:G348)&amp;"/"&amp;C8</x:f>
        <x:v>5/6</x:v>
      </x:c>
      <x:c r="F8" s="19" t="str">
        <x:f>MIN('逐日期数据'!E343:E348)&amp;"–"&amp;MAX('逐日期数据'!E343:E348)</x:f>
        <x:v>1878–2017</x:v>
      </x:c>
      <x:c r="G8" s="23" t="n">
        <x:f>IF(COUNT('逐日期数据'!I343:I348)=0,"未测",AVERAGE('逐日期数据'!I343:I348))</x:f>
        <x:v>-0.001905565414182142</x:v>
      </x:c>
      <x:c r="H8" s="23" t="n">
        <x:f>IF(COUNT('逐日期数据'!I343:I348)=0,"未测",MAX('逐日期数据'!I343:I348))</x:f>
        <x:v>0</x:v>
      </x:c>
      <x:c r="I8" s="24" t="n">
        <x:f>SUM('逐日期数据'!J343:J348)</x:f>
        <x:v>18858</x:v>
      </x:c>
      <x:c r="J8" s="26" t="n">
        <x:f>IF(COUNT('逐日期数据'!X343:X348)=0,"未测",AVERAGE('逐日期数据'!X343:X348))</x:f>
        <x:v>0.6072839448869202</x:v>
      </x:c>
      <x:c r="K8" s="25" t="n">
        <x:f>IF(COUNT('逐日期数据'!K343:K348)=0,"未测",AVERAGE('逐日期数据'!K343:K348))</x:f>
        <x:v>72.62312833888771</x:v>
      </x:c>
      <x:c r="L8" s="26" t="n">
        <x:f>IF(COUNT('逐日期数据'!Y343:Y348)=0,"未测",AVERAGE('逐日期数据'!Y343:Y348))</x:f>
        <x:v>0.1430088240337701</x:v>
      </x:c>
      <x:c r="M8" s="25" t="n">
        <x:f>IF(OR(COUNT('逐日期数据'!L343:L348)=0,COUNT('逐日期数据'!N343:N348)=0),"未测",AVERAGE('逐日期数据'!L343:L348)+AVERAGE('逐日期数据'!N343:N348))</x:f>
        <x:v>18.348725916675907</x:v>
      </x:c>
      <x:c r="N8" s="25" t="n">
        <x:f>IF(COUNT('逐日期数据'!L343:L348)=0,"未测",AVERAGE('逐日期数据'!L343:L348))</x:f>
        <x:v>17.361094999983838</x:v>
      </x:c>
      <x:c r="O8" s="25" t="n">
        <x:f>IF(COUNT('逐日期数据'!M343:M348)=0,"未测",AVERAGE('逐日期数据'!M343:M348))</x:f>
        <x:v>49.73227137777414</x:v>
      </x:c>
      <x:c r="P8" s="25" t="n">
        <x:f>IF(COUNT('逐日期数据'!N343:N348)=0,"未测",AVERAGE('逐日期数据'!N343:N348))</x:f>
        <x:v>0.9876309166920693</x:v>
      </x:c>
      <x:c r="Q8" s="25" t="n">
        <x:f>IF(COUNT('逐日期数据'!O343:O348)=0,"未测",AVERAGE('逐日期数据'!O343:O348))</x:f>
        <x:v>4.542131044437661</x:v>
      </x:c>
      <x:c r="R8" s="25" t="n">
        <x:f>IF(COUNT('逐日期数据'!P343:P348)=0,"未测",AVERAGE('逐日期数据'!P343:P348)*1000)</x:f>
        <x:v>34.21215555504705</x:v>
      </x:c>
      <x:c r="S8" s="25" t="n">
        <x:f>IF(COUNT('逐日期数据'!Q343:Q348)=0,"未测",AVERAGE('逐日期数据'!Q343:Q348)*1000)</x:f>
        <x:v>1027.3788149997215</x:v>
      </x:c>
      <x:c r="T8" s="25" t="n">
        <x:f>IF(COUNT('逐日期数据'!R343:R348)=0,"未测",AVERAGE('逐日期数据'!R343:R348)*1000)</x:f>
        <x:v>2615.543732778466</x:v>
      </x:c>
      <x:c r="U8" s="25" t="n">
        <x:f>IF(COUNT('逐日期数据'!S343:S348)=0,"未测",AVERAGE('逐日期数据'!S343:S348)*1000)</x:f>
        <x:v>2735.6629998891876</x:v>
      </x:c>
      <x:c r="V8" s="26" t="n">
        <x:f>IF(COUNT('逐日期数据'!Z343:Z348)=0,"未测",AVERAGE('逐日期数据'!Z343:Z348))</x:f>
        <x:v>-0.033553265372207854</x:v>
      </x:c>
      <x:c r="W8" s="26" t="n">
        <x:f>IF(COUNT('逐日期数据'!AA343:AA348)=0,"未测",AVERAGE('逐日期数据'!AA343:AA348))</x:f>
        <x:v>0.3957571425215883</x:v>
      </x:c>
      <x:c r="X8" s="19" t="str">
        <x:f>IF(COUNT('逐日期数据'!AB343:AB348)=0,"单次，未估计",TEXT(MIN('逐日期数据'!AB343:AB348),"0.00%")&amp;"～"&amp;TEXT(MAX('逐日期数据'!AB343:AB348),"0.00%"))</x:f>
        <x:v>2.51%～8.27%</x:v>
      </x:c>
      <x:c r="Y8" s="19" t="str">
        <x:f>MIN('逐日期数据'!D343:D348)&amp;"～"&amp;MAX('逐日期数据'!D343:D348)</x:f>
        <x:v>3～3</x:v>
      </x:c>
      <x:c r="Z8" s="19" t="str">
        <x:v>FULL</x:v>
      </x:c>
      <x:c r="AA8" s="19" t="str">
        <x:v>质量/成本以冻结FULL为参照；速度方向为本行方法相对同批参照</x:v>
      </x:c>
      <x:c r="AB8" s="19" t="str">
        <x:v>GRID89 / per_date.csv</x:v>
      </x:c>
    </x:row>
    <x:row r="9" ht="54" customHeight="1">
      <x:c r="A9" s="19" t="str">
        <x:v>GRID89 G2主评价</x:v>
      </x:c>
      <x:c r="B9" s="19" t="str">
        <x:v>GLOBAL_MATCH</x:v>
      </x:c>
      <x:c r="C9" s="19" t="n">
        <x:f>ROWS('逐日期数据'!A355:A360)</x:f>
        <x:v>6</x:v>
      </x:c>
      <x:c r="D9" s="19" t="str">
        <x:f>SUM('逐日期数据'!F355:F360)&amp;"/"&amp;C9</x:f>
        <x:v>5/6</x:v>
      </x:c>
      <x:c r="E9" s="19" t="str">
        <x:f>SUM('逐日期数据'!G355:G360)&amp;"/"&amp;C9</x:f>
        <x:v>5/6</x:v>
      </x:c>
      <x:c r="F9" s="19" t="str">
        <x:f>MIN('逐日期数据'!E355:E360)&amp;"–"&amp;MAX('逐日期数据'!E355:E360)</x:f>
        <x:v>1878–2017</x:v>
      </x:c>
      <x:c r="G9" s="23" t="n">
        <x:f>IF(COUNT('逐日期数据'!I355:I360)=0,"未测",AVERAGE('逐日期数据'!I355:I360))</x:f>
        <x:v>0.00048269276173937834</x:v>
      </x:c>
      <x:c r="H9" s="23" t="n">
        <x:f>IF(COUNT('逐日期数据'!I355:I360)=0,"未测",MAX('逐日期数据'!I355:I360))</x:f>
        <x:v>0.011493635421626403</x:v>
      </x:c>
      <x:c r="I9" s="24" t="n">
        <x:f>SUM('逐日期数据'!J355:J360)</x:f>
        <x:v>18994</x:v>
      </x:c>
      <x:c r="J9" s="26" t="n">
        <x:f>IF(COUNT('逐日期数据'!X355:X360)=0,"未测",AVERAGE('逐日期数据'!X355:X360))</x:f>
        <x:v>0.6058136110346455</x:v>
      </x:c>
      <x:c r="K9" s="25" t="n">
        <x:f>IF(COUNT('逐日期数据'!K355:K360)=0,"未测",AVERAGE('逐日期数据'!K355:K360))</x:f>
        <x:v>74.022595538859</x:v>
      </x:c>
      <x:c r="L9" s="26" t="n">
        <x:f>IF(COUNT('逐日期数据'!Y355:Y360)=0,"未测",AVERAGE('逐日期数据'!Y355:Y360))</x:f>
        <x:v>0.13413394731063186</x:v>
      </x:c>
      <x:c r="M9" s="25" t="n">
        <x:f>IF(OR(COUNT('逐日期数据'!L355:L360)=0,COUNT('逐日期数据'!N355:N360)=0),"未测",AVERAGE('逐日期数据'!L355:L360)+AVERAGE('逐日期数据'!N355:N360))</x:f>
        <x:v>18.740557338852238</x:v>
      </x:c>
      <x:c r="N9" s="25" t="n">
        <x:f>IF(COUNT('逐日期数据'!L355:L360)=0,"未测",AVERAGE('逐日期数据'!L355:L360))</x:f>
        <x:v>17.77334947775388</x:v>
      </x:c>
      <x:c r="O9" s="25" t="n">
        <x:f>IF(COUNT('逐日期数据'!M355:M360)=0,"未测",AVERAGE('逐日期数据'!M355:M360))</x:f>
        <x:v>50.636728666677904</x:v>
      </x:c>
      <x:c r="P9" s="25" t="n">
        <x:f>IF(COUNT('逐日期数据'!N355:N360)=0,"未测",AVERAGE('逐日期数据'!N355:N360))</x:f>
        <x:v>0.967207861098359</x:v>
      </x:c>
      <x:c r="Q9" s="25" t="n">
        <x:f>IF(COUNT('逐日期数据'!O355:O360)=0,"未测",AVERAGE('逐日期数据'!O355:O360))</x:f>
        <x:v>4.645309533328852</x:v>
      </x:c>
      <x:c r="R9" s="25" t="n">
        <x:f>IF(COUNT('逐日期数据'!P355:P360)=0,"未测",AVERAGE('逐日期数据'!P355:P360)*1000)</x:f>
        <x:v>35.92319361095072</x:v>
      </x:c>
      <x:c r="S9" s="25" t="n">
        <x:f>IF(COUNT('逐日期数据'!Q355:Q360)=0,"未测",AVERAGE('逐日期数据'!Q355:Q360)*1000)</x:f>
        <x:v>1063.756787611493</x:v>
      </x:c>
      <x:c r="T9" s="25" t="n">
        <x:f>IF(COUNT('逐日期数据'!R355:R360)=0,"未测",AVERAGE('逐日期数据'!R355:R360)*1000)</x:f>
        <x:v>2589.959979444938</x:v>
      </x:c>
      <x:c r="U9" s="25" t="n">
        <x:f>IF(COUNT('逐日期数据'!S355:S360)=0,"未测",AVERAGE('逐日期数据'!S355:S360)*1000)</x:f>
        <x:v>2747.456151445654</x:v>
      </x:c>
      <x:c r="V9" s="26" t="n">
        <x:f>IF(COUNT('逐日期数据'!Z355:Z360)=0,"未测",AVERAGE('逐日期数据'!Z355:Z360))</x:f>
        <x:v>-0.07495921282525929</x:v>
      </x:c>
      <x:c r="W9" s="26" t="n">
        <x:f>IF(COUNT('逐日期数据'!AA355:AA360)=0,"未测",AVERAGE('逐日期数据'!AA355:AA360))</x:f>
        <x:v>0.40316017450483727</x:v>
      </x:c>
      <x:c r="X9" s="19" t="str">
        <x:f>IF(COUNT('逐日期数据'!AB355:AB360)=0,"单次，未估计",TEXT(MIN('逐日期数据'!AB355:AB360),"0.00%")&amp;"～"&amp;TEXT(MAX('逐日期数据'!AB355:AB360),"0.00%"))</x:f>
        <x:v>2.04%～12.40%</x:v>
      </x:c>
      <x:c r="Y9" s="19" t="str">
        <x:f>MIN('逐日期数据'!D355:D360)&amp;"～"&amp;MAX('逐日期数据'!D355:D360)</x:f>
        <x:v>3～3</x:v>
      </x:c>
      <x:c r="Z9" s="19" t="str">
        <x:v>FULL</x:v>
      </x:c>
      <x:c r="AA9" s="19" t="str">
        <x:v>质量/成本以冻结FULL为参照；速度方向为本行方法相对同批参照</x:v>
      </x:c>
      <x:c r="AB9" s="19" t="str">
        <x:v>GRID89 / per_date.csv</x:v>
      </x:c>
    </x:row>
    <x:row r="10" ht="54" customHeight="1">
      <x:c r="A10" s="19" t="str">
        <x:v>GRID89 G2主评价</x:v>
      </x:c>
      <x:c r="B10" s="19" t="str">
        <x:v>FIXED_512</x:v>
      </x:c>
      <x:c r="C10" s="19" t="n">
        <x:f>ROWS('逐日期数据'!A337:A342)</x:f>
        <x:v>6</x:v>
      </x:c>
      <x:c r="D10" s="19" t="str">
        <x:f>SUM('逐日期数据'!F337:F342)&amp;"/"&amp;C10</x:f>
        <x:v>5/6</x:v>
      </x:c>
      <x:c r="E10" s="19" t="str">
        <x:f>SUM('逐日期数据'!G337:G342)&amp;"/"&amp;C10</x:f>
        <x:v>5/6</x:v>
      </x:c>
      <x:c r="F10" s="19" t="str">
        <x:f>MIN('逐日期数据'!E337:E342)&amp;"–"&amp;MAX('逐日期数据'!E337:E342)</x:f>
        <x:v>1878–2017</x:v>
      </x:c>
      <x:c r="G10" s="23" t="n">
        <x:f>IF(COUNT('逐日期数据'!I337:I342)=0,"未测",AVERAGE('逐日期数据'!I337:I342))</x:f>
        <x:v>0.001903363507469713</x:v>
      </x:c>
      <x:c r="H10" s="23" t="n">
        <x:f>IF(COUNT('逐日期数据'!I337:I342)=0,"未测",MAX('逐日期数据'!I337:I342))</x:f>
        <x:v>0.009463470259756024</x:v>
      </x:c>
      <x:c r="I10" s="24" t="n">
        <x:f>SUM('逐日期数据'!J337:J342)</x:f>
        <x:v>24576</x:v>
      </x:c>
      <x:c r="J10" s="26" t="n">
        <x:f>IF(COUNT('逐日期数据'!X337:X342)=0,"未测",AVERAGE('逐日期数据'!X337:X342))</x:f>
        <x:v>0.41160724129311116</x:v>
      </x:c>
      <x:c r="K10" s="25" t="n">
        <x:f>IF(COUNT('逐日期数据'!K337:K342)=0,"未测",AVERAGE('逐日期数据'!K337:K342))</x:f>
        <x:v>76.03624956110211</x:v>
      </x:c>
      <x:c r="L10" s="26" t="n">
        <x:f>IF(COUNT('逐日期数据'!Y337:Y342)=0,"未测",AVERAGE('逐日期数据'!Y337:Y342))</x:f>
        <x:v>0.09421723916863468</x:v>
      </x:c>
      <x:c r="M10" s="25" t="n">
        <x:f>IF(OR(COUNT('逐日期数据'!L337:L342)=0,COUNT('逐日期数据'!N337:N342)=0),"未测",AVERAGE('逐日期数据'!L337:L342)+AVERAGE('逐日期数据'!N337:N342))</x:f>
        <x:v>20.8271191665891</x:v>
      </x:c>
      <x:c r="N10" s="25" t="n">
        <x:f>IF(COUNT('逐日期数据'!L337:L342)=0,"未测",AVERAGE('逐日期数据'!L337:L342))</x:f>
        <x:v>19.870138661061393</x:v>
      </x:c>
      <x:c r="O10" s="25" t="n">
        <x:f>IF(COUNT('逐日期数据'!M337:M342)=0,"未测",AVERAGE('逐日期数据'!M337:M342))</x:f>
        <x:v>50.58792916112542</x:v>
      </x:c>
      <x:c r="P10" s="25" t="n">
        <x:f>IF(COUNT('逐日期数据'!N337:N342)=0,"未测",AVERAGE('逐日期数据'!N337:N342))</x:f>
        <x:v>0.9569805055277053</x:v>
      </x:c>
      <x:c r="Q10" s="25" t="n">
        <x:f>IF(COUNT('逐日期数据'!O337:O342)=0,"未测",AVERAGE('逐日期数据'!O337:O342))</x:f>
        <x:v>4.621201233387587</x:v>
      </x:c>
      <x:c r="R10" s="25" t="n">
        <x:f>IF(COUNT('逐日期数据'!P337:P342)=0,"未测",AVERAGE('逐日期数据'!P337:P342)*1000)</x:f>
        <x:v>34.40921472145215</x:v>
      </x:c>
      <x:c r="S10" s="25" t="n">
        <x:f>IF(COUNT('逐日期数据'!Q337:Q342)=0,"未测",AVERAGE('逐日期数据'!Q337:Q342)*1000)</x:f>
        <x:v>1095.4091843336164</x:v>
      </x:c>
      <x:c r="T10" s="25" t="n">
        <x:f>IF(COUNT('逐日期数据'!R337:R342)=0,"未测",AVERAGE('逐日期数据'!R337:R342)*1000)</x:f>
        <x:v>2934.6441158324515</x:v>
      </x:c>
      <x:c r="U10" s="25" t="n">
        <x:f>IF(COUNT('逐日期数据'!S337:S342)=0,"未测",AVERAGE('逐日期数据'!S337:S342)*1000)</x:f>
        <x:v>2968.70564538791</x:v>
      </x:c>
      <x:c r="V10" s="26" t="n">
        <x:f>IF(COUNT('逐日期数据'!Z337:Z342)=0,"未测",AVERAGE('逐日期数据'!Z337:Z342))</x:f>
        <x:v>-0.03104493640958811</x:v>
      </x:c>
      <x:c r="W10" s="26" t="n">
        <x:f>IF(COUNT('逐日期数据'!AA337:AA342)=0,"未测",AVERAGE('逐日期数据'!AA337:AA342))</x:f>
        <x:v>0.28268582325681274</x:v>
      </x:c>
      <x:c r="X10" s="19" t="str">
        <x:f>IF(COUNT('逐日期数据'!AB337:AB342)=0,"单次，未估计",TEXT(MIN('逐日期数据'!AB337:AB342),"0.00%")&amp;"～"&amp;TEXT(MAX('逐日期数据'!AB337:AB342),"0.00%"))</x:f>
        <x:v>0.47%～5.49%</x:v>
      </x:c>
      <x:c r="Y10" s="19" t="str">
        <x:f>MIN('逐日期数据'!D337:D342)&amp;"～"&amp;MAX('逐日期数据'!D337:D342)</x:f>
        <x:v>3～3</x:v>
      </x:c>
      <x:c r="Z10" s="19" t="str">
        <x:v>FULL</x:v>
      </x:c>
      <x:c r="AA10" s="19" t="str">
        <x:v>质量/成本以冻结FULL为参照；速度方向为本行方法相对同批参照</x:v>
      </x:c>
      <x:c r="AB10" s="19" t="str">
        <x:v>GRID89 / per_date.csv</x:v>
      </x:c>
    </x:row>
    <x:row r="11" ht="54" customHeight="1">
      <x:c r="A11" s="19" t="str">
        <x:v>GRID81</x:v>
      </x:c>
      <x:c r="B11" s="19" t="str">
        <x:v>FULL</x:v>
      </x:c>
      <x:c r="C11" s="19" t="n">
        <x:f>ROWS('逐日期数据'!A47:A52)</x:f>
        <x:v>6</x:v>
      </x:c>
      <x:c r="D11" s="19" t="str">
        <x:f>SUM('逐日期数据'!F47:F52)&amp;"/"&amp;C11</x:f>
        <x:v>6/6</x:v>
      </x:c>
      <x:c r="E11" s="19" t="str">
        <x:f>SUM('逐日期数据'!G47:G52)&amp;"/"&amp;C11</x:f>
        <x:v>4/6</x:v>
      </x:c>
      <x:c r="F11" s="19" t="str">
        <x:f>MIN('逐日期数据'!E47:E52)&amp;"–"&amp;MAX('逐日期数据'!E47:E52)</x:f>
        <x:v>519–2017</x:v>
      </x:c>
      <x:c r="G11" s="23" t="n">
        <x:f>IF(COUNT('逐日期数据'!I47:I52)=0,"未测",AVERAGE('逐日期数据'!I47:I52))</x:f>
        <x:v>0</x:v>
      </x:c>
      <x:c r="H11" s="23" t="n">
        <x:f>IF(COUNT('逐日期数据'!I47:I52)=0,"未测",MAX('逐日期数据'!I47:I52))</x:f>
        <x:v>0</x:v>
      </x:c>
      <x:c r="I11" s="24" t="n">
        <x:f>SUM('逐日期数据'!J47:J52)</x:f>
        <x:v>28798</x:v>
      </x:c>
      <x:c r="J11" s="26" t="n">
        <x:f>IF(COUNT('逐日期数据'!X47:X52)=0,"未测",AVERAGE('逐日期数据'!X47:X52))</x:f>
        <x:v>0</x:v>
      </x:c>
      <x:c r="K11" s="25" t="n">
        <x:f>IF(COUNT('逐日期数据'!K47:K52)=0,"未测",AVERAGE('逐日期数据'!K47:K52))</x:f>
        <x:v>57.35250959165038</x:v>
      </x:c>
      <x:c r="L11" s="26" t="n">
        <x:f>IF(COUNT('逐日期数据'!Y47:Y52)=0,"未测",AVERAGE('逐日期数据'!Y47:Y52))</x:f>
        <x:v>0</x:v>
      </x:c>
      <x:c r="M11" s="25" t="n">
        <x:f>IF(OR(COUNT('逐日期数据'!L47:L52)=0,COUNT('逐日期数据'!N47:N52)=0),"未测",AVERAGE('逐日期数据'!L47:L52)+AVERAGE('逐日期数据'!N47:N52))</x:f>
        <x:v>20.710250675013867</x:v>
      </x:c>
      <x:c r="N11" s="25" t="n">
        <x:f>IF(COUNT('逐日期数据'!L47:L52)=0,"未测",AVERAGE('逐日期数据'!L47:L52))</x:f>
        <x:v>20.06793770833595</x:v>
      </x:c>
      <x:c r="O11" s="25" t="n">
        <x:f>IF(COUNT('逐日期数据'!M47:M52)=0,"未测",AVERAGE('逐日期数据'!M47:M52))</x:f>
        <x:v>32.54428644167441</x:v>
      </x:c>
      <x:c r="P11" s="25" t="n">
        <x:f>IF(COUNT('逐日期数据'!N47:N52)=0,"未测",AVERAGE('逐日期数据'!N47:N52))</x:f>
        <x:v>0.6423129666779156</x:v>
      </x:c>
      <x:c r="Q11" s="25" t="n">
        <x:f>IF(COUNT('逐日期数据'!O47:O52)=0,"未测",AVERAGE('逐日期数据'!O47:O52))</x:f>
        <x:v>4.09797247496211</x:v>
      </x:c>
      <x:c r="R11" s="25" t="n">
        <x:f>IF(COUNT('逐日期数据'!P47:P52)=0,"未测",AVERAGE('逐日期数据'!P47:P52)*1000)</x:f>
        <x:v>31.649749999951364</x:v>
      </x:c>
      <x:c r="S11" s="25" t="n">
        <x:f>IF(COUNT('逐日期数据'!Q47:Q52)=0,"未测",AVERAGE('逐日期数据'!Q47:Q52)*1000)</x:f>
        <x:v>843.1843814164242</x:v>
      </x:c>
      <x:c r="T11" s="25" t="n">
        <x:f>IF(COUNT('逐日期数据'!R47:R52)=0,"未测",AVERAGE('逐日期数据'!R47:R52)*1000)</x:f>
        <x:v>4236.263553500475</x:v>
      </x:c>
      <x:c r="U11" s="25" t="n">
        <x:f>IF(COUNT('逐日期数据'!S47:S52)=0,"未测",AVERAGE('逐日期数据'!S47:S52)*1000)</x:f>
        <x:v>4552.198510700519</x:v>
      </x:c>
      <x:c r="V11" s="26" t="n">
        <x:f>IF(COUNT('逐日期数据'!Z47:Z52)=0,"未测",AVERAGE('逐日期数据'!Z47:Z52))</x:f>
        <x:v>0</x:v>
      </x:c>
      <x:c r="W11" s="26" t="n">
        <x:f>IF(COUNT('逐日期数据'!AA47:AA52)=0,"未测",AVERAGE('逐日期数据'!AA47:AA52))</x:f>
        <x:v>0</x:v>
      </x:c>
      <x:c r="X11" s="19" t="str">
        <x:f>IF(COUNT('逐日期数据'!AB47:AB52)=0,"单次，未估计",TEXT(MIN('逐日期数据'!AB47:AB52),"0.00%")&amp;"～"&amp;TEXT(MAX('逐日期数据'!AB47:AB52),"0.00%"))</x:f>
        <x:v>0.43%～5.21%</x:v>
      </x:c>
      <x:c r="Y11" s="19" t="str">
        <x:f>MIN('逐日期数据'!D47:D52)&amp;"～"&amp;MAX('逐日期数据'!D47:D52)</x:f>
        <x:v>2～2</x:v>
      </x:c>
      <x:c r="Z11" s="19" t="str">
        <x:v>FULL</x:v>
      </x:c>
      <x:c r="AA11" s="19" t="str">
        <x:v>质量/成本以冻结FULL为参照；速度方向为本行方法相对同批参照</x:v>
      </x:c>
      <x:c r="AB11" s="19" t="str">
        <x:v>GRID81 / per_date.csv</x:v>
      </x:c>
    </x:row>
    <x:row r="12" ht="54" customHeight="1">
      <x:c r="A12" s="19" t="str">
        <x:v>GRID81</x:v>
      </x:c>
      <x:c r="B12" s="19" t="str">
        <x:v>FRAME_GUARD</x:v>
      </x:c>
      <x:c r="C12" s="19" t="n">
        <x:f>ROWS('逐日期数据'!A41:A46)</x:f>
        <x:v>6</x:v>
      </x:c>
      <x:c r="D12" s="19" t="str">
        <x:f>SUM('逐日期数据'!F41:F46)&amp;"/"&amp;C12</x:f>
        <x:v>6/6</x:v>
      </x:c>
      <x:c r="E12" s="19" t="str">
        <x:f>SUM('逐日期数据'!G41:G46)&amp;"/"&amp;C12</x:f>
        <x:v>4/6</x:v>
      </x:c>
      <x:c r="F12" s="19" t="str">
        <x:f>MIN('逐日期数据'!E41:E46)&amp;"–"&amp;MAX('逐日期数据'!E41:E46)</x:f>
        <x:v>519–2017</x:v>
      </x:c>
      <x:c r="G12" s="23" t="n">
        <x:f>IF(COUNT('逐日期数据'!I41:I46)=0,"未测",AVERAGE('逐日期数据'!I41:I46))</x:f>
        <x:v>-0.009191508531551151</x:v>
      </x:c>
      <x:c r="H12" s="23" t="n">
        <x:f>IF(COUNT('逐日期数据'!I41:I46)=0,"未测",MAX('逐日期数据'!I41:I46))</x:f>
        <x:v>0.0008663102138171119</x:v>
      </x:c>
      <x:c r="I12" s="24" t="n">
        <x:f>SUM('逐日期数据'!J41:J46)</x:f>
        <x:v>11526</x:v>
      </x:c>
      <x:c r="J12" s="26" t="n">
        <x:f>IF(COUNT('逐日期数据'!X41:X46)=0,"未测",AVERAGE('逐日期数据'!X41:X46))</x:f>
        <x:v>0.6509677018059689</x:v>
      </x:c>
      <x:c r="K12" s="25" t="n">
        <x:f>IF(COUNT('逐日期数据'!K41:K46)=0,"未测",AVERAGE('逐日期数据'!K41:K46))</x:f>
        <x:v>47.99028558332839</x:v>
      </x:c>
      <x:c r="L12" s="26" t="n">
        <x:f>IF(COUNT('逐日期数据'!Y41:Y46)=0,"未测",AVERAGE('逐日期数据'!Y41:Y46))</x:f>
        <x:v>0.14979148171235593</x:v>
      </x:c>
      <x:c r="M12" s="25" t="n">
        <x:f>IF(OR(COUNT('逐日期数据'!L41:L46)=0,COUNT('逐日期数据'!N41:N46)=0),"未测",AVERAGE('逐日期数据'!L41:L46)+AVERAGE('逐日期数据'!N41:N46))</x:f>
        <x:v>13.008950725020895</x:v>
      </x:c>
      <x:c r="N12" s="25" t="n">
        <x:f>IF(COUNT('逐日期数据'!L41:L46)=0,"未测",AVERAGE('逐日期数据'!L41:L46))</x:f>
        <x:v>12.453411033345068</x:v>
      </x:c>
      <x:c r="O12" s="25" t="n">
        <x:f>IF(COUNT('逐日期数据'!M41:M46)=0,"未测",AVERAGE('逐日期数据'!M41:M46))</x:f>
        <x:v>31.225729716680387</x:v>
      </x:c>
      <x:c r="P12" s="25" t="n">
        <x:f>IF(COUNT('逐日期数据'!N41:N46)=0,"未测",AVERAGE('逐日期数据'!N41:N46))</x:f>
        <x:v>0.5555396916758278</x:v>
      </x:c>
      <x:c r="Q12" s="25" t="n">
        <x:f>IF(COUNT('逐日期数据'!O41:O46)=0,"未测",AVERAGE('逐日期数据'!O41:O46))</x:f>
        <x:v>3.7556051416271052</x:v>
      </x:c>
      <x:c r="R12" s="25" t="n">
        <x:f>IF(COUNT('逐日期数据'!P41:P46)=0,"未测",AVERAGE('逐日期数据'!P41:P46)*1000)</x:f>
        <x:v>31.41465124986096</x:v>
      </x:c>
      <x:c r="S12" s="25" t="n">
        <x:f>IF(COUNT('逐日期数据'!Q41:Q46)=0,"未测",AVERAGE('逐日期数据'!Q41:Q46)*1000)</x:f>
        <x:v>775.079930499698</x:v>
      </x:c>
      <x:c r="T12" s="25" t="n">
        <x:f>IF(COUNT('逐日期数据'!R41:R46)=0,"未测",AVERAGE('逐日期数据'!R41:R46)*1000)</x:f>
        <x:v>3163.5331209998994</x:v>
      </x:c>
      <x:c r="U12" s="25" t="n">
        <x:f>IF(COUNT('逐日期数据'!S41:S46)=0,"未测",AVERAGE('逐日期数据'!S41:S46)*1000)</x:f>
        <x:v>3515.6528642001454</x:v>
      </x:c>
      <x:c r="V12" s="26" t="n">
        <x:f>IF(COUNT('逐日期数据'!Z41:Z46)=0,"未测",AVERAGE('逐日期数据'!Z41:Z46))</x:f>
        <x:v>0.006725437023818707</x:v>
      </x:c>
      <x:c r="W12" s="26" t="n">
        <x:f>IF(COUNT('逐日期数据'!AA41:AA46)=0,"未测",AVERAGE('逐日期数据'!AA41:AA46))</x:f>
        <x:v>0.278083956532844</x:v>
      </x:c>
      <x:c r="X12" s="19" t="str">
        <x:f>IF(COUNT('逐日期数据'!AB41:AB46)=0,"单次，未估计",TEXT(MIN('逐日期数据'!AB41:AB46),"0.00%")&amp;"～"&amp;TEXT(MAX('逐日期数据'!AB41:AB46),"0.00%"))</x:f>
        <x:v>1.08%～4.27%</x:v>
      </x:c>
      <x:c r="Y12" s="19" t="str">
        <x:f>MIN('逐日期数据'!D41:D46)&amp;"～"&amp;MAX('逐日期数据'!D41:D46)</x:f>
        <x:v>2～2</x:v>
      </x:c>
      <x:c r="Z12" s="19" t="str">
        <x:v>FULL</x:v>
      </x:c>
      <x:c r="AA12" s="19" t="str">
        <x:v>质量/成本以冻结FULL为参照；速度方向为本行方法相对同批参照</x:v>
      </x:c>
      <x:c r="AB12" s="19" t="str">
        <x:v>GRID81 / per_date.csv</x:v>
      </x:c>
    </x:row>
    <x:row r="13" ht="54" customHeight="1">
      <x:c r="A13" s="19" t="str">
        <x:v>GRID81</x:v>
      </x:c>
      <x:c r="B13" s="19" t="str">
        <x:v>CONTEXT_GATE</x:v>
      </x:c>
      <x:c r="C13" s="19" t="n">
        <x:f>ROWS('逐日期数据'!A35:A40)</x:f>
        <x:v>6</x:v>
      </x:c>
      <x:c r="D13" s="19" t="str">
        <x:f>SUM('逐日期数据'!F35:F40)&amp;"/"&amp;C13</x:f>
        <x:v>6/6</x:v>
      </x:c>
      <x:c r="E13" s="19" t="str">
        <x:f>SUM('逐日期数据'!G35:G40)&amp;"/"&amp;C13</x:f>
        <x:v>4/6</x:v>
      </x:c>
      <x:c r="F13" s="19" t="str">
        <x:f>MIN('逐日期数据'!E35:E40)&amp;"–"&amp;MAX('逐日期数据'!E35:E40)</x:f>
        <x:v>519–2017</x:v>
      </x:c>
      <x:c r="G13" s="23" t="n">
        <x:f>IF(COUNT('逐日期数据'!I35:I40)=0,"未测",AVERAGE('逐日期数据'!I35:I40))</x:f>
        <x:v>-0.008291946718162663</x:v>
      </x:c>
      <x:c r="H13" s="23" t="n">
        <x:f>IF(COUNT('逐日期数据'!I35:I40)=0,"未测",MAX('逐日期数据'!I35:I40))</x:f>
        <x:v>0.0008663102138171119</x:v>
      </x:c>
      <x:c r="I13" s="24" t="n">
        <x:f>SUM('逐日期数据'!J35:J40)</x:f>
        <x:v>10921</x:v>
      </x:c>
      <x:c r="J13" s="26" t="n">
        <x:f>IF(COUNT('逐日期数据'!X35:X40)=0,"未测",AVERAGE('逐日期数据'!X35:X40))</x:f>
        <x:v>0.6689834556777241</x:v>
      </x:c>
      <x:c r="K13" s="25" t="n">
        <x:f>IF(COUNT('逐日期数据'!K35:K40)=0,"未测",AVERAGE('逐日期数据'!K35:K40))</x:f>
        <x:v>47.98254581666348</x:v>
      </x:c>
      <x:c r="L13" s="26" t="n">
        <x:f>IF(COUNT('逐日期数据'!Y35:Y40)=0,"未测",AVERAGE('逐日期数据'!Y35:Y40))</x:f>
        <x:v>0.15011389152429946</x:v>
      </x:c>
      <x:c r="M13" s="25" t="n">
        <x:f>IF(OR(COUNT('逐日期数据'!L35:L40)=0,COUNT('逐日期数据'!N35:N40)=0),"未测",AVERAGE('逐日期数据'!L35:L40)+AVERAGE('逐日期数据'!N35:N40))</x:f>
        <x:v>13.078548116655233</x:v>
      </x:c>
      <x:c r="N13" s="25" t="n">
        <x:f>IF(COUNT('逐日期数据'!L35:L40)=0,"未测",AVERAGE('逐日期数据'!L35:L40))</x:f>
        <x:v>12.36903817500297</x:v>
      </x:c>
      <x:c r="O13" s="25" t="n">
        <x:f>IF(COUNT('逐日期数据'!M35:M40)=0,"未测",AVERAGE('逐日期数据'!M35:M40))</x:f>
        <x:v>31.139085508337</x:v>
      </x:c>
      <x:c r="P13" s="25" t="n">
        <x:f>IF(COUNT('逐日期数据'!N35:N40)=0,"未测",AVERAGE('逐日期数据'!N35:N40))</x:f>
        <x:v>0.709509941652262</x:v>
      </x:c>
      <x:c r="Q13" s="25" t="n">
        <x:f>IF(COUNT('逐日期数据'!O35:O40)=0,"未测",AVERAGE('逐日期数据'!O35:O40))</x:f>
        <x:v>3.7649121916712525</x:v>
      </x:c>
      <x:c r="R13" s="25" t="n">
        <x:f>IF(COUNT('逐日期数据'!P35:P40)=0,"未测",AVERAGE('逐日期数据'!P35:P40)*1000)</x:f>
        <x:v>31.622902500074193</x:v>
      </x:c>
      <x:c r="S13" s="25" t="n">
        <x:f>IF(COUNT('逐日期数据'!Q35:Q40)=0,"未测",AVERAGE('逐日期数据'!Q35:Q40)*1000)</x:f>
        <x:v>764.0442550834813</x:v>
      </x:c>
      <x:c r="T13" s="25" t="n">
        <x:f>IF(COUNT('逐日期数据'!R35:R40)=0,"未测",AVERAGE('逐日期数据'!R35:R40)*1000)</x:f>
        <x:v>3194.638258500162</x:v>
      </x:c>
      <x:c r="U13" s="25" t="n">
        <x:f>IF(COUNT('逐日期数据'!S35:S40)=0,"未测",AVERAGE('逐日期数据'!S35:S40)*1000)</x:f>
        <x:v>3515.122715700236</x:v>
      </x:c>
      <x:c r="V13" s="26" t="n">
        <x:f>IF(COUNT('逐日期数据'!Z35:Z40)=0,"未测",AVERAGE('逐日期数据'!Z35:Z40))</x:f>
        <x:v>0.00013915965600837707</x:v>
      </x:c>
      <x:c r="W13" s="26" t="n">
        <x:f>IF(COUNT('逐日期数据'!AA35:AA40)=0,"未测",AVERAGE('逐日期数据'!AA35:AA40))</x:f>
        <x:v>0.2698111709660613</x:v>
      </x:c>
      <x:c r="X13" s="19" t="str">
        <x:f>IF(COUNT('逐日期数据'!AB35:AB40)=0,"单次，未估计",TEXT(MIN('逐日期数据'!AB35:AB40),"0.00%")&amp;"～"&amp;TEXT(MAX('逐日期数据'!AB35:AB40),"0.00%"))</x:f>
        <x:v>0.02%～3.93%</x:v>
      </x:c>
      <x:c r="Y13" s="19" t="str">
        <x:f>MIN('逐日期数据'!D35:D40)&amp;"～"&amp;MAX('逐日期数据'!D35:D40)</x:f>
        <x:v>2～2</x:v>
      </x:c>
      <x:c r="Z13" s="19" t="str">
        <x:v>FULL</x:v>
      </x:c>
      <x:c r="AA13" s="19" t="str">
        <x:v>质量/成本以冻结FULL为参照；速度方向为本行方法相对同批参照</x:v>
      </x:c>
      <x:c r="AB13" s="19" t="str">
        <x:v>GRID81 / per_date.csv</x:v>
      </x:c>
    </x:row>
    <x:row r="14" ht="54" customHeight="1">
      <x:c r="A14" s="19" t="str">
        <x:v>GRID81</x:v>
      </x:c>
      <x:c r="B14" s="19" t="str">
        <x:v>RANDOM_GATE0</x:v>
      </x:c>
      <x:c r="C14" s="19" t="n">
        <x:f>ROWS('逐日期数据'!A53:A58)</x:f>
        <x:v>6</x:v>
      </x:c>
      <x:c r="D14" s="19" t="str">
        <x:f>SUM('逐日期数据'!F53:F58)&amp;"/"&amp;C14</x:f>
        <x:v>6/6</x:v>
      </x:c>
      <x:c r="E14" s="19" t="str">
        <x:f>SUM('逐日期数据'!G53:G58)&amp;"/"&amp;C14</x:f>
        <x:v>4/6</x:v>
      </x:c>
      <x:c r="F14" s="19" t="str">
        <x:f>MIN('逐日期数据'!E53:E58)&amp;"–"&amp;MAX('逐日期数据'!E53:E58)</x:f>
        <x:v>519–2017</x:v>
      </x:c>
      <x:c r="G14" s="23" t="n">
        <x:f>IF(COUNT('逐日期数据'!I53:I58)=0,"未测",AVERAGE('逐日期数据'!I53:I58))</x:f>
        <x:v>-0.009191508531551151</x:v>
      </x:c>
      <x:c r="H14" s="23" t="n">
        <x:f>IF(COUNT('逐日期数据'!I53:I58)=0,"未测",MAX('逐日期数据'!I53:I58))</x:f>
        <x:v>0.0008663102138171119</x:v>
      </x:c>
      <x:c r="I14" s="24" t="n">
        <x:f>SUM('逐日期数据'!J53:J58)</x:f>
        <x:v>11398</x:v>
      </x:c>
      <x:c r="J14" s="26" t="n">
        <x:f>IF(COUNT('逐日期数据'!X53:X58)=0,"未测",AVERAGE('逐日期数据'!X53:X58))</x:f>
        <x:v>0.658114547143769</x:v>
      </x:c>
      <x:c r="K14" s="25" t="n">
        <x:f>IF(COUNT('逐日期数据'!K53:K58)=0,"未测",AVERAGE('逐日期数据'!K53:K58))</x:f>
        <x:v>48.15870471666252</x:v>
      </x:c>
      <x:c r="L14" s="26" t="n">
        <x:f>IF(COUNT('逐日期数据'!Y53:Y58)=0,"未测",AVERAGE('逐日期数据'!Y53:Y58))</x:f>
        <x:v>0.14700262273875078</x:v>
      </x:c>
      <x:c r="M14" s="25" t="n">
        <x:f>IF(OR(COUNT('逐日期数据'!L53:L58)=0,COUNT('逐日期数据'!N53:N58)=0),"未测",AVERAGE('逐日期数据'!L53:L58)+AVERAGE('逐日期数据'!N53:N58))</x:f>
        <x:v>13.27920059166172</x:v>
      </x:c>
      <x:c r="N14" s="25" t="n">
        <x:f>IF(COUNT('逐日期数据'!L53:L58)=0,"未测",AVERAGE('逐日期数据'!L53:L58))</x:f>
        <x:v>12.503065008333428</x:v>
      </x:c>
      <x:c r="O14" s="25" t="n">
        <x:f>IF(COUNT('逐日期数据'!M53:M58)=0,"未测",AVERAGE('逐日期数据'!M53:M58))</x:f>
        <x:v>31.111888466669978</x:v>
      </x:c>
      <x:c r="P14" s="25" t="n">
        <x:f>IF(COUNT('逐日期数据'!N53:N58)=0,"未测",AVERAGE('逐日期数据'!N53:N58))</x:f>
        <x:v>0.7761355833282929</x:v>
      </x:c>
      <x:c r="Q14" s="25" t="n">
        <x:f>IF(COUNT('逐日期数据'!O53:O58)=0,"未测",AVERAGE('逐日期数据'!O53:O58))</x:f>
        <x:v>3.7676156583308207</x:v>
      </x:c>
      <x:c r="R14" s="25" t="n">
        <x:f>IF(COUNT('逐日期数据'!P53:P58)=0,"未测",AVERAGE('逐日期数据'!P53:P58)*1000)</x:f>
        <x:v>31.682653333488492</x:v>
      </x:c>
      <x:c r="S14" s="25" t="n">
        <x:f>IF(COUNT('逐日期数据'!Q53:Q58)=0,"未测",AVERAGE('逐日期数据'!Q53:Q58)*1000)</x:f>
        <x:v>757.0450508333545</x:v>
      </x:c>
      <x:c r="T14" s="25" t="n">
        <x:f>IF(COUNT('逐日期数据'!R53:R58)=0,"未测",AVERAGE('逐日期数据'!R53:R58)*1000)</x:f>
        <x:v>3166.7868755000463</x:v>
      </x:c>
      <x:c r="U14" s="25" t="n">
        <x:f>IF(COUNT('逐日期数据'!S53:S58)=0,"未测",AVERAGE('逐日期数据'!S53:S58)*1000)</x:f>
        <x:v>3476.6187111001504</x:v>
      </x:c>
      <x:c r="V14" s="26" t="n">
        <x:f>IF(COUNT('逐日期数据'!Z53:Z58)=0,"未测",AVERAGE('逐日期数据'!Z53:Z58))</x:f>
        <x:v>-0.002190047937658498</x:v>
      </x:c>
      <x:c r="W14" s="26" t="n">
        <x:f>IF(COUNT('逐日期数据'!AA53:AA58)=0,"未测",AVERAGE('逐日期数据'!AA53:AA58))</x:f>
        <x:v>0.27827161220470104</x:v>
      </x:c>
      <x:c r="X14" s="19" t="str">
        <x:f>IF(COUNT('逐日期数据'!AB53:AB58)=0,"单次，未估计",TEXT(MIN('逐日期数据'!AB53:AB58),"0.00%")&amp;"～"&amp;TEXT(MAX('逐日期数据'!AB53:AB58),"0.00%"))</x:f>
        <x:v>0.50%～5.67%</x:v>
      </x:c>
      <x:c r="Y14" s="19" t="str">
        <x:f>MIN('逐日期数据'!D53:D58)&amp;"～"&amp;MAX('逐日期数据'!D53:D58)</x:f>
        <x:v>2～2</x:v>
      </x:c>
      <x:c r="Z14" s="19" t="str">
        <x:v>FULL</x:v>
      </x:c>
      <x:c r="AA14" s="19" t="str">
        <x:v>质量/成本以冻结FULL为参照；速度方向为本行方法相对同批参照</x:v>
      </x:c>
      <x:c r="AB14" s="19" t="str">
        <x:v>GRID81 / per_date.csv</x:v>
      </x:c>
    </x:row>
    <x:row r="15" ht="54" customHeight="1">
      <x:c r="A15" s="19" t="str">
        <x:v>GRID81</x:v>
      </x:c>
      <x:c r="B15" s="19" t="str">
        <x:v>RANDOM_GATE1</x:v>
      </x:c>
      <x:c r="C15" s="19" t="n">
        <x:f>ROWS('逐日期数据'!A59:A64)</x:f>
        <x:v>6</x:v>
      </x:c>
      <x:c r="D15" s="19" t="str">
        <x:f>SUM('逐日期数据'!F59:F64)&amp;"/"&amp;C15</x:f>
        <x:v>6/6</x:v>
      </x:c>
      <x:c r="E15" s="19" t="str">
        <x:f>SUM('逐日期数据'!G59:G64)&amp;"/"&amp;C15</x:f>
        <x:v>4/6</x:v>
      </x:c>
      <x:c r="F15" s="19" t="str">
        <x:f>MIN('逐日期数据'!E59:E64)&amp;"–"&amp;MAX('逐日期数据'!E59:E64)</x:f>
        <x:v>519–2017</x:v>
      </x:c>
      <x:c r="G15" s="23" t="n">
        <x:f>IF(COUNT('逐日期数据'!I59:I64)=0,"未测",AVERAGE('逐日期数据'!I59:I64))</x:f>
        <x:v>-0.009191508531551151</x:v>
      </x:c>
      <x:c r="H15" s="23" t="n">
        <x:f>IF(COUNT('逐日期数据'!I59:I64)=0,"未测",MAX('逐日期数据'!I59:I64))</x:f>
        <x:v>0.0008663102138171119</x:v>
      </x:c>
      <x:c r="I15" s="24" t="n">
        <x:f>SUM('逐日期数据'!J59:J64)</x:f>
        <x:v>11398</x:v>
      </x:c>
      <x:c r="J15" s="26" t="n">
        <x:f>IF(COUNT('逐日期数据'!X59:X64)=0,"未测",AVERAGE('逐日期数据'!X59:X64))</x:f>
        <x:v>0.658114547143769</x:v>
      </x:c>
      <x:c r="K15" s="25" t="n">
        <x:f>IF(COUNT('逐日期数据'!K59:K64)=0,"未测",AVERAGE('逐日期数据'!K59:K64))</x:f>
        <x:v>48.03919253332742</x:v>
      </x:c>
      <x:c r="L15" s="26" t="n">
        <x:f>IF(COUNT('逐日期数据'!Y59:Y64)=0,"未测",AVERAGE('逐日期数据'!Y59:Y64))</x:f>
        <x:v>0.1464031088001657</x:v>
      </x:c>
      <x:c r="M15" s="25" t="n">
        <x:f>IF(OR(COUNT('逐日期数据'!L59:L64)=0,COUNT('逐日期数据'!N59:N64)=0),"未测",AVERAGE('逐日期数据'!L59:L64)+AVERAGE('逐日期数据'!N59:N64))</x:f>
        <x:v>13.085879191666967</x:v>
      </x:c>
      <x:c r="N15" s="25" t="n">
        <x:f>IF(COUNT('逐日期数据'!L59:L64)=0,"未测",AVERAGE('逐日期数据'!L59:L64))</x:f>
        <x:v>12.405068949996803</x:v>
      </x:c>
      <x:c r="O15" s="25" t="n">
        <x:f>IF(COUNT('逐日期数据'!M59:M64)=0,"未测",AVERAGE('逐日期数据'!M59:M64))</x:f>
        <x:v>31.170140458334874</x:v>
      </x:c>
      <x:c r="P15" s="25" t="n">
        <x:f>IF(COUNT('逐日期数据'!N59:N64)=0,"未测",AVERAGE('逐日期数据'!N59:N64))</x:f>
        <x:v>0.6808102416701635</x:v>
      </x:c>
      <x:c r="Q15" s="25" t="n">
        <x:f>IF(COUNT('逐日期数据'!O59:O64)=0,"未测",AVERAGE('逐日期数据'!O59:O64))</x:f>
        <x:v>3.7831728833255815</x:v>
      </x:c>
      <x:c r="R15" s="25" t="n">
        <x:f>IF(COUNT('逐日期数据'!P59:P64)=0,"未测",AVERAGE('逐日期数据'!P59:P64)*1000)</x:f>
        <x:v>31.70657791678573</x:v>
      </x:c>
      <x:c r="S15" s="25" t="n">
        <x:f>IF(COUNT('逐日期数据'!Q59:Q64)=0,"未测",AVERAGE('逐日期数据'!Q59:Q64)*1000)</x:f>
        <x:v>757.3252948332038</x:v>
      </x:c>
      <x:c r="T15" s="25" t="n">
        <x:f>IF(COUNT('逐日期数据'!R59:R64)=0,"未测",AVERAGE('逐日期数据'!R59:R64)*1000)</x:f>
        <x:v>3161.1257879999166</x:v>
      </x:c>
      <x:c r="U15" s="25" t="n">
        <x:f>IF(COUNT('逐日期数据'!S59:S64)=0,"未测",AVERAGE('逐日期数据'!S59:S64)*1000)</x:f>
        <x:v>3469.72902159972</x:v>
      </x:c>
      <x:c r="V15" s="26" t="n">
        <x:f>IF(COUNT('逐日期数据'!Z59:Z64)=0,"未测",AVERAGE('逐日期数据'!Z59:Z64))</x:f>
        <x:v>-0.003614036541572533</x:v>
      </x:c>
      <x:c r="W15" s="26" t="n">
        <x:f>IF(COUNT('逐日期数据'!AA59:AA64)=0,"未测",AVERAGE('逐日期数据'!AA59:AA64))</x:f>
        <x:v>0.27641332270819935</x:v>
      </x:c>
      <x:c r="X15" s="19" t="str">
        <x:f>IF(COUNT('逐日期数据'!AB59:AB64)=0,"单次，未估计",TEXT(MIN('逐日期数据'!AB59:AB64),"0.00%")&amp;"～"&amp;TEXT(MAX('逐日期数据'!AB59:AB64),"0.00%"))</x:f>
        <x:v>0.39%～7.16%</x:v>
      </x:c>
      <x:c r="Y15" s="19" t="str">
        <x:f>MIN('逐日期数据'!D59:D64)&amp;"～"&amp;MAX('逐日期数据'!D59:D64)</x:f>
        <x:v>2～2</x:v>
      </x:c>
      <x:c r="Z15" s="19" t="str">
        <x:v>FULL</x:v>
      </x:c>
      <x:c r="AA15" s="19" t="str">
        <x:v>质量/成本以冻结FULL为参照；速度方向为本行方法相对同批参照</x:v>
      </x:c>
      <x:c r="AB15" s="19" t="str">
        <x:v>GRID81 / per_date.csv</x:v>
      </x:c>
    </x:row>
    <x:row r="16" ht="54" customHeight="1">
      <x:c r="A16" s="19" t="str">
        <x:v>GRID88</x:v>
      </x:c>
      <x:c r="B16" s="19" t="str">
        <x:v>FRAME_GUARD</x:v>
      </x:c>
      <x:c r="C16" s="19" t="n">
        <x:f>ROWS('逐日期数据'!A150:A162)</x:f>
        <x:v>13</x:v>
      </x:c>
      <x:c r="D16" s="19" t="str">
        <x:f>SUM('逐日期数据'!F150:F162)&amp;"/"&amp;C16</x:f>
        <x:v>13/13</x:v>
      </x:c>
      <x:c r="E16" s="19" t="str">
        <x:f>SUM('逐日期数据'!G150:G162)&amp;"/"&amp;C16</x:f>
        <x:v>11/13</x:v>
      </x:c>
      <x:c r="F16" s="19" t="str">
        <x:f>MIN('逐日期数据'!E150:E162)&amp;"–"&amp;MAX('逐日期数据'!E150:E162)</x:f>
        <x:v>747–2017</x:v>
      </x:c>
      <x:c r="G16" s="23" t="n">
        <x:f>IF(COUNT('逐日期数据'!I150:I162)=0,"未测",AVERAGE('逐日期数据'!I150:I162))</x:f>
        <x:v>-0.007904187677636646</x:v>
      </x:c>
      <x:c r="H16" s="23" t="n">
        <x:f>IF(COUNT('逐日期数据'!I150:I162)=0,"未测",MAX('逐日期数据'!I150:I162))</x:f>
        <x:v>0.003720046656812137</x:v>
      </x:c>
      <x:c r="I16" s="24" t="n">
        <x:f>SUM('逐日期数据'!J150:J162)</x:f>
        <x:v>35614</x:v>
      </x:c>
      <x:c r="J16" s="26" t="n">
        <x:f>IF(COUNT('逐日期数据'!X150:X162)=0,"未测",AVERAGE('逐日期数据'!X150:X162))</x:f>
        <x:v>0</x:v>
      </x:c>
      <x:c r="K16" s="25" t="n">
        <x:f>IF(COUNT('逐日期数据'!K150:K162)=0,"未测",AVERAGE('逐日期数据'!K150:K162))</x:f>
        <x:v>74.73738378461124</x:v>
      </x:c>
      <x:c r="L16" s="26" t="n">
        <x:f>IF(COUNT('逐日期数据'!Y150:Y162)=0,"未测",AVERAGE('逐日期数据'!Y150:Y162))</x:f>
        <x:v>0</x:v>
      </x:c>
      <x:c r="M16" s="25" t="n">
        <x:f>IF(OR(COUNT('逐日期数据'!L150:L162)=0,COUNT('逐日期数据'!N150:N162)=0),"未测",AVERAGE('逐日期数据'!L150:L162)+AVERAGE('逐日期数据'!N150:N162))</x:f>
        <x:v>17.30329126920277</x:v>
      </x:c>
      <x:c r="N16" s="25" t="n">
        <x:f>IF(COUNT('逐日期数据'!L150:L162)=0,"未测",AVERAGE('逐日期数据'!L150:L162))</x:f>
        <x:v>16.526222146178323</x:v>
      </x:c>
      <x:c r="O16" s="25" t="n">
        <x:f>IF(COUNT('逐日期数据'!M150:M162)=0,"未测",AVERAGE('逐日期数据'!M150:M162))</x:f>
        <x:v>53.01321691153358</x:v>
      </x:c>
      <x:c r="P16" s="25" t="n">
        <x:f>IF(COUNT('逐日期数据'!N150:N162)=0,"未测",AVERAGE('逐日期数据'!N150:N162))</x:f>
        <x:v>0.7770691230244455</x:v>
      </x:c>
      <x:c r="Q16" s="25" t="n">
        <x:f>IF(COUNT('逐日期数据'!O150:O162)=0,"未测",AVERAGE('逐日期数据'!O150:O162))</x:f>
        <x:v>4.420875603874895</x:v>
      </x:c>
      <x:c r="R16" s="25" t="n">
        <x:f>IF(COUNT('逐日期数据'!P150:P162)=0,"未测",AVERAGE('逐日期数据'!P150:P162)*1000)</x:f>
        <x:v>35.334938846874245</x:v>
      </x:c>
      <x:c r="S16" s="25" t="n">
        <x:f>IF(COUNT('逐日期数据'!Q150:Q162)=0,"未测",AVERAGE('逐日期数据'!Q150:Q162)*1000)</x:f>
        <x:v>1068.3700383066089</x:v>
      </x:c>
      <x:c r="T16" s="25" t="n">
        <x:f>IF(COUNT('逐日期数据'!R150:R162)=0,"未测",AVERAGE('逐日期数据'!R150:R162)*1000)</x:f>
        <x:v>3172.2201433331675</x:v>
      </x:c>
      <x:c r="U16" s="25" t="n">
        <x:f>IF(COUNT('逐日期数据'!S150:S162)=0,"未测",AVERAGE('逐日期数据'!S150:S162)*1000)</x:f>
        <x:v>3312.128961999176</x:v>
      </x:c>
      <x:c r="V16" s="26" t="n">
        <x:f>IF(COUNT('逐日期数据'!Z150:Z162)=0,"未测",AVERAGE('逐日期数据'!Z150:Z162))</x:f>
        <x:v>0</x:v>
      </x:c>
      <x:c r="W16" s="26" t="n">
        <x:f>IF(COUNT('逐日期数据'!AA150:AA162)=0,"未测",AVERAGE('逐日期数据'!AA150:AA162))</x:f>
        <x:v>0</x:v>
      </x:c>
      <x:c r="X16" s="19" t="str">
        <x:f>IF(COUNT('逐日期数据'!AB150:AB162)=0,"单次，未估计",TEXT(MIN('逐日期数据'!AB150:AB162),"0.00%")&amp;"～"&amp;TEXT(MAX('逐日期数据'!AB150:AB162),"0.00%"))</x:f>
        <x:v>0.06%～2.44%</x:v>
      </x:c>
      <x:c r="Y16" s="19" t="str">
        <x:f>MIN('逐日期数据'!D150:D162)&amp;"～"&amp;MAX('逐日期数据'!D150:D162)</x:f>
        <x:v>2～2</x:v>
      </x:c>
      <x:c r="Z16" s="19" t="str">
        <x:v>FRAME_GUARD</x:v>
      </x:c>
      <x:c r="AA16" s="19" t="str">
        <x:v>质量/成本以冻结FULL为参照；速度方向为本行方法相对同批参照</x:v>
      </x:c>
      <x:c r="AB16" s="19" t="str">
        <x:v>GRID88 / per_date.csv</x:v>
      </x:c>
    </x:row>
    <x:row r="17" ht="54" customHeight="1">
      <x:c r="A17" s="19" t="str">
        <x:v>GRID88</x:v>
      </x:c>
      <x:c r="B17" s="19" t="str">
        <x:v>FIXED_512</x:v>
      </x:c>
      <x:c r="C17" s="19" t="n">
        <x:f>ROWS('逐日期数据'!A137:A149)</x:f>
        <x:v>13</x:v>
      </x:c>
      <x:c r="D17" s="19" t="str">
        <x:f>SUM('逐日期数据'!F137:F149)&amp;"/"&amp;C17</x:f>
        <x:v>11/13</x:v>
      </x:c>
      <x:c r="E17" s="19" t="str">
        <x:f>SUM('逐日期数据'!G137:G149)&amp;"/"&amp;C17</x:f>
        <x:v>11/13</x:v>
      </x:c>
      <x:c r="F17" s="19" t="str">
        <x:f>MIN('逐日期数据'!E137:E149)&amp;"–"&amp;MAX('逐日期数据'!E137:E149)</x:f>
        <x:v>747–2017</x:v>
      </x:c>
      <x:c r="G17" s="23" t="n">
        <x:f>IF(COUNT('逐日期数据'!I137:I149)=0,"未测",AVERAGE('逐日期数据'!I137:I149))</x:f>
        <x:v>-0.002895491376703903</x:v>
      </x:c>
      <x:c r="H17" s="23" t="n">
        <x:f>IF(COUNT('逐日期数据'!I137:I149)=0,"未测",MAX('逐日期数据'!I137:I149))</x:f>
        <x:v>0.014550370316845473</x:v>
      </x:c>
      <x:c r="I17" s="24" t="n">
        <x:f>SUM('逐日期数据'!J137:J149)</x:f>
        <x:v>52736</x:v>
      </x:c>
      <x:c r="J17" s="26" t="n">
        <x:f>IF(COUNT('逐日期数据'!X137:X149)=0,"未测",AVERAGE('逐日期数据'!X137:X149))</x:f>
        <x:v>-0.5562848022708516</x:v>
      </x:c>
      <x:c r="K17" s="25" t="n">
        <x:f>IF(COUNT('逐日期数据'!K137:K149)=0,"未测",AVERAGE('逐日期数据'!K137:K149))</x:f>
        <x:v>79.18494993460375</x:v>
      </x:c>
      <x:c r="L17" s="26" t="n">
        <x:f>IF(COUNT('逐日期数据'!Y137:Y149)=0,"未测",AVERAGE('逐日期数据'!Y137:Y149))</x:f>
        <x:v>-0.04550344360054625</x:v>
      </x:c>
      <x:c r="M17" s="25" t="n">
        <x:f>IF(OR(COUNT('逐日期数据'!L137:L149)=0,COUNT('逐日期数据'!N137:N149)=0),"未测",AVERAGE('逐日期数据'!L137:L149)+AVERAGE('逐日期数据'!N137:N149))</x:f>
        <x:v>20.805516880638326</x:v>
      </x:c>
      <x:c r="N17" s="25" t="n">
        <x:f>IF(COUNT('逐日期数据'!L137:L149)=0,"未测",AVERAGE('逐日期数据'!L137:L149))</x:f>
        <x:v>19.968402265272463</x:v>
      </x:c>
      <x:c r="O17" s="25" t="n">
        <x:f>IF(COUNT('逐日期数据'!M137:M149)=0,"未测",AVERAGE('逐日期数据'!M137:M149))</x:f>
        <x:v>53.723174503838194</x:v>
      </x:c>
      <x:c r="P17" s="25" t="n">
        <x:f>IF(COUNT('逐日期数据'!N137:N149)=0,"未测",AVERAGE('逐日期数据'!N137:N149))</x:f>
        <x:v>0.8371146153658628</x:v>
      </x:c>
      <x:c r="Q17" s="25" t="n">
        <x:f>IF(COUNT('逐日期数据'!O137:O149)=0,"未测",AVERAGE('逐日期数据'!O137:O149))</x:f>
        <x:v>4.656258550127229</x:v>
      </x:c>
      <x:c r="R17" s="25" t="n">
        <x:f>IF(COUNT('逐日期数据'!P137:P149)=0,"未测",AVERAGE('逐日期数据'!P137:P149)*1000)</x:f>
        <x:v>38.74073884614346</x:v>
      </x:c>
      <x:c r="S17" s="25" t="n">
        <x:f>IF(COUNT('逐日期数据'!Q137:Q149)=0,"未测",AVERAGE('逐日期数据'!Q137:Q149)*1000)</x:f>
        <x:v>1059.0212213084044</x:v>
      </x:c>
      <x:c r="T17" s="25" t="n">
        <x:f>IF(COUNT('逐日期数据'!R137:R149)=0,"未测",AVERAGE('逐日期数据'!R137:R149)*1000)</x:f>
        <x:v>3360.7582368754265</x:v>
      </x:c>
      <x:c r="U17" s="25" t="n">
        <x:f>IF(COUNT('逐日期数据'!S137:S149)=0,"未测",AVERAGE('逐日期数据'!S137:S149)*1000)</x:f>
        <x:v>3550.747350708934</x:v>
      </x:c>
      <x:c r="V17" s="26" t="n">
        <x:f>IF(COUNT('逐日期数据'!Z137:Z149)=0,"未测",AVERAGE('逐日期数据'!Z137:Z149))</x:f>
        <x:v>-0.033986889443992675</x:v>
      </x:c>
      <x:c r="W17" s="26" t="n">
        <x:f>IF(COUNT('逐日期数据'!AA137:AA149)=0,"未测",AVERAGE('逐日期数据'!AA137:AA149))</x:f>
        <x:v>-0.1323730928118616</x:v>
      </x:c>
      <x:c r="X17" s="19" t="str">
        <x:f>IF(COUNT('逐日期数据'!AB137:AB149)=0,"单次，未估计",TEXT(MIN('逐日期数据'!AB137:AB149),"0.00%")&amp;"～"&amp;TEXT(MAX('逐日期数据'!AB137:AB149),"0.00%"))</x:f>
        <x:v>0.03%～2.17%</x:v>
      </x:c>
      <x:c r="Y17" s="19" t="str">
        <x:f>MIN('逐日期数据'!D137:D149)&amp;"～"&amp;MAX('逐日期数据'!D137:D149)</x:f>
        <x:v>2～2</x:v>
      </x:c>
      <x:c r="Z17" s="19" t="str">
        <x:v>FRAME_GUARD</x:v>
      </x:c>
      <x:c r="AA17" s="19" t="str">
        <x:v>质量/成本以冻结FULL为参照；速度方向为本行方法相对同批参照</x:v>
      </x:c>
      <x:c r="AB17" s="19" t="str">
        <x:v>GRID88 / per_date.csv</x:v>
      </x:c>
    </x:row>
    <x:row r="18" ht="54" customHeight="1">
      <x:c r="A18" s="19" t="str">
        <x:v>GRID86</x:v>
      </x:c>
      <x:c r="B18" s="19" t="str">
        <x:v>FRAME_GUARD</x:v>
      </x:c>
      <x:c r="C18" s="19" t="n">
        <x:f>ROWS('逐日期数据'!A131:A136)</x:f>
        <x:v>6</x:v>
      </x:c>
      <x:c r="D18" s="19" t="str">
        <x:f>SUM('逐日期数据'!F131:F136)&amp;"/"&amp;C18</x:f>
        <x:v>6/6</x:v>
      </x:c>
      <x:c r="E18" s="19" t="str">
        <x:f>SUM('逐日期数据'!G131:G136)&amp;"/"&amp;C18</x:f>
        <x:v>4/6</x:v>
      </x:c>
      <x:c r="F18" s="19" t="str">
        <x:f>MIN('逐日期数据'!E131:E136)&amp;"–"&amp;MAX('逐日期数据'!E131:E136)</x:f>
        <x:v>519–2017</x:v>
      </x:c>
      <x:c r="G18" s="23" t="n">
        <x:f>IF(COUNT('逐日期数据'!I131:I136)=0,"未测",AVERAGE('逐日期数据'!I131:I136))</x:f>
        <x:v>-0.009191508531551151</x:v>
      </x:c>
      <x:c r="H18" s="23" t="n">
        <x:f>IF(COUNT('逐日期数据'!I131:I136)=0,"未测",MAX('逐日期数据'!I131:I136))</x:f>
        <x:v>0.0008663102138171119</x:v>
      </x:c>
      <x:c r="I18" s="24" t="n">
        <x:f>SUM('逐日期数据'!J131:J136)</x:f>
        <x:v>11526</x:v>
      </x:c>
      <x:c r="J18" s="26" t="n">
        <x:f>IF(COUNT('逐日期数据'!X131:X136)=0,"未测",AVERAGE('逐日期数据'!X131:X136))</x:f>
        <x:v>0</x:v>
      </x:c>
      <x:c r="K18" s="25" t="n">
        <x:f>IF(COUNT('逐日期数据'!K131:K136)=0,"未测",AVERAGE('逐日期数据'!K131:K136))</x:f>
        <x:v>47.18098685843324</x:v>
      </x:c>
      <x:c r="L18" s="26" t="n">
        <x:f>IF(COUNT('逐日期数据'!Y131:Y136)=0,"未测",AVERAGE('逐日期数据'!Y131:Y136))</x:f>
        <x:v>0</x:v>
      </x:c>
      <x:c r="M18" s="25" t="n">
        <x:f>IF(OR(COUNT('逐日期数据'!L131:L136)=0,COUNT('逐日期数据'!N131:N136)=0),"未测",AVERAGE('逐日期数据'!L131:L136)+AVERAGE('逐日期数据'!N131:N136))</x:f>
        <x:v>12.718888766622815</x:v>
      </x:c>
      <x:c r="N18" s="25" t="n">
        <x:f>IF(COUNT('逐日期数据'!L131:L136)=0,"未测",AVERAGE('逐日期数据'!L131:L136))</x:f>
        <x:v>12.201486558319326</x:v>
      </x:c>
      <x:c r="O18" s="25" t="n">
        <x:f>IF(COUNT('逐日期数据'!M131:M136)=0,"未测",AVERAGE('逐日期数据'!M131:M136))</x:f>
        <x:v>30.753997866681555</x:v>
      </x:c>
      <x:c r="P18" s="25" t="n">
        <x:f>IF(COUNT('逐日期数据'!N131:N136)=0,"未测",AVERAGE('逐日期数据'!N131:N136))</x:f>
        <x:v>0.5174022083034894</x:v>
      </x:c>
      <x:c r="Q18" s="25" t="n">
        <x:f>IF(COUNT('逐日期数据'!O131:O136)=0,"未测",AVERAGE('逐日期数据'!O131:O136))</x:f>
        <x:v>3.7081002251288737</x:v>
      </x:c>
      <x:c r="R18" s="25" t="n">
        <x:f>IF(COUNT('逐日期数据'!P131:P136)=0,"未测",AVERAGE('逐日期数据'!P131:P136)*1000)</x:f>
        <x:v>31.3588070839311</x:v>
      </x:c>
      <x:c r="S18" s="25" t="n">
        <x:f>IF(COUNT('逐日期数据'!Q131:Q136)=0,"未测",AVERAGE('逐日期数据'!Q131:Q136)*1000)</x:f>
        <x:v>764.4027564171312</x:v>
      </x:c>
      <x:c r="T18" s="25" t="n">
        <x:f>IF(COUNT('逐日期数据'!R131:R136)=0,"未测",AVERAGE('逐日期数据'!R131:R136)*1000)</x:f>
        <x:v>3094.733470499049</x:v>
      </x:c>
      <x:c r="U18" s="25" t="str">
        <x:f>IF(COUNT('逐日期数据'!S131:S136)=0,"未测",AVERAGE('逐日期数据'!S131:S136)*1000)</x:f>
        <x:v>未测</x:v>
      </x:c>
      <x:c r="V18" s="26" t="n">
        <x:f>IF(COUNT('逐日期数据'!Z131:Z136)=0,"未测",AVERAGE('逐日期数据'!Z131:Z136))</x:f>
        <x:v>0</x:v>
      </x:c>
      <x:c r="W18" s="26" t="n">
        <x:f>IF(COUNT('逐日期数据'!AA131:AA136)=0,"未测",AVERAGE('逐日期数据'!AA131:AA136))</x:f>
        <x:v>0</x:v>
      </x:c>
      <x:c r="X18" s="19" t="str">
        <x:f>IF(COUNT('逐日期数据'!AB131:AB136)=0,"单次，未估计",TEXT(MIN('逐日期数据'!AB131:AB136),"0.00%")&amp;"～"&amp;TEXT(MAX('逐日期数据'!AB131:AB136),"0.00%"))</x:f>
        <x:v>0.01%～1.76%</x:v>
      </x:c>
      <x:c r="Y18" s="19" t="str">
        <x:f>MIN('逐日期数据'!D131:D136)&amp;"～"&amp;MAX('逐日期数据'!D131:D136)</x:f>
        <x:v>2～2</x:v>
      </x:c>
      <x:c r="Z18" s="19" t="str">
        <x:v>FRAME_GUARD</x:v>
      </x:c>
      <x:c r="AA18" s="19" t="str">
        <x:v>质量/成本以冻结FULL为参照；速度方向为本行方法相对同批参照</x:v>
      </x:c>
      <x:c r="AB18" s="19" t="str">
        <x:v>GRID86 / per_date.csv</x:v>
      </x:c>
    </x:row>
    <x:row r="19" ht="54" customHeight="1">
      <x:c r="A19" s="19" t="str">
        <x:v>GRID86</x:v>
      </x:c>
      <x:c r="B19" s="19" t="str">
        <x:v>FIXED_256</x:v>
      </x:c>
      <x:c r="C19" s="19" t="n">
        <x:f>ROWS('逐日期数据'!A119:A124)</x:f>
        <x:v>6</x:v>
      </x:c>
      <x:c r="D19" s="19" t="str">
        <x:f>SUM('逐日期数据'!F119:F124)&amp;"/"&amp;C19</x:f>
        <x:v>6/6</x:v>
      </x:c>
      <x:c r="E19" s="19" t="str">
        <x:f>SUM('逐日期数据'!G119:G124)&amp;"/"&amp;C19</x:f>
        <x:v>4/6</x:v>
      </x:c>
      <x:c r="F19" s="19" t="str">
        <x:f>MIN('逐日期数据'!E119:E124)&amp;"–"&amp;MAX('逐日期数据'!E119:E124)</x:f>
        <x:v>519–2017</x:v>
      </x:c>
      <x:c r="G19" s="23" t="n">
        <x:f>IF(COUNT('逐日期数据'!I119:I124)=0,"未测",AVERAGE('逐日期数据'!I119:I124))</x:f>
        <x:v>-0.008411950973177346</x:v>
      </x:c>
      <x:c r="H19" s="23" t="n">
        <x:f>IF(COUNT('逐日期数据'!I119:I124)=0,"未测",MAX('逐日期数据'!I119:I124))</x:f>
        <x:v>0.0008663102138171119</x:v>
      </x:c>
      <x:c r="I19" s="24" t="n">
        <x:f>SUM('逐日期数据'!J119:J124)</x:f>
        <x:v>7680</x:v>
      </x:c>
      <x:c r="J19" s="26" t="n">
        <x:f>IF(COUNT('逐日期数据'!X119:X124)=0,"未测",AVERAGE('逐日期数据'!X119:X124))</x:f>
        <x:v>0.26766253359316255</x:v>
      </x:c>
      <x:c r="K19" s="25" t="n">
        <x:f>IF(COUNT('逐日期数据'!K119:K124)=0,"未测",AVERAGE('逐日期数据'!K119:K124))</x:f>
        <x:v>45.82469335830501</x:v>
      </x:c>
      <x:c r="L19" s="26" t="n">
        <x:f>IF(COUNT('逐日期数据'!Y119:Y124)=0,"未测",AVERAGE('逐日期数据'!Y119:Y124))</x:f>
        <x:v>0.016097115593367406</x:v>
      </x:c>
      <x:c r="M19" s="25" t="n">
        <x:f>IF(OR(COUNT('逐日期数据'!L119:L124)=0,COUNT('逐日期数据'!N119:N124)=0),"未测",AVERAGE('逐日期数据'!L119:L124)+AVERAGE('逐日期数据'!N119:N124))</x:f>
        <x:v>11.162798708305976</x:v>
      </x:c>
      <x:c r="N19" s="25" t="n">
        <x:f>IF(COUNT('逐日期数据'!L119:L124)=0,"未测",AVERAGE('逐日期数据'!L119:L124))</x:f>
        <x:v>10.61282992497945</x:v>
      </x:c>
      <x:c r="O19" s="25" t="n">
        <x:f>IF(COUNT('逐日期数据'!M119:M124)=0,"未测",AVERAGE('逐日期数据'!M119:M124))</x:f>
        <x:v>31.00816765835043</x:v>
      </x:c>
      <x:c r="P19" s="25" t="n">
        <x:f>IF(COUNT('逐日期数据'!N119:N124)=0,"未测",AVERAGE('逐日期数据'!N119:N124))</x:f>
        <x:v>0.5499687833265247</x:v>
      </x:c>
      <x:c r="Q19" s="25" t="n">
        <x:f>IF(COUNT('逐日期数据'!O119:O124)=0,"未测",AVERAGE('逐日期数据'!O119:O124))</x:f>
        <x:v>3.653726991648606</x:v>
      </x:c>
      <x:c r="R19" s="25" t="n">
        <x:f>IF(COUNT('逐日期数据'!P119:P124)=0,"未测",AVERAGE('逐日期数据'!P119:P124)*1000)</x:f>
        <x:v>31.165637916698557</x:v>
      </x:c>
      <x:c r="S19" s="25" t="n">
        <x:f>IF(COUNT('逐日期数据'!Q119:Q124)=0,"未测",AVERAGE('逐日期数据'!Q119:Q124)*1000)</x:f>
        <x:v>783.3726696670261</x:v>
      </x:c>
      <x:c r="T19" s="25" t="n">
        <x:f>IF(COUNT('逐日期数据'!R119:R124)=0,"未测",AVERAGE('逐日期数据'!R119:R124)*1000)</x:f>
        <x:v>2465.268167999748</x:v>
      </x:c>
      <x:c r="U19" s="25" t="str">
        <x:f>IF(COUNT('逐日期数据'!S119:S124)=0,"未测",AVERAGE('逐日期数据'!S119:S124)*1000)</x:f>
        <x:v>未测</x:v>
      </x:c>
      <x:c r="V19" s="26" t="n">
        <x:f>IF(COUNT('逐日期数据'!Z119:Z124)=0,"未测",AVERAGE('逐日期数据'!Z119:Z124))</x:f>
        <x:v>0.005878471749891516</x:v>
      </x:c>
      <x:c r="W19" s="26" t="n">
        <x:f>IF(COUNT('逐日期数据'!AA119:AA124)=0,"未测",AVERAGE('逐日期数据'!AA119:AA124))</x:f>
        <x:v>0.17438524454134116</x:v>
      </x:c>
      <x:c r="X19" s="19" t="str">
        <x:f>IF(COUNT('逐日期数据'!AB119:AB124)=0,"单次，未估计",TEXT(MIN('逐日期数据'!AB119:AB124),"0.00%")&amp;"～"&amp;TEXT(MAX('逐日期数据'!AB119:AB124),"0.00%"))</x:f>
        <x:v>0.12%～2.06%</x:v>
      </x:c>
      <x:c r="Y19" s="19" t="str">
        <x:f>MIN('逐日期数据'!D119:D124)&amp;"～"&amp;MAX('逐日期数据'!D119:D124)</x:f>
        <x:v>2～2</x:v>
      </x:c>
      <x:c r="Z19" s="19" t="str">
        <x:v>FRAME_GUARD</x:v>
      </x:c>
      <x:c r="AA19" s="19" t="str">
        <x:v>质量/成本以冻结FULL为参照；速度方向为本行方法相对同批参照</x:v>
      </x:c>
      <x:c r="AB19" s="19" t="str">
        <x:v>GRID86 / per_date.csv</x:v>
      </x:c>
    </x:row>
    <x:row r="20" ht="54" customHeight="1">
      <x:c r="A20" s="19" t="str">
        <x:v>GRID86</x:v>
      </x:c>
      <x:c r="B20" s="19" t="str">
        <x:v>FIXED_512</x:v>
      </x:c>
      <x:c r="C20" s="19" t="n">
        <x:f>ROWS('逐日期数据'!A125:A130)</x:f>
        <x:v>6</x:v>
      </x:c>
      <x:c r="D20" s="19" t="str">
        <x:f>SUM('逐日期数据'!F125:F130)&amp;"/"&amp;C20</x:f>
        <x:v>6/6</x:v>
      </x:c>
      <x:c r="E20" s="19" t="str">
        <x:f>SUM('逐日期数据'!G125:G130)&amp;"/"&amp;C20</x:f>
        <x:v>4/6</x:v>
      </x:c>
      <x:c r="F20" s="19" t="str">
        <x:f>MIN('逐日期数据'!E125:E130)&amp;"–"&amp;MAX('逐日期数据'!E125:E130)</x:f>
        <x:v>519–2017</x:v>
      </x:c>
      <x:c r="G20" s="23" t="n">
        <x:f>IF(COUNT('逐日期数据'!I125:I130)=0,"未测",AVERAGE('逐日期数据'!I125:I130))</x:f>
        <x:v>-0.00009105276135151774</x:v>
      </x:c>
      <x:c r="H20" s="23" t="n">
        <x:f>IF(COUNT('逐日期数据'!I125:I130)=0,"未测",MAX('逐日期数据'!I125:I130))</x:f>
        <x:v>0</x:v>
      </x:c>
      <x:c r="I20" s="24" t="n">
        <x:f>SUM('逐日期数据'!J125:J130)</x:f>
        <x:v>16896</x:v>
      </x:c>
      <x:c r="J20" s="26" t="n">
        <x:f>IF(COUNT('逐日期数据'!X125:X130)=0,"未测",AVERAGE('逐日期数据'!X125:X130))</x:f>
        <x:v>-0.9872846342878461</x:v>
      </x:c>
      <x:c r="K20" s="25" t="n">
        <x:f>IF(COUNT('逐日期数据'!K125:K130)=0,"未测",AVERAGE('逐日期数据'!K125:K130))</x:f>
        <x:v>50.61011312500947</x:v>
      </x:c>
      <x:c r="L20" s="26" t="n">
        <x:f>IF(COUNT('逐日期数据'!Y125:Y130)=0,"未测",AVERAGE('逐日期数据'!Y125:Y130))</x:f>
        <x:v>-0.0853279090662764</x:v>
      </x:c>
      <x:c r="M20" s="25" t="n">
        <x:f>IF(OR(COUNT('逐日期数据'!L125:L130)=0,COUNT('逐日期数据'!N125:N130)=0),"未测",AVERAGE('逐日期数据'!L125:L130)+AVERAGE('逐日期数据'!N125:N130))</x:f>
        <x:v>15.031402508365016</x:v>
      </x:c>
      <x:c r="N20" s="25" t="n">
        <x:f>IF(COUNT('逐日期数据'!L125:L130)=0,"未测",AVERAGE('逐日期数据'!L125:L130))</x:f>
        <x:v>14.485266891694968</x:v>
      </x:c>
      <x:c r="O20" s="25" t="n">
        <x:f>IF(COUNT('逐日期数据'!M125:M130)=0,"未测",AVERAGE('逐日期数据'!M125:M130))</x:f>
        <x:v>31.76867393334942</x:v>
      </x:c>
      <x:c r="P20" s="25" t="n">
        <x:f>IF(COUNT('逐日期数据'!N125:N130)=0,"未测",AVERAGE('逐日期数据'!N125:N130))</x:f>
        <x:v>0.5461356166700474</x:v>
      </x:c>
      <x:c r="Q20" s="25" t="n">
        <x:f>IF(COUNT('逐日期数据'!O125:O130)=0,"未测",AVERAGE('逐日期数据'!O125:O130))</x:f>
        <x:v>3.8100366832950385</x:v>
      </x:c>
      <x:c r="R20" s="25" t="n">
        <x:f>IF(COUNT('逐日期数据'!P125:P130)=0,"未测",AVERAGE('逐日期数据'!P125:P130)*1000)</x:f>
        <x:v>31.320962915833647</x:v>
      </x:c>
      <x:c r="S20" s="25" t="n">
        <x:f>IF(COUNT('逐日期数据'!Q125:Q130)=0,"未测",AVERAGE('逐日期数据'!Q125:Q130)*1000)</x:f>
        <x:v>825.2261680835718</x:v>
      </x:c>
      <x:c r="T20" s="25" t="n">
        <x:f>IF(COUNT('逐日期数据'!R125:R130)=0,"未测",AVERAGE('逐日期数据'!R125:R130)*1000)</x:f>
        <x:v>3046.4438760013936</x:v>
      </x:c>
      <x:c r="U20" s="25" t="str">
        <x:f>IF(COUNT('逐日期数据'!S125:S130)=0,"未测",AVERAGE('逐日期数据'!S125:S130)*1000)</x:f>
        <x:v>未测</x:v>
      </x:c>
      <x:c r="V20" s="26" t="n">
        <x:f>IF(COUNT('逐日期数据'!Z125:Z130)=0,"未测",AVERAGE('逐日期数据'!Z125:Z130))</x:f>
        <x:v>-0.0023774078359621495</x:v>
      </x:c>
      <x:c r="W20" s="26" t="n">
        <x:f>IF(COUNT('逐日期数据'!AA125:AA130)=0,"未测",AVERAGE('逐日期数据'!AA125:AA130))</x:f>
        <x:v>-0.0686472941017215</x:v>
      </x:c>
      <x:c r="X20" s="19" t="str">
        <x:f>IF(COUNT('逐日期数据'!AB125:AB130)=0,"单次，未估计",TEXT(MIN('逐日期数据'!AB125:AB130),"0.00%")&amp;"～"&amp;TEXT(MAX('逐日期数据'!AB125:AB130),"0.00%"))</x:f>
        <x:v>0.04%～1.77%</x:v>
      </x:c>
      <x:c r="Y20" s="19" t="str">
        <x:f>MIN('逐日期数据'!D125:D130)&amp;"～"&amp;MAX('逐日期数据'!D125:D130)</x:f>
        <x:v>2～2</x:v>
      </x:c>
      <x:c r="Z20" s="19" t="str">
        <x:v>FRAME_GUARD</x:v>
      </x:c>
      <x:c r="AA20" s="19" t="str">
        <x:v>质量/成本以冻结FULL为参照；速度方向为本行方法相对同批参照</x:v>
      </x:c>
      <x:c r="AB20" s="19" t="str">
        <x:v>GRID86 / per_date.csv</x:v>
      </x:c>
    </x:row>
    <x:row r="21" ht="54" customHeight="1">
      <x:c r="A21" s="19" t="str">
        <x:v>GRID84</x:v>
      </x:c>
      <x:c r="B21" s="19" t="str">
        <x:v>FRAME_GUARD</x:v>
      </x:c>
      <x:c r="C21" s="19" t="n">
        <x:f>ROWS('逐日期数据'!A83:A88)</x:f>
        <x:v>6</x:v>
      </x:c>
      <x:c r="D21" s="19" t="str">
        <x:f>SUM('逐日期数据'!F83:F88)&amp;"/"&amp;C21</x:f>
        <x:v>6/6</x:v>
      </x:c>
      <x:c r="E21" s="19" t="str">
        <x:f>SUM('逐日期数据'!G83:G88)&amp;"/"&amp;C21</x:f>
        <x:v>4/6</x:v>
      </x:c>
      <x:c r="F21" s="19" t="str">
        <x:f>MIN('逐日期数据'!E83:E88)&amp;"–"&amp;MAX('逐日期数据'!E83:E88)</x:f>
        <x:v>519–2017</x:v>
      </x:c>
      <x:c r="G21" s="23" t="n">
        <x:f>IF(COUNT('逐日期数据'!I83:I88)=0,"未测",AVERAGE('逐日期数据'!I83:I88))</x:f>
        <x:v>-0.009191508531551151</x:v>
      </x:c>
      <x:c r="H21" s="23" t="n">
        <x:f>IF(COUNT('逐日期数据'!I83:I88)=0,"未测",MAX('逐日期数据'!I83:I88))</x:f>
        <x:v>0.0008663102138171119</x:v>
      </x:c>
      <x:c r="I21" s="24" t="n">
        <x:f>SUM('逐日期数据'!J83:J88)</x:f>
        <x:v>11526</x:v>
      </x:c>
      <x:c r="J21" s="26" t="n">
        <x:f>IF(COUNT('逐日期数据'!X83:X88)=0,"未测",AVERAGE('逐日期数据'!X83:X88))</x:f>
        <x:v>0</x:v>
      </x:c>
      <x:c r="K21" s="25" t="n">
        <x:f>IF(COUNT('逐日期数据'!K83:K88)=0,"未测",AVERAGE('逐日期数据'!K83:K88))</x:f>
        <x:v>47.414588391669895</x:v>
      </x:c>
      <x:c r="L21" s="26" t="n">
        <x:f>IF(COUNT('逐日期数据'!Y83:Y88)=0,"未测",AVERAGE('逐日期数据'!Y83:Y88))</x:f>
        <x:v>0</x:v>
      </x:c>
      <x:c r="M21" s="25" t="n">
        <x:f>IF(OR(COUNT('逐日期数据'!L83:L88)=0,COUNT('逐日期数据'!N83:N88)=0),"未测",AVERAGE('逐日期数据'!L83:L88)+AVERAGE('逐日期数据'!N83:N88))</x:f>
        <x:v>12.884671708358534</x:v>
      </x:c>
      <x:c r="N21" s="25" t="n">
        <x:f>IF(COUNT('逐日期数据'!L83:L88)=0,"未测",AVERAGE('逐日期数据'!L83:L88))</x:f>
        <x:v>12.286861491661512</x:v>
      </x:c>
      <x:c r="O21" s="25" t="n">
        <x:f>IF(COUNT('逐日期数据'!M83:M88)=0,"未测",AVERAGE('逐日期数据'!M83:M88))</x:f>
        <x:v>30.80855223332249</x:v>
      </x:c>
      <x:c r="P21" s="25" t="n">
        <x:f>IF(COUNT('逐日期数据'!N83:N88)=0,"未测",AVERAGE('逐日期数据'!N83:N88))</x:f>
        <x:v>0.5978102166970226</x:v>
      </x:c>
      <x:c r="Q21" s="25" t="n">
        <x:f>IF(COUNT('逐日期数据'!O83:O88)=0,"未测",AVERAGE('逐日期数据'!O83:O88))</x:f>
        <x:v>3.7213644499888687</x:v>
      </x:c>
      <x:c r="R21" s="25" t="n">
        <x:f>IF(COUNT('逐日期数据'!P83:P88)=0,"未测",AVERAGE('逐日期数据'!P83:P88)*1000)</x:f>
        <x:v>31.490461666180614</x:v>
      </x:c>
      <x:c r="S21" s="25" t="n">
        <x:f>IF(COUNT('逐日期数据'!Q83:Q88)=0,"未测",AVERAGE('逐日期数据'!Q83:Q88)*1000)</x:f>
        <x:v>758.8631487500983</x:v>
      </x:c>
      <x:c r="T21" s="25" t="n">
        <x:f>IF(COUNT('逐日期数据'!R83:R88)=0,"未测",AVERAGE('逐日期数据'!R83:R88)*1000)</x:f>
        <x:v>3054.1027084997754</x:v>
      </x:c>
      <x:c r="U21" s="25" t="n">
        <x:f>IF(COUNT('逐日期数据'!S83:S88)=0,"未测",AVERAGE('逐日期数据'!S83:S88)*1000)</x:f>
        <x:v>3337.0372297000868</x:v>
      </x:c>
      <x:c r="V21" s="26" t="n">
        <x:f>IF(COUNT('逐日期数据'!Z83:Z88)=0,"未测",AVERAGE('逐日期数据'!Z83:Z88))</x:f>
        <x:v>0</x:v>
      </x:c>
      <x:c r="W21" s="26" t="n">
        <x:f>IF(COUNT('逐日期数据'!AA83:AA88)=0,"未测",AVERAGE('逐日期数据'!AA83:AA88))</x:f>
        <x:v>0</x:v>
      </x:c>
      <x:c r="X21" s="19" t="str">
        <x:f>IF(COUNT('逐日期数据'!AB83:AB88)=0,"单次，未估计",TEXT(MIN('逐日期数据'!AB83:AB88),"0.00%")&amp;"～"&amp;TEXT(MAX('逐日期数据'!AB83:AB88),"0.00%"))</x:f>
        <x:v>0.00%～4.14%</x:v>
      </x:c>
      <x:c r="Y21" s="19" t="str">
        <x:f>MIN('逐日期数据'!D83:D88)&amp;"～"&amp;MAX('逐日期数据'!D83:D88)</x:f>
        <x:v>2～2</x:v>
      </x:c>
      <x:c r="Z21" s="19" t="str">
        <x:v>FRAME_GUARD</x:v>
      </x:c>
      <x:c r="AA21" s="19" t="str">
        <x:v>质量/成本以冻结FULL为参照；速度方向为本行方法相对同批参照</x:v>
      </x:c>
      <x:c r="AB21" s="19" t="str">
        <x:v>GRID84 / per_date.csv</x:v>
      </x:c>
    </x:row>
    <x:row r="22" ht="54" customHeight="1">
      <x:c r="A22" s="19" t="str">
        <x:v>GRID84</x:v>
      </x:c>
      <x:c r="B22" s="19" t="str">
        <x:v>META_CONTEXT0</x:v>
      </x:c>
      <x:c r="C22" s="19" t="n">
        <x:f>ROWS('逐日期数据'!A89:A94)</x:f>
        <x:v>6</x:v>
      </x:c>
      <x:c r="D22" s="19" t="str">
        <x:f>SUM('逐日期数据'!F89:F94)&amp;"/"&amp;C22</x:f>
        <x:v>6/6</x:v>
      </x:c>
      <x:c r="E22" s="19" t="str">
        <x:f>SUM('逐日期数据'!G89:G94)&amp;"/"&amp;C22</x:f>
        <x:v>4/6</x:v>
      </x:c>
      <x:c r="F22" s="19" t="str">
        <x:f>MIN('逐日期数据'!E89:E94)&amp;"–"&amp;MAX('逐日期数据'!E89:E94)</x:f>
        <x:v>519–2017</x:v>
      </x:c>
      <x:c r="G22" s="23" t="n">
        <x:f>IF(COUNT('逐日期数据'!I89:I94)=0,"未测",AVERAGE('逐日期数据'!I89:I94))</x:f>
        <x:v>0.001084927348461051</x:v>
      </x:c>
      <x:c r="H22" s="23" t="n">
        <x:f>IF(COUNT('逐日期数据'!I89:I94)=0,"未测",MAX('逐日期数据'!I89:I94))</x:f>
        <x:v>0.0037755148170666164</x:v>
      </x:c>
      <x:c r="I22" s="24" t="n">
        <x:f>SUM('逐日期数据'!J89:J94)</x:f>
        <x:v>16473</x:v>
      </x:c>
      <x:c r="J22" s="26" t="n">
        <x:f>IF(COUNT('逐日期数据'!X89:X94)=0,"未测",AVERAGE('逐日期数据'!X89:X94))</x:f>
        <x:v>-0.8602979466951224</x:v>
      </x:c>
      <x:c r="K22" s="25" t="n">
        <x:f>IF(COUNT('逐日期数据'!K89:K94)=0,"未测",AVERAGE('逐日期数据'!K89:K94))</x:f>
        <x:v>51.2165367416416</x:v>
      </x:c>
      <x:c r="L22" s="26" t="n">
        <x:f>IF(COUNT('逐日期数据'!Y89:Y94)=0,"未测",AVERAGE('逐日期数据'!Y89:Y94))</x:f>
        <x:v>-0.08854789181053095</x:v>
      </x:c>
      <x:c r="M22" s="25" t="n">
        <x:f>IF(OR(COUNT('逐日期数据'!L89:L94)=0,COUNT('逐日期数据'!N89:N94)=0),"未测",AVERAGE('逐日期数据'!L89:L94)+AVERAGE('逐日期数据'!N89:N94))</x:f>
        <x:v>14.982339749986446</x:v>
      </x:c>
      <x:c r="N22" s="25" t="n">
        <x:f>IF(COUNT('逐日期数据'!L89:L94)=0,"未测",AVERAGE('逐日期数据'!L89:L94))</x:f>
        <x:v>14.348659508366836</x:v>
      </x:c>
      <x:c r="O22" s="25" t="n">
        <x:f>IF(COUNT('逐日期数据'!M89:M94)=0,"未测",AVERAGE('逐日期数据'!M89:M94))</x:f>
        <x:v>32.39939938332524</x:v>
      </x:c>
      <x:c r="P22" s="25" t="n">
        <x:f>IF(COUNT('逐日期数据'!N89:N94)=0,"未测",AVERAGE('逐日期数据'!N89:N94))</x:f>
        <x:v>0.6336802416196102</x:v>
      </x:c>
      <x:c r="Q22" s="25" t="n">
        <x:f>IF(COUNT('逐日期数据'!O89:O94)=0,"未测",AVERAGE('逐日期数据'!O89:O94))</x:f>
        <x:v>3.8347976083299122</x:v>
      </x:c>
      <x:c r="R22" s="25" t="n">
        <x:f>IF(COUNT('逐日期数据'!P89:P94)=0,"未测",AVERAGE('逐日期数据'!P89:P94)*1000)</x:f>
        <x:v>31.28536125048715</x:v>
      </x:c>
      <x:c r="S22" s="25" t="n">
        <x:f>IF(COUNT('逐日期数据'!Q89:Q94)=0,"未测",AVERAGE('逐日期数据'!Q89:Q94)*1000)</x:f>
        <x:v>828.9954998329416</x:v>
      </x:c>
      <x:c r="T22" s="25" t="n">
        <x:f>IF(COUNT('逐日期数据'!R89:R94)=0,"未测",AVERAGE('逐日期数据'!R89:R94)*1000)</x:f>
        <x:v>3407.345132500268</x:v>
      </x:c>
      <x:c r="U22" s="25" t="n">
        <x:f>IF(COUNT('逐日期数据'!S89:S94)=0,"未测",AVERAGE('逐日期数据'!S89:S94)*1000)</x:f>
        <x:v>3556.7431145003507</x:v>
      </x:c>
      <x:c r="V22" s="26" t="n">
        <x:f>IF(COUNT('逐日期数据'!Z89:Z94)=0,"未测",AVERAGE('逐日期数据'!Z89:Z94))</x:f>
        <x:v>0.002664794904572313</x:v>
      </x:c>
      <x:c r="W22" s="26" t="n">
        <x:f>IF(COUNT('逐日期数据'!AA89:AA94)=0,"未测",AVERAGE('逐日期数据'!AA89:AA94))</x:f>
        <x:v>-0.2437444304463769</x:v>
      </x:c>
      <x:c r="X22" s="19" t="str">
        <x:f>IF(COUNT('逐日期数据'!AB89:AB94)=0,"单次，未估计",TEXT(MIN('逐日期数据'!AB89:AB94),"0.00%")&amp;"～"&amp;TEXT(MAX('逐日期数据'!AB89:AB94),"0.00%"))</x:f>
        <x:v>0.77%～5.51%</x:v>
      </x:c>
      <x:c r="Y22" s="19" t="str">
        <x:f>MIN('逐日期数据'!D89:D94)&amp;"～"&amp;MAX('逐日期数据'!D89:D94)</x:f>
        <x:v>2～2</x:v>
      </x:c>
      <x:c r="Z22" s="19" t="str">
        <x:v>FRAME_GUARD</x:v>
      </x:c>
      <x:c r="AA22" s="19" t="str">
        <x:v>质量/成本以冻结FULL为参照；速度方向为本行方法相对同批参照</x:v>
      </x:c>
      <x:c r="AB22" s="19" t="str">
        <x:v>GRID84 / per_date.csv</x:v>
      </x:c>
    </x:row>
    <x:row r="23" ht="54" customHeight="1">
      <x:c r="A23" s="19" t="str">
        <x:v>GRID84</x:v>
      </x:c>
      <x:c r="B23" s="19" t="str">
        <x:v>META_CONTEXT1</x:v>
      </x:c>
      <x:c r="C23" s="19" t="n">
        <x:f>ROWS('逐日期数据'!A95:A100)</x:f>
        <x:v>6</x:v>
      </x:c>
      <x:c r="D23" s="19" t="str">
        <x:f>SUM('逐日期数据'!F95:F100)&amp;"/"&amp;C23</x:f>
        <x:v>6/6</x:v>
      </x:c>
      <x:c r="E23" s="19" t="str">
        <x:f>SUM('逐日期数据'!G95:G100)&amp;"/"&amp;C23</x:f>
        <x:v>4/6</x:v>
      </x:c>
      <x:c r="F23" s="19" t="str">
        <x:f>MIN('逐日期数据'!E95:E100)&amp;"–"&amp;MAX('逐日期数据'!E95:E100)</x:f>
        <x:v>519–2017</x:v>
      </x:c>
      <x:c r="G23" s="23" t="n">
        <x:f>IF(COUNT('逐日期数据'!I95:I100)=0,"未测",AVERAGE('逐日期数据'!I95:I100))</x:f>
        <x:v>-0.009191508531551151</x:v>
      </x:c>
      <x:c r="H23" s="23" t="n">
        <x:f>IF(COUNT('逐日期数据'!I95:I100)=0,"未测",MAX('逐日期数据'!I95:I100))</x:f>
        <x:v>0.0008663102138171119</x:v>
      </x:c>
      <x:c r="I23" s="24" t="n">
        <x:f>SUM('逐日期数据'!J95:J100)</x:f>
        <x:v>11526</x:v>
      </x:c>
      <x:c r="J23" s="26" t="n">
        <x:f>IF(COUNT('逐日期数据'!X95:X100)=0,"未测",AVERAGE('逐日期数据'!X95:X100))</x:f>
        <x:v>0</x:v>
      </x:c>
      <x:c r="K23" s="25" t="n">
        <x:f>IF(COUNT('逐日期数据'!K95:K100)=0,"未测",AVERAGE('逐日期数据'!K95:K100))</x:f>
        <x:v>47.87051281668573</x:v>
      </x:c>
      <x:c r="L23" s="26" t="n">
        <x:f>IF(COUNT('逐日期数据'!Y95:Y100)=0,"未测",AVERAGE('逐日期数据'!Y95:Y100))</x:f>
        <x:v>-0.009719840911275701</x:v>
      </x:c>
      <x:c r="M23" s="25" t="n">
        <x:f>IF(OR(COUNT('逐日期数据'!L95:L100)=0,COUNT('逐日期数据'!N95:N100)=0),"未测",AVERAGE('逐日期数据'!L95:L100)+AVERAGE('逐日期数据'!N95:N100))</x:f>
        <x:v>12.854584666634462</x:v>
      </x:c>
      <x:c r="N23" s="25" t="n">
        <x:f>IF(COUNT('逐日期数据'!L95:L100)=0,"未测",AVERAGE('逐日期数据'!L95:L100))</x:f>
        <x:v>12.322550958322912</x:v>
      </x:c>
      <x:c r="O23" s="25" t="n">
        <x:f>IF(COUNT('逐日期数据'!M95:M100)=0,"未测",AVERAGE('逐日期数据'!M95:M100))</x:f>
        <x:v>31.25433104167526</x:v>
      </x:c>
      <x:c r="P23" s="25" t="n">
        <x:f>IF(COUNT('逐日期数据'!N95:N100)=0,"未测",AVERAGE('逐日期数据'!N95:N100))</x:f>
        <x:v>0.5320337083115495</x:v>
      </x:c>
      <x:c r="Q23" s="25" t="n">
        <x:f>IF(COUNT('逐日期数据'!O95:O100)=0,"未测",AVERAGE('逐日期数据'!O95:O100))</x:f>
        <x:v>3.7615971083760087</x:v>
      </x:c>
      <x:c r="R23" s="25" t="n">
        <x:f>IF(COUNT('逐日期数据'!P95:P100)=0,"未测",AVERAGE('逐日期数据'!P95:P100)*1000)</x:f>
        <x:v>31.61319958289821</x:v>
      </x:c>
      <x:c r="S23" s="25" t="n">
        <x:f>IF(COUNT('逐日期数据'!Q95:Q100)=0,"未测",AVERAGE('逐日期数据'!Q95:Q100)*1000)</x:f>
        <x:v>739.8126885836217</x:v>
      </x:c>
      <x:c r="T23" s="25" t="n">
        <x:f>IF(COUNT('逐日期数据'!R95:R100)=0,"未测",AVERAGE('逐日期数据'!R95:R100)*1000)</x:f>
        <x:v>3097.488903000666</x:v>
      </x:c>
      <x:c r="U23" s="25" t="n">
        <x:f>IF(COUNT('逐日期数据'!S95:S100)=0,"未测",AVERAGE('逐日期数据'!S95:S100)*1000)</x:f>
        <x:v>3416.54070860058</x:v>
      </x:c>
      <x:c r="V23" s="26" t="n">
        <x:f>IF(COUNT('逐日期数据'!Z95:Z100)=0,"未测",AVERAGE('逐日期数据'!Z95:Z100))</x:f>
        <x:v>-0.0045477303717999336</x:v>
      </x:c>
      <x:c r="W23" s="26" t="n">
        <x:f>IF(COUNT('逐日期数据'!AA95:AA100)=0,"未测",AVERAGE('逐日期数据'!AA95:AA100))</x:f>
        <x:v>-0.018760762290910015</x:v>
      </x:c>
      <x:c r="X23" s="19" t="str">
        <x:f>IF(COUNT('逐日期数据'!AB95:AB100)=0,"单次，未估计",TEXT(MIN('逐日期数据'!AB95:AB100),"0.00%")&amp;"～"&amp;TEXT(MAX('逐日期数据'!AB95:AB100),"0.00%"))</x:f>
        <x:v>0.19%～4.87%</x:v>
      </x:c>
      <x:c r="Y23" s="19" t="str">
        <x:f>MIN('逐日期数据'!D95:D100)&amp;"～"&amp;MAX('逐日期数据'!D95:D100)</x:f>
        <x:v>2～2</x:v>
      </x:c>
      <x:c r="Z23" s="19" t="str">
        <x:v>FRAME_GUARD</x:v>
      </x:c>
      <x:c r="AA23" s="19" t="str">
        <x:v>质量/成本以冻结FULL为参照；速度方向为本行方法相对同批参照</x:v>
      </x:c>
      <x:c r="AB23" s="19" t="str">
        <x:v>GRID84 / per_date.csv</x:v>
      </x:c>
    </x:row>
    <x:row r="24" ht="54" customHeight="1">
      <x:c r="A24" s="19" t="str">
        <x:v>GRID84</x:v>
      </x:c>
      <x:c r="B24" s="19" t="str">
        <x:v>META_CONTEXT2</x:v>
      </x:c>
      <x:c r="C24" s="19" t="n">
        <x:f>ROWS('逐日期数据'!A101:A106)</x:f>
        <x:v>6</x:v>
      </x:c>
      <x:c r="D24" s="19" t="str">
        <x:f>SUM('逐日期数据'!F101:F106)&amp;"/"&amp;C24</x:f>
        <x:v>6/6</x:v>
      </x:c>
      <x:c r="E24" s="19" t="str">
        <x:f>SUM('逐日期数据'!G101:G106)&amp;"/"&amp;C24</x:f>
        <x:v>4/6</x:v>
      </x:c>
      <x:c r="F24" s="19" t="str">
        <x:f>MIN('逐日期数据'!E101:E106)&amp;"–"&amp;MAX('逐日期数据'!E101:E106)</x:f>
        <x:v>519–2017</x:v>
      </x:c>
      <x:c r="G24" s="23" t="n">
        <x:f>IF(COUNT('逐日期数据'!I101:I106)=0,"未测",AVERAGE('逐日期数据'!I101:I106))</x:f>
        <x:v>-0.009191508531551151</x:v>
      </x:c>
      <x:c r="H24" s="23" t="n">
        <x:f>IF(COUNT('逐日期数据'!I101:I106)=0,"未测",MAX('逐日期数据'!I101:I106))</x:f>
        <x:v>0.0008663102138171119</x:v>
      </x:c>
      <x:c r="I24" s="24" t="n">
        <x:f>SUM('逐日期数据'!J101:J106)</x:f>
        <x:v>10872</x:v>
      </x:c>
      <x:c r="J24" s="26" t="n">
        <x:f>IF(COUNT('逐日期数据'!X101:X106)=0,"未测",AVERAGE('逐日期数据'!X101:X106))</x:f>
        <x:v>0.05415449837562725</x:v>
      </x:c>
      <x:c r="K24" s="25" t="n">
        <x:f>IF(COUNT('逐日期数据'!K101:K106)=0,"未测",AVERAGE('逐日期数据'!K101:K106))</x:f>
        <x:v>48.36757410831766</x:v>
      </x:c>
      <x:c r="L24" s="26" t="n">
        <x:f>IF(COUNT('逐日期数据'!Y101:Y106)=0,"未测",AVERAGE('逐日期数据'!Y101:Y106))</x:f>
        <x:v>-0.01685803340079774</x:v>
      </x:c>
      <x:c r="M24" s="25" t="n">
        <x:f>IF(OR(COUNT('逐日期数据'!L101:L106)=0,COUNT('逐日期数据'!N101:N106)=0),"未测",AVERAGE('逐日期数据'!L101:L106)+AVERAGE('逐日期数据'!N101:N106))</x:f>
        <x:v>12.661346108350699</x:v>
      </x:c>
      <x:c r="N24" s="25" t="n">
        <x:f>IF(COUNT('逐日期数据'!L101:L106)=0,"未测",AVERAGE('逐日期数据'!L101:L106))</x:f>
        <x:v>12.104341250004532</x:v>
      </x:c>
      <x:c r="O24" s="25" t="n">
        <x:f>IF(COUNT('逐日期数据'!M101:M106)=0,"未测",AVERAGE('逐日期数据'!M101:M106))</x:f>
        <x:v>31.905475258334263</x:v>
      </x:c>
      <x:c r="P24" s="25" t="n">
        <x:f>IF(COUNT('逐日期数据'!N101:N106)=0,"未测",AVERAGE('逐日期数据'!N101:N106))</x:f>
        <x:v>0.5570048583461661</x:v>
      </x:c>
      <x:c r="Q24" s="25" t="n">
        <x:f>IF(COUNT('逐日期数据'!O101:O106)=0,"未测",AVERAGE('逐日期数据'!O101:O106))</x:f>
        <x:v>3.8007527416327016</x:v>
      </x:c>
      <x:c r="R24" s="25" t="n">
        <x:f>IF(COUNT('逐日期数据'!P101:P106)=0,"未测",AVERAGE('逐日期数据'!P101:P106)*1000)</x:f>
        <x:v>32.12279749945989</x:v>
      </x:c>
      <x:c r="S24" s="25" t="n">
        <x:f>IF(COUNT('逐日期数据'!Q101:Q106)=0,"未测",AVERAGE('逐日期数据'!Q101:Q106)*1000)</x:f>
        <x:v>742.1502641664968</x:v>
      </x:c>
      <x:c r="T24" s="25" t="n">
        <x:f>IF(COUNT('逐日期数据'!R101:R106)=0,"未测",AVERAGE('逐日期数据'!R101:R106)*1000)</x:f>
        <x:v>2981.8050219995885</x:v>
      </x:c>
      <x:c r="U24" s="25" t="n">
        <x:f>IF(COUNT('逐日期数据'!S101:S106)=0,"未测",AVERAGE('逐日期数据'!S101:S106)*1000)</x:f>
        <x:v>3159.812604399598</x:v>
      </x:c>
      <x:c r="V24" s="26" t="n">
        <x:f>IF(COUNT('逐日期数据'!Z101:Z106)=0,"未测",AVERAGE('逐日期数据'!Z101:Z106))</x:f>
        <x:v>-0.019009946611633244</x:v>
      </x:c>
      <x:c r="W24" s="26" t="n">
        <x:f>IF(COUNT('逐日期数据'!AA101:AA106)=0,"未测",AVERAGE('逐日期数据'!AA101:AA106))</x:f>
        <x:v>0.01605502732655715</x:v>
      </x:c>
      <x:c r="X24" s="19" t="str">
        <x:f>IF(COUNT('逐日期数据'!AB101:AB106)=0,"单次，未估计",TEXT(MIN('逐日期数据'!AB101:AB106),"0.00%")&amp;"～"&amp;TEXT(MAX('逐日期数据'!AB101:AB106),"0.00%"))</x:f>
        <x:v>0.51%～11.58%</x:v>
      </x:c>
      <x:c r="Y24" s="19" t="str">
        <x:f>MIN('逐日期数据'!D101:D106)&amp;"～"&amp;MAX('逐日期数据'!D101:D106)</x:f>
        <x:v>2～2</x:v>
      </x:c>
      <x:c r="Z24" s="19" t="str">
        <x:v>FRAME_GUARD</x:v>
      </x:c>
      <x:c r="AA24" s="19" t="str">
        <x:v>质量/成本以冻结FULL为参照；速度方向为本行方法相对同批参照</x:v>
      </x:c>
      <x:c r="AB24" s="19" t="str">
        <x:v>GRID84 / per_date.csv</x:v>
      </x:c>
    </x:row>
    <x:row r="25" ht="54" customHeight="1">
      <x:c r="A25" s="19" t="str">
        <x:v>GRID84</x:v>
      </x:c>
      <x:c r="B25" s="19" t="str">
        <x:v>META_CONTEXT3</x:v>
      </x:c>
      <x:c r="C25" s="19" t="n">
        <x:f>ROWS('逐日期数据'!A107:A112)</x:f>
        <x:v>6</x:v>
      </x:c>
      <x:c r="D25" s="19" t="str">
        <x:f>SUM('逐日期数据'!F107:F112)&amp;"/"&amp;C25</x:f>
        <x:v>6/6</x:v>
      </x:c>
      <x:c r="E25" s="19" t="str">
        <x:f>SUM('逐日期数据'!G107:G112)&amp;"/"&amp;C25</x:f>
        <x:v>4/6</x:v>
      </x:c>
      <x:c r="F25" s="19" t="str">
        <x:f>MIN('逐日期数据'!E107:E112)&amp;"–"&amp;MAX('逐日期数据'!E107:E112)</x:f>
        <x:v>519–2017</x:v>
      </x:c>
      <x:c r="G25" s="23" t="n">
        <x:f>IF(COUNT('逐日期数据'!I107:I112)=0,"未测",AVERAGE('逐日期数据'!I107:I112))</x:f>
        <x:v>-0.005527500353726539</x:v>
      </x:c>
      <x:c r="H25" s="23" t="n">
        <x:f>IF(COUNT('逐日期数据'!I107:I112)=0,"未测",MAX('逐日期数据'!I107:I112))</x:f>
        <x:v>0.0037755148170666164</x:v>
      </x:c>
      <x:c r="I25" s="24" t="n">
        <x:f>SUM('逐日期数据'!J107:J112)</x:f>
        <x:v>11545</x:v>
      </x:c>
      <x:c r="J25" s="26" t="n">
        <x:f>IF(COUNT('逐日期数据'!X107:X112)=0,"未测",AVERAGE('逐日期数据'!X107:X112))</x:f>
        <x:v>-0.08356101250653207</x:v>
      </x:c>
      <x:c r="K25" s="25" t="n">
        <x:f>IF(COUNT('逐日期数据'!K107:K112)=0,"未测",AVERAGE('逐日期数据'!K107:K112))</x:f>
        <x:v>47.89401782499317</x:v>
      </x:c>
      <x:c r="L25" s="26" t="n">
        <x:f>IF(COUNT('逐日期数据'!Y107:Y112)=0,"未测",AVERAGE('逐日期数据'!Y107:Y112))</x:f>
        <x:v>-0.01663934065812765</x:v>
      </x:c>
      <x:c r="M25" s="25" t="n">
        <x:f>IF(OR(COUNT('逐日期数据'!L107:L112)=0,COUNT('逐日期数据'!N107:N112)=0),"未测",AVERAGE('逐日期数据'!L107:L112)+AVERAGE('逐日期数据'!N107:N112))</x:f>
        <x:v>12.661357616690719</x:v>
      </x:c>
      <x:c r="N25" s="25" t="n">
        <x:f>IF(COUNT('逐日期数据'!L107:L112)=0,"未测",AVERAGE('逐日期数据'!L107:L112))</x:f>
        <x:v>12.066116758333314</x:v>
      </x:c>
      <x:c r="O25" s="25" t="n">
        <x:f>IF(COUNT('逐日期数据'!M107:M112)=0,"未测",AVERAGE('逐日期数据'!M107:M112))</x:f>
        <x:v>31.523225391682292</x:v>
      </x:c>
      <x:c r="P25" s="25" t="n">
        <x:f>IF(COUNT('逐日期数据'!N107:N112)=0,"未测",AVERAGE('逐日期数据'!N107:N112))</x:f>
        <x:v>0.5952408583574046</x:v>
      </x:c>
      <x:c r="Q25" s="25" t="n">
        <x:f>IF(COUNT('逐日期数据'!O107:O112)=0,"未测",AVERAGE('逐日期数据'!O107:O112))</x:f>
        <x:v>3.70943481662016</x:v>
      </x:c>
      <x:c r="R25" s="25" t="n">
        <x:f>IF(COUNT('逐日期数据'!P107:P112)=0,"未测",AVERAGE('逐日期数据'!P107:P112)*1000)</x:f>
        <x:v>30.587346250528437</x:v>
      </x:c>
      <x:c r="S25" s="25" t="n">
        <x:f>IF(COUNT('逐日期数据'!Q107:Q112)=0,"未测",AVERAGE('逐日期数据'!Q107:Q112)*1000)</x:f>
        <x:v>757.3681119170726</x:v>
      </x:c>
      <x:c r="T25" s="25" t="n">
        <x:f>IF(COUNT('逐日期数据'!R107:R112)=0,"未测",AVERAGE('逐日期数据'!R107:R112)*1000)</x:f>
        <x:v>3334.8794550006273</x:v>
      </x:c>
      <x:c r="U25" s="25" t="n">
        <x:f>IF(COUNT('逐日期数据'!S107:S112)=0,"未测",AVERAGE('逐日期数据'!S107:S112)*1000)</x:f>
        <x:v>3520.4545310008107</x:v>
      </x:c>
      <x:c r="V25" s="26" t="n">
        <x:f>IF(COUNT('逐日期数据'!Z107:Z112)=0,"未测",AVERAGE('逐日期数据'!Z107:Z112))</x:f>
        <x:v>0.027094020964080128</x:v>
      </x:c>
      <x:c r="W25" s="26" t="n">
        <x:f>IF(COUNT('逐日期数据'!AA107:AA112)=0,"未测",AVERAGE('逐日期数据'!AA107:AA112))</x:f>
        <x:v>-0.23406472392501584</x:v>
      </x:c>
      <x:c r="X25" s="19" t="str">
        <x:f>IF(COUNT('逐日期数据'!AB107:AB112)=0,"单次，未估计",TEXT(MIN('逐日期数据'!AB107:AB112),"0.00%")&amp;"～"&amp;TEXT(MAX('逐日期数据'!AB107:AB112),"0.00%"))</x:f>
        <x:v>0.00%～6.78%</x:v>
      </x:c>
      <x:c r="Y25" s="19" t="str">
        <x:f>MIN('逐日期数据'!D107:D112)&amp;"～"&amp;MAX('逐日期数据'!D107:D112)</x:f>
        <x:v>2～2</x:v>
      </x:c>
      <x:c r="Z25" s="19" t="str">
        <x:v>FRAME_GUARD</x:v>
      </x:c>
      <x:c r="AA25" s="19" t="str">
        <x:v>质量/成本以冻结FULL为参照；速度方向为本行方法相对同批参照</x:v>
      </x:c>
      <x:c r="AB25" s="19" t="str">
        <x:v>GRID84 / per_date.csv</x:v>
      </x:c>
    </x:row>
    <x:row r="26" ht="54" customHeight="1">
      <x:c r="A26" s="19" t="str">
        <x:v>GRID84</x:v>
      </x:c>
      <x:c r="B26" s="19" t="str">
        <x:v>META_CONTEXT4</x:v>
      </x:c>
      <x:c r="C26" s="19" t="n">
        <x:f>ROWS('逐日期数据'!A113:A118)</x:f>
        <x:v>6</x:v>
      </x:c>
      <x:c r="D26" s="19" t="str">
        <x:f>SUM('逐日期数据'!F113:F118)&amp;"/"&amp;C26</x:f>
        <x:v>6/6</x:v>
      </x:c>
      <x:c r="E26" s="19" t="str">
        <x:f>SUM('逐日期数据'!G113:G118)&amp;"/"&amp;C26</x:f>
        <x:v>4/6</x:v>
      </x:c>
      <x:c r="F26" s="19" t="str">
        <x:f>MIN('逐日期数据'!E113:E118)&amp;"–"&amp;MAX('逐日期数据'!E113:E118)</x:f>
        <x:v>519–2017</x:v>
      </x:c>
      <x:c r="G26" s="23" t="n">
        <x:f>IF(COUNT('逐日期数据'!I113:I118)=0,"未测",AVERAGE('逐日期数据'!I113:I118))</x:f>
        <x:v>-0.007512389159788857</x:v>
      </x:c>
      <x:c r="H26" s="23" t="n">
        <x:f>IF(COUNT('逐日期数据'!I113:I118)=0,"未测",MAX('逐日期数据'!I113:I118))</x:f>
        <x:v>0.0008663102138171119</x:v>
      </x:c>
      <x:c r="I26" s="24" t="n">
        <x:f>SUM('逐日期数据'!J113:J118)</x:f>
        <x:v>9241</x:v>
      </x:c>
      <x:c r="J26" s="26" t="n">
        <x:f>IF(COUNT('逐日期数据'!X113:X118)=0,"未测",AVERAGE('逐日期数据'!X113:X118))</x:f>
        <x:v>0.3042180357580529</x:v>
      </x:c>
      <x:c r="K26" s="25" t="n">
        <x:f>IF(COUNT('逐日期数据'!K113:K118)=0,"未测",AVERAGE('逐日期数据'!K113:K118))</x:f>
        <x:v>47.05923458332563</x:v>
      </x:c>
      <x:c r="L26" s="26" t="n">
        <x:f>IF(COUNT('逐日期数据'!Y113:Y118)=0,"未测",AVERAGE('逐日期数据'!Y113:Y118))</x:f>
        <x:v>0.0022027561556079434</x:v>
      </x:c>
      <x:c r="M26" s="25" t="n">
        <x:f>IF(OR(COUNT('逐日期数据'!L113:L118)=0,COUNT('逐日期数据'!N113:N118)=0),"未测",AVERAGE('逐日期数据'!L113:L118)+AVERAGE('逐日期数据'!N113:N118))</x:f>
        <x:v>11.79311355834246</x:v>
      </x:c>
      <x:c r="N26" s="25" t="n">
        <x:f>IF(COUNT('逐日期数据'!L113:L118)=0,"未测",AVERAGE('逐日期数据'!L113:L118))</x:f>
        <x:v>11.25134665835958</x:v>
      </x:c>
      <x:c r="O26" s="25" t="n">
        <x:f>IF(COUNT('逐日期数据'!M113:M118)=0,"未测",AVERAGE('逐日期数据'!M113:M118))</x:f>
        <x:v>31.556223533332133</x:v>
      </x:c>
      <x:c r="P26" s="25" t="n">
        <x:f>IF(COUNT('逐日期数据'!N113:N118)=0,"未测",AVERAGE('逐日期数据'!N113:N118))</x:f>
        <x:v>0.5417668999828796</x:v>
      </x:c>
      <x:c r="Q26" s="25" t="n">
        <x:f>IF(COUNT('逐日期数据'!O113:O118)=0,"未测",AVERAGE('逐日期数据'!O113:O118))</x:f>
        <x:v>3.709897491651039</x:v>
      </x:c>
      <x:c r="R26" s="25" t="n">
        <x:f>IF(COUNT('逐日期数据'!P113:P118)=0,"未测",AVERAGE('逐日期数据'!P113:P118)*1000)</x:f>
        <x:v>31.38988125015202</x:v>
      </x:c>
      <x:c r="S26" s="25" t="n">
        <x:f>IF(COUNT('逐日期数据'!Q113:Q118)=0,"未测",AVERAGE('逐日期数据'!Q113:Q118)*1000)</x:f>
        <x:v>748.2485556666942</x:v>
      </x:c>
      <x:c r="T26" s="25" t="n">
        <x:f>IF(COUNT('逐日期数据'!R113:R118)=0,"未测",AVERAGE('逐日期数据'!R113:R118)*1000)</x:f>
        <x:v>2612.044681999377</x:v>
      </x:c>
      <x:c r="U26" s="25" t="n">
        <x:f>IF(COUNT('逐日期数据'!S113:S118)=0,"未测",AVERAGE('逐日期数据'!S113:S118)*1000)</x:f>
        <x:v>2846.470640399344</x:v>
      </x:c>
      <x:c r="V26" s="26" t="n">
        <x:f>IF(COUNT('逐日期数据'!Z113:Z118)=0,"未测",AVERAGE('逐日期数据'!Z113:Z118))</x:f>
        <x:v>0.002540072977022819</x:v>
      </x:c>
      <x:c r="W26" s="26" t="n">
        <x:f>IF(COUNT('逐日期数据'!AA113:AA118)=0,"未测",AVERAGE('逐日期数据'!AA113:AA118))</x:f>
        <x:v>0.15752314390945998</x:v>
      </x:c>
      <x:c r="X26" s="19" t="str">
        <x:f>IF(COUNT('逐日期数据'!AB113:AB118)=0,"单次，未估计",TEXT(MIN('逐日期数据'!AB113:AB118),"0.00%")&amp;"～"&amp;TEXT(MAX('逐日期数据'!AB113:AB118),"0.00%"))</x:f>
        <x:v>0.04%～4.56%</x:v>
      </x:c>
      <x:c r="Y26" s="19" t="str">
        <x:f>MIN('逐日期数据'!D113:D118)&amp;"～"&amp;MAX('逐日期数据'!D113:D118)</x:f>
        <x:v>2～2</x:v>
      </x:c>
      <x:c r="Z26" s="19" t="str">
        <x:v>FRAME_GUARD</x:v>
      </x:c>
      <x:c r="AA26" s="19" t="str">
        <x:v>质量/成本以冻结FULL为参照；速度方向为本行方法相对同批参照</x:v>
      </x:c>
      <x:c r="AB26" s="19" t="str">
        <x:v>GRID84 / per_date.csv</x:v>
      </x:c>
    </x:row>
    <x:row r="27" ht="54" customHeight="1">
      <x:c r="A27" s="19" t="str">
        <x:v>GRID89 META费用</x:v>
      </x:c>
      <x:c r="B27" s="19" t="str">
        <x:v>FRAME_GUARD</x:v>
      </x:c>
      <x:c r="C27" s="19" t="n">
        <x:f>ROWS('逐日期数据'!A163:A168)</x:f>
        <x:v>6</x:v>
      </x:c>
      <x:c r="D27" s="19" t="str">
        <x:f>SUM('逐日期数据'!F163:F168)&amp;"/"&amp;C27</x:f>
        <x:v>6/6</x:v>
      </x:c>
      <x:c r="E27" s="19" t="str">
        <x:f>SUM('逐日期数据'!G163:G168)&amp;"/"&amp;C27</x:f>
        <x:v>4/6</x:v>
      </x:c>
      <x:c r="F27" s="19" t="str">
        <x:f>MIN('逐日期数据'!E163:E168)&amp;"–"&amp;MAX('逐日期数据'!E163:E168)</x:f>
        <x:v>519–2017</x:v>
      </x:c>
      <x:c r="G27" s="23" t="n">
        <x:f>IF(COUNT('逐日期数据'!I163:I168)=0,"未测",AVERAGE('逐日期数据'!I163:I168))</x:f>
        <x:v>-0.009191508531551151</x:v>
      </x:c>
      <x:c r="H27" s="23" t="n">
        <x:f>IF(COUNT('逐日期数据'!I163:I168)=0,"未测",MAX('逐日期数据'!I163:I168))</x:f>
        <x:v>0.0008663102138171119</x:v>
      </x:c>
      <x:c r="I27" s="24" t="n">
        <x:f>SUM('逐日期数据'!J163:J168)</x:f>
        <x:v>11526</x:v>
      </x:c>
      <x:c r="J27" s="26" t="n">
        <x:f>IF(COUNT('逐日期数据'!X163:X168)=0,"未测",AVERAGE('逐日期数据'!X163:X168))</x:f>
        <x:v>0</x:v>
      </x:c>
      <x:c r="K27" s="25" t="n">
        <x:f>IF(COUNT('逐日期数据'!K163:K168)=0,"未测",AVERAGE('逐日期数据'!K163:K168))</x:f>
        <x:v>50.86482514999383</x:v>
      </x:c>
      <x:c r="L27" s="26" t="n">
        <x:f>IF(COUNT('逐日期数据'!Y163:Y168)=0,"未测",AVERAGE('逐日期数据'!Y163:Y168))</x:f>
        <x:v>0</x:v>
      </x:c>
      <x:c r="M27" s="25" t="n">
        <x:f>IF(OR(COUNT('逐日期数据'!L163:L168)=0,COUNT('逐日期数据'!N163:N168)=0),"未测",AVERAGE('逐日期数据'!L163:L168)+AVERAGE('逐日期数据'!N163:N168))</x:f>
        <x:v>13.656090083385305</x:v>
      </x:c>
      <x:c r="N27" s="25" t="n">
        <x:f>IF(COUNT('逐日期数据'!L163:L168)=0,"未测",AVERAGE('逐日期数据'!L163:L168))</x:f>
        <x:v>13.044057650034423</x:v>
      </x:c>
      <x:c r="O27" s="25" t="n">
        <x:f>IF(COUNT('逐日期数据'!M163:M168)=0,"未测",AVERAGE('逐日期数据'!M163:M168))</x:f>
        <x:v>33.24618988332804</x:v>
      </x:c>
      <x:c r="P27" s="25" t="n">
        <x:f>IF(COUNT('逐日期数据'!N163:N168)=0,"未测",AVERAGE('逐日期数据'!N163:N168))</x:f>
        <x:v>0.612032433350881</x:v>
      </x:c>
      <x:c r="Q27" s="25" t="n">
        <x:f>IF(COUNT('逐日期数据'!O163:O168)=0,"未测",AVERAGE('逐日期数据'!O163:O168))</x:f>
        <x:v>3.962545183280478</x:v>
      </x:c>
      <x:c r="R27" s="25" t="n">
        <x:f>IF(COUNT('逐日期数据'!P163:P168)=0,"未测",AVERAGE('逐日期数据'!P163:P168)*1000)</x:f>
        <x:v>34.256279166493165</x:v>
      </x:c>
      <x:c r="S27" s="25" t="n">
        <x:f>IF(COUNT('逐日期数据'!Q163:Q168)=0,"未测",AVERAGE('逐日期数据'!Q163:Q168)*1000)</x:f>
        <x:v>825.2836685007616</x:v>
      </x:c>
      <x:c r="T27" s="25" t="n">
        <x:f>IF(COUNT('逐日期数据'!R163:R168)=0,"未测",AVERAGE('逐日期数据'!R163:R168)*1000)</x:f>
        <x:v>3257.156361000015</x:v>
      </x:c>
      <x:c r="U27" s="25" t="n">
        <x:f>IF(COUNT('逐日期数据'!S163:S168)=0,"未测",AVERAGE('逐日期数据'!S163:S168)*1000)</x:f>
        <x:v>3598.8559922001295</x:v>
      </x:c>
      <x:c r="V27" s="26" t="n">
        <x:f>IF(COUNT('逐日期数据'!Z163:Z168)=0,"未测",AVERAGE('逐日期数据'!Z163:Z168))</x:f>
        <x:v>0</x:v>
      </x:c>
      <x:c r="W27" s="26" t="n">
        <x:f>IF(COUNT('逐日期数据'!AA163:AA168)=0,"未测",AVERAGE('逐日期数据'!AA163:AA168))</x:f>
        <x:v>0</x:v>
      </x:c>
      <x:c r="X27" s="19" t="str">
        <x:f>IF(COUNT('逐日期数据'!AB163:AB168)=0,"单次，未估计",TEXT(MIN('逐日期数据'!AB163:AB168),"0.00%")&amp;"～"&amp;TEXT(MAX('逐日期数据'!AB163:AB168),"0.00%"))</x:f>
        <x:v>单次，未估计</x:v>
      </x:c>
      <x:c r="Y27" s="19" t="str">
        <x:f>MIN('逐日期数据'!D163:D168)&amp;"～"&amp;MAX('逐日期数据'!D163:D168)</x:f>
        <x:v>1～1</x:v>
      </x:c>
      <x:c r="Z27" s="19" t="str">
        <x:v>FRAME_GUARD</x:v>
      </x:c>
      <x:c r="AA27" s="19" t="str">
        <x:v>质量/成本以冻结FULL为参照；速度方向为本行方法相对同批参照</x:v>
      </x:c>
      <x:c r="AB27" s="19" t="str">
        <x:v>GRID89 / per_date.csv</x:v>
      </x:c>
    </x:row>
    <x:row r="28" ht="54" customHeight="1">
      <x:c r="A28" s="19" t="str">
        <x:v>GRID89 META费用</x:v>
      </x:c>
      <x:c r="B28" s="19" t="str">
        <x:v>META_COST0_SEED0</x:v>
      </x:c>
      <x:c r="C28" s="19" t="n">
        <x:f>ROWS('逐日期数据'!A169:A174)</x:f>
        <x:v>6</x:v>
      </x:c>
      <x:c r="D28" s="19" t="str">
        <x:f>SUM('逐日期数据'!F169:F174)&amp;"/"&amp;C28</x:f>
        <x:v>6/6</x:v>
      </x:c>
      <x:c r="E28" s="19" t="str">
        <x:f>SUM('逐日期数据'!G169:G174)&amp;"/"&amp;C28</x:f>
        <x:v>4/6</x:v>
      </x:c>
      <x:c r="F28" s="19" t="str">
        <x:f>MIN('逐日期数据'!E169:E174)&amp;"–"&amp;MAX('逐日期数据'!E169:E174)</x:f>
        <x:v>519–2017</x:v>
      </x:c>
      <x:c r="G28" s="23" t="n">
        <x:f>IF(COUNT('逐日期数据'!I169:I174)=0,"未测",AVERAGE('逐日期数据'!I169:I174))</x:f>
        <x:v>0.001084927348461051</x:v>
      </x:c>
      <x:c r="H28" s="23" t="n">
        <x:f>IF(COUNT('逐日期数据'!I169:I174)=0,"未测",MAX('逐日期数据'!I169:I174))</x:f>
        <x:v>0.0037755148170666164</x:v>
      </x:c>
      <x:c r="I28" s="24" t="n">
        <x:f>SUM('逐日期数据'!J169:J174)</x:f>
        <x:v>16473</x:v>
      </x:c>
      <x:c r="J28" s="26" t="n">
        <x:f>IF(COUNT('逐日期数据'!X169:X174)=0,"未测",AVERAGE('逐日期数据'!X169:X174))</x:f>
        <x:v>-0.8602979466951224</x:v>
      </x:c>
      <x:c r="K28" s="25" t="n">
        <x:f>IF(COUNT('逐日期数据'!K169:K174)=0,"未测",AVERAGE('逐日期数据'!K169:K174))</x:f>
        <x:v>54.38441941663647</x:v>
      </x:c>
      <x:c r="L28" s="26" t="n">
        <x:f>IF(COUNT('逐日期数据'!Y169:Y174)=0,"未测",AVERAGE('逐日期数据'!Y169:Y174))</x:f>
        <x:v>-0.07447142542467827</x:v>
      </x:c>
      <x:c r="M28" s="25" t="n">
        <x:f>IF(OR(COUNT('逐日期数据'!L169:L174)=0,COUNT('逐日期数据'!N169:N174)=0),"未测",AVERAGE('逐日期数据'!L169:L174)+AVERAGE('逐日期数据'!N169:N174))</x:f>
        <x:v>16.013198383368337</x:v>
      </x:c>
      <x:c r="N28" s="25" t="n">
        <x:f>IF(COUNT('逐日期数据'!L169:L174)=0,"未测",AVERAGE('逐日期数据'!L169:L174))</x:f>
        <x:v>15.348022883385662</x:v>
      </x:c>
      <x:c r="O28" s="25" t="n">
        <x:f>IF(COUNT('逐日期数据'!M169:M174)=0,"未测",AVERAGE('逐日期数据'!M169:M174))</x:f>
        <x:v>34.239237033346704</x:v>
      </x:c>
      <x:c r="P28" s="25" t="n">
        <x:f>IF(COUNT('逐日期数据'!N169:N174)=0,"未测",AVERAGE('逐日期数据'!N169:N174))</x:f>
        <x:v>0.6651754999826759</x:v>
      </x:c>
      <x:c r="Q28" s="25" t="n">
        <x:f>IF(COUNT('逐日期数据'!O169:O174)=0,"未测",AVERAGE('逐日期数据'!O169:O174))</x:f>
        <x:v>4.131983999921431</x:v>
      </x:c>
      <x:c r="R28" s="25" t="n">
        <x:f>IF(COUNT('逐日期数据'!P169:P174)=0,"未测",AVERAGE('逐日期数据'!P169:P174)*1000)</x:f>
        <x:v>33.642640832719415</x:v>
      </x:c>
      <x:c r="S28" s="25" t="n">
        <x:f>IF(COUNT('逐日期数据'!Q169:Q174)=0,"未测",AVERAGE('逐日期数据'!Q169:Q174)*1000)</x:f>
        <x:v>846.2944586672108</x:v>
      </x:c>
      <x:c r="T28" s="25" t="n">
        <x:f>IF(COUNT('逐日期数据'!R169:R174)=0,"未测",AVERAGE('逐日期数据'!R169:R174)*1000)</x:f>
        <x:v>3578.0011040007953</x:v>
      </x:c>
      <x:c r="U28" s="25" t="n">
        <x:f>IF(COUNT('逐日期数据'!S169:S174)=0,"未测",AVERAGE('逐日期数据'!S169:S174)*1000)</x:f>
        <x:v>3718.638204801143</x:v>
      </x:c>
      <x:c r="V28" s="26" t="n">
        <x:f>IF(COUNT('逐日期数据'!Z169:Z174)=0,"未测",AVERAGE('逐日期数据'!Z169:Z174))</x:f>
        <x:v>0.015114297550582578</x:v>
      </x:c>
      <x:c r="W28" s="26" t="n">
        <x:f>IF(COUNT('逐日期数据'!AA169:AA174)=0,"未测",AVERAGE('逐日期数据'!AA169:AA174))</x:f>
        <x:v>-0.19041702948667902</x:v>
      </x:c>
      <x:c r="X28" s="19" t="str">
        <x:f>IF(COUNT('逐日期数据'!AB169:AB174)=0,"单次，未估计",TEXT(MIN('逐日期数据'!AB169:AB174),"0.00%")&amp;"～"&amp;TEXT(MAX('逐日期数据'!AB169:AB174),"0.00%"))</x:f>
        <x:v>单次，未估计</x:v>
      </x:c>
      <x:c r="Y28" s="19" t="str">
        <x:f>MIN('逐日期数据'!D169:D174)&amp;"～"&amp;MAX('逐日期数据'!D169:D174)</x:f>
        <x:v>1～1</x:v>
      </x:c>
      <x:c r="Z28" s="19" t="str">
        <x:v>FRAME_GUARD</x:v>
      </x:c>
      <x:c r="AA28" s="19" t="str">
        <x:v>质量/成本以冻结FULL为参照；速度方向为本行方法相对同批参照</x:v>
      </x:c>
      <x:c r="AB28" s="19" t="str">
        <x:v>GRID89 / per_date.csv</x:v>
      </x:c>
    </x:row>
    <x:row r="29" ht="54" customHeight="1">
      <x:c r="A29" s="19" t="str">
        <x:v>GRID89 META费用</x:v>
      </x:c>
      <x:c r="B29" s="19" t="str">
        <x:v>META_COST0_SEED1</x:v>
      </x:c>
      <x:c r="C29" s="19" t="n">
        <x:f>ROWS('逐日期数据'!A175:A180)</x:f>
        <x:v>6</x:v>
      </x:c>
      <x:c r="D29" s="19" t="str">
        <x:f>SUM('逐日期数据'!F175:F180)&amp;"/"&amp;C29</x:f>
        <x:v>6/6</x:v>
      </x:c>
      <x:c r="E29" s="19" t="str">
        <x:f>SUM('逐日期数据'!G175:G180)&amp;"/"&amp;C29</x:f>
        <x:v>4/6</x:v>
      </x:c>
      <x:c r="F29" s="19" t="str">
        <x:f>MIN('逐日期数据'!E175:E180)&amp;"–"&amp;MAX('逐日期数据'!E175:E180)</x:f>
        <x:v>519–2017</x:v>
      </x:c>
      <x:c r="G29" s="23" t="n">
        <x:f>IF(COUNT('逐日期数据'!I175:I180)=0,"未测",AVERAGE('逐日期数据'!I175:I180))</x:f>
        <x:v>-0.009191508531551151</x:v>
      </x:c>
      <x:c r="H29" s="23" t="n">
        <x:f>IF(COUNT('逐日期数据'!I175:I180)=0,"未测",MAX('逐日期数据'!I175:I180))</x:f>
        <x:v>0.0008663102138171119</x:v>
      </x:c>
      <x:c r="I29" s="24" t="n">
        <x:f>SUM('逐日期数据'!J175:J180)</x:f>
        <x:v>11526</x:v>
      </x:c>
      <x:c r="J29" s="26" t="n">
        <x:f>IF(COUNT('逐日期数据'!X175:X180)=0,"未测",AVERAGE('逐日期数据'!X175:X180))</x:f>
        <x:v>0</x:v>
      </x:c>
      <x:c r="K29" s="25" t="n">
        <x:f>IF(COUNT('逐日期数据'!K175:K180)=0,"未测",AVERAGE('逐日期数据'!K175:K180))</x:f>
        <x:v>50.79890386668558</x:v>
      </x:c>
      <x:c r="L29" s="26" t="n">
        <x:f>IF(COUNT('逐日期数据'!Y175:Y180)=0,"未测",AVERAGE('逐日期数据'!Y175:Y180))</x:f>
        <x:v>0.0034770333942582923</x:v>
      </x:c>
      <x:c r="M29" s="25" t="n">
        <x:f>IF(OR(COUNT('逐日期数据'!L175:L180)=0,COUNT('逐日期数据'!N175:N180)=0),"未测",AVERAGE('逐日期数据'!L175:L180)+AVERAGE('逐日期数据'!N175:N180))</x:f>
        <x:v>13.69298441668434</x:v>
      </x:c>
      <x:c r="N29" s="25" t="n">
        <x:f>IF(COUNT('逐日期数据'!L175:L180)=0,"未测",AVERAGE('逐日期数据'!L175:L180))</x:f>
        <x:v>13.092880933332708</x:v>
      </x:c>
      <x:c r="O29" s="25" t="n">
        <x:f>IF(COUNT('逐日期数据'!M175:M180)=0,"未测",AVERAGE('逐日期数据'!M175:M180))</x:f>
        <x:v>33.13446551667221</x:v>
      </x:c>
      <x:c r="P29" s="25" t="n">
        <x:f>IF(COUNT('逐日期数据'!N175:N180)=0,"未测",AVERAGE('逐日期数据'!N175:N180))</x:f>
        <x:v>0.6001034833516314</x:v>
      </x:c>
      <x:c r="Q29" s="25" t="n">
        <x:f>IF(COUNT('逐日期数据'!O175:O180)=0,"未测",AVERAGE('逐日期数据'!O175:O180))</x:f>
        <x:v>3.9714539333290304</x:v>
      </x:c>
      <x:c r="R29" s="25" t="n">
        <x:f>IF(COUNT('逐日期数据'!P175:P180)=0,"未测",AVERAGE('逐日期数据'!P175:P180)*1000)</x:f>
        <x:v>33.81732416525361</x:v>
      </x:c>
      <x:c r="S29" s="25" t="n">
        <x:f>IF(COUNT('逐日期数据'!Q175:Q180)=0,"未测",AVERAGE('逐日期数据'!Q175:Q180)*1000)</x:f>
        <x:v>829.4953823334927</x:v>
      </x:c>
      <x:c r="T29" s="25" t="n">
        <x:f>IF(COUNT('逐日期数据'!R175:R180)=0,"未测",AVERAGE('逐日期数据'!R175:R180)*1000)</x:f>
        <x:v>3267.981474000007</x:v>
      </x:c>
      <x:c r="U29" s="25" t="n">
        <x:f>IF(COUNT('逐日期数据'!S175:S180)=0,"未测",AVERAGE('逐日期数据'!S175:S180)*1000)</x:f>
        <x:v>3578.728886799719</x:v>
      </x:c>
      <x:c r="V29" s="26" t="n">
        <x:f>IF(COUNT('逐日期数据'!Z175:Z180)=0,"未测",AVERAGE('逐日期数据'!Z175:Z180))</x:f>
        <x:v>0.011160895737718593</x:v>
      </x:c>
      <x:c r="W29" s="26" t="n">
        <x:f>IF(COUNT('逐日期数据'!AA175:AA180)=0,"未测",AVERAGE('逐日期数据'!AA175:AA180))</x:f>
        <x:v>0.01353803322254834</x:v>
      </x:c>
      <x:c r="X29" s="19" t="str">
        <x:f>IF(COUNT('逐日期数据'!AB175:AB180)=0,"单次，未估计",TEXT(MIN('逐日期数据'!AB175:AB180),"0.00%")&amp;"～"&amp;TEXT(MAX('逐日期数据'!AB175:AB180),"0.00%"))</x:f>
        <x:v>单次，未估计</x:v>
      </x:c>
      <x:c r="Y29" s="19" t="str">
        <x:f>MIN('逐日期数据'!D175:D180)&amp;"～"&amp;MAX('逐日期数据'!D175:D180)</x:f>
        <x:v>1～1</x:v>
      </x:c>
      <x:c r="Z29" s="19" t="str">
        <x:v>FRAME_GUARD</x:v>
      </x:c>
      <x:c r="AA29" s="19" t="str">
        <x:v>质量/成本以冻结FULL为参照；速度方向为本行方法相对同批参照</x:v>
      </x:c>
      <x:c r="AB29" s="19" t="str">
        <x:v>GRID89 / per_date.csv</x:v>
      </x:c>
    </x:row>
    <x:row r="30" ht="54" customHeight="1">
      <x:c r="A30" s="19" t="str">
        <x:v>GRID89 META费用</x:v>
      </x:c>
      <x:c r="B30" s="19" t="str">
        <x:v>META_COST0_SEED2</x:v>
      </x:c>
      <x:c r="C30" s="19" t="n">
        <x:f>ROWS('逐日期数据'!A181:A186)</x:f>
        <x:v>6</x:v>
      </x:c>
      <x:c r="D30" s="19" t="str">
        <x:f>SUM('逐日期数据'!F181:F186)&amp;"/"&amp;C30</x:f>
        <x:v>6/6</x:v>
      </x:c>
      <x:c r="E30" s="19" t="str">
        <x:f>SUM('逐日期数据'!G181:G186)&amp;"/"&amp;C30</x:f>
        <x:v>4/6</x:v>
      </x:c>
      <x:c r="F30" s="19" t="str">
        <x:f>MIN('逐日期数据'!E181:E186)&amp;"–"&amp;MAX('逐日期数据'!E181:E186)</x:f>
        <x:v>519–2017</x:v>
      </x:c>
      <x:c r="G30" s="23" t="n">
        <x:f>IF(COUNT('逐日期数据'!I181:I186)=0,"未测",AVERAGE('逐日期数据'!I181:I186))</x:f>
        <x:v>-0.009191508531551151</x:v>
      </x:c>
      <x:c r="H30" s="23" t="n">
        <x:f>IF(COUNT('逐日期数据'!I181:I186)=0,"未测",MAX('逐日期数据'!I181:I186))</x:f>
        <x:v>0.0008663102138171119</x:v>
      </x:c>
      <x:c r="I30" s="24" t="n">
        <x:f>SUM('逐日期数据'!J181:J186)</x:f>
        <x:v>10872</x:v>
      </x:c>
      <x:c r="J30" s="26" t="n">
        <x:f>IF(COUNT('逐日期数据'!X181:X186)=0,"未测",AVERAGE('逐日期数据'!X181:X186))</x:f>
        <x:v>0.05415449837562725</x:v>
      </x:c>
      <x:c r="K30" s="25" t="n">
        <x:f>IF(COUNT('逐日期数据'!K181:K186)=0,"未测",AVERAGE('逐日期数据'!K181:K186))</x:f>
        <x:v>50.25513436666976</x:v>
      </x:c>
      <x:c r="L30" s="26" t="n">
        <x:f>IF(COUNT('逐日期数据'!Y181:Y186)=0,"未测",AVERAGE('逐日期数据'!Y181:Y186))</x:f>
        <x:v>0.011639219100185505</x:v>
      </x:c>
      <x:c r="M30" s="25" t="n">
        <x:f>IF(OR(COUNT('逐日期数据'!L181:L186)=0,COUNT('逐日期数据'!N181:N186)=0),"未测",AVERAGE('逐日期数据'!L181:L186)+AVERAGE('逐日期数据'!N181:N186))</x:f>
        <x:v>13.398146466744342</x:v>
      </x:c>
      <x:c r="N30" s="25" t="n">
        <x:f>IF(COUNT('逐日期数据'!L181:L186)=0,"未测",AVERAGE('逐日期数据'!L181:L186))</x:f>
        <x:v>12.721179200106539</x:v>
      </x:c>
      <x:c r="O30" s="25" t="n">
        <x:f>IF(COUNT('逐日期数据'!M181:M186)=0,"未测",AVERAGE('逐日期数据'!M181:M186))</x:f>
        <x:v>32.91661550001967</x:v>
      </x:c>
      <x:c r="P30" s="25" t="n">
        <x:f>IF(COUNT('逐日期数据'!N181:N186)=0,"未测",AVERAGE('逐日期数据'!N181:N186))</x:f>
        <x:v>0.6769672666378028</x:v>
      </x:c>
      <x:c r="Q30" s="25" t="n">
        <x:f>IF(COUNT('逐日期数据'!O181:O186)=0,"未测",AVERAGE('逐日期数据'!O181:O186))</x:f>
        <x:v>3.9403723999057547</x:v>
      </x:c>
      <x:c r="R30" s="25" t="n">
        <x:f>IF(COUNT('逐日期数据'!P181:P186)=0,"未测",AVERAGE('逐日期数据'!P181:P186)*1000)</x:f>
        <x:v>33.25647000098494</x:v>
      </x:c>
      <x:c r="S30" s="25" t="n">
        <x:f>IF(COUNT('逐日期数据'!Q181:Q186)=0,"未测",AVERAGE('逐日期数据'!Q181:Q186)*1000)</x:f>
        <x:v>799.217771499579</x:v>
      </x:c>
      <x:c r="T30" s="25" t="n">
        <x:f>IF(COUNT('逐日期数据'!R181:R186)=0,"未测",AVERAGE('逐日期数据'!R181:R186)*1000)</x:f>
        <x:v>3126.0781250002397</x:v>
      </x:c>
      <x:c r="U30" s="25" t="n">
        <x:f>IF(COUNT('逐日期数据'!S181:S186)=0,"未测",AVERAGE('逐日期数据'!S181:S186)*1000)</x:f>
        <x:v>3313.1032410004195</x:v>
      </x:c>
      <x:c r="V30" s="26" t="n">
        <x:f>IF(COUNT('逐日期数据'!Z181:Z186)=0,"未测",AVERAGE('逐日期数据'!Z181:Z186))</x:f>
        <x:v>0.029011567555919365</x:v>
      </x:c>
      <x:c r="W30" s="26" t="n">
        <x:f>IF(COUNT('逐日期数据'!AA181:AA186)=0,"未测",AVERAGE('逐日期数据'!AA181:AA186))</x:f>
        <x:v>0.02952983276801959</x:v>
      </x:c>
      <x:c r="X30" s="19" t="str">
        <x:f>IF(COUNT('逐日期数据'!AB181:AB186)=0,"单次，未估计",TEXT(MIN('逐日期数据'!AB181:AB186),"0.00%")&amp;"～"&amp;TEXT(MAX('逐日期数据'!AB181:AB186),"0.00%"))</x:f>
        <x:v>单次，未估计</x:v>
      </x:c>
      <x:c r="Y30" s="19" t="str">
        <x:f>MIN('逐日期数据'!D181:D186)&amp;"～"&amp;MAX('逐日期数据'!D181:D186)</x:f>
        <x:v>1～1</x:v>
      </x:c>
      <x:c r="Z30" s="19" t="str">
        <x:v>FRAME_GUARD</x:v>
      </x:c>
      <x:c r="AA30" s="19" t="str">
        <x:v>质量/成本以冻结FULL为参照；速度方向为本行方法相对同批参照</x:v>
      </x:c>
      <x:c r="AB30" s="19" t="str">
        <x:v>GRID89 / per_date.csv</x:v>
      </x:c>
    </x:row>
    <x:row r="31" ht="54" customHeight="1">
      <x:c r="A31" s="19" t="str">
        <x:v>GRID89 META费用</x:v>
      </x:c>
      <x:c r="B31" s="19" t="str">
        <x:v>META_COST0_SEED3</x:v>
      </x:c>
      <x:c r="C31" s="19" t="n">
        <x:f>ROWS('逐日期数据'!A187:A192)</x:f>
        <x:v>6</x:v>
      </x:c>
      <x:c r="D31" s="19" t="str">
        <x:f>SUM('逐日期数据'!F187:F192)&amp;"/"&amp;C31</x:f>
        <x:v>6/6</x:v>
      </x:c>
      <x:c r="E31" s="19" t="str">
        <x:f>SUM('逐日期数据'!G187:G192)&amp;"/"&amp;C31</x:f>
        <x:v>4/6</x:v>
      </x:c>
      <x:c r="F31" s="19" t="str">
        <x:f>MIN('逐日期数据'!E187:E192)&amp;"–"&amp;MAX('逐日期数据'!E187:E192)</x:f>
        <x:v>519–2017</x:v>
      </x:c>
      <x:c r="G31" s="23" t="n">
        <x:f>IF(COUNT('逐日期数据'!I187:I192)=0,"未测",AVERAGE('逐日期数据'!I187:I192))</x:f>
        <x:v>-0.005527500353726539</x:v>
      </x:c>
      <x:c r="H31" s="23" t="n">
        <x:f>IF(COUNT('逐日期数据'!I187:I192)=0,"未测",MAX('逐日期数据'!I187:I192))</x:f>
        <x:v>0.0037755148170666164</x:v>
      </x:c>
      <x:c r="I31" s="24" t="n">
        <x:f>SUM('逐日期数据'!J187:J192)</x:f>
        <x:v>11545</x:v>
      </x:c>
      <x:c r="J31" s="26" t="n">
        <x:f>IF(COUNT('逐日期数据'!X187:X192)=0,"未测",AVERAGE('逐日期数据'!X187:X192))</x:f>
        <x:v>-0.08356101250653207</x:v>
      </x:c>
      <x:c r="K31" s="25" t="n">
        <x:f>IF(COUNT('逐日期数据'!K187:K192)=0,"未测",AVERAGE('逐日期数据'!K187:K192))</x:f>
        <x:v>51.459323483369495</x:v>
      </x:c>
      <x:c r="L31" s="26" t="n">
        <x:f>IF(COUNT('逐日期数据'!Y187:Y192)=0,"未测",AVERAGE('逐日期数据'!Y187:Y192))</x:f>
        <x:v>-0.01734073400862916</x:v>
      </x:c>
      <x:c r="M31" s="25" t="n">
        <x:f>IF(OR(COUNT('逐日期数据'!L187:L192)=0,COUNT('逐日期数据'!N187:N192)=0),"未测",AVERAGE('逐日期数据'!L187:L192)+AVERAGE('逐日期数据'!N187:N192))</x:f>
        <x:v>13.657236933408665</x:v>
      </x:c>
      <x:c r="N31" s="25" t="n">
        <x:f>IF(COUNT('逐日期数据'!L187:L192)=0,"未测",AVERAGE('逐日期数据'!L187:L192))</x:f>
        <x:v>13.068754366729385</x:v>
      </x:c>
      <x:c r="O31" s="25" t="n">
        <x:f>IF(COUNT('逐日期数据'!M187:M192)=0,"未测",AVERAGE('逐日期数据'!M187:M192))</x:f>
        <x:v>33.55731421664738</x:v>
      </x:c>
      <x:c r="P31" s="25" t="n">
        <x:f>IF(COUNT('逐日期数据'!N187:N192)=0,"未测",AVERAGE('逐日期数据'!N187:N192))</x:f>
        <x:v>0.5884825666792798</x:v>
      </x:c>
      <x:c r="Q31" s="25" t="n">
        <x:f>IF(COUNT('逐日期数据'!O187:O192)=0,"未测",AVERAGE('逐日期数据'!O187:O192))</x:f>
        <x:v>4.244772333313449</x:v>
      </x:c>
      <x:c r="R31" s="25" t="n">
        <x:f>IF(COUNT('逐日期数据'!P187:P192)=0,"未测",AVERAGE('逐日期数据'!P187:P192)*1000)</x:f>
        <x:v>33.175869999922675</x:v>
      </x:c>
      <x:c r="S31" s="25" t="n">
        <x:f>IF(COUNT('逐日期数据'!Q187:Q192)=0,"未测",AVERAGE('逐日期数据'!Q187:Q192)*1000)</x:f>
        <x:v>797.4778390006735</x:v>
      </x:c>
      <x:c r="T31" s="25" t="n">
        <x:f>IF(COUNT('逐日期数据'!R187:R192)=0,"未测",AVERAGE('逐日期数据'!R187:R192)*1000)</x:f>
        <x:v>3511.8294859994053</x:v>
      </x:c>
      <x:c r="U31" s="25" t="n">
        <x:f>IF(COUNT('逐日期数据'!S187:S192)=0,"未测",AVERAGE('逐日期数据'!S187:S192)*1000)</x:f>
        <x:v>3702.902825199227</x:v>
      </x:c>
      <x:c r="V31" s="26" t="n">
        <x:f>IF(COUNT('逐日期数据'!Z187:Z192)=0,"未测",AVERAGE('逐日期数据'!Z187:Z192))</x:f>
        <x:v>0.02926501558856735</x:v>
      </x:c>
      <x:c r="W31" s="26" t="n">
        <x:f>IF(COUNT('逐日期数据'!AA187:AA192)=0,"未测",AVERAGE('逐日期数据'!AA187:AA192))</x:f>
        <x:v>-0.17768608094018049</x:v>
      </x:c>
      <x:c r="X31" s="19" t="str">
        <x:f>IF(COUNT('逐日期数据'!AB187:AB192)=0,"单次，未估计",TEXT(MIN('逐日期数据'!AB187:AB192),"0.00%")&amp;"～"&amp;TEXT(MAX('逐日期数据'!AB187:AB192),"0.00%"))</x:f>
        <x:v>单次，未估计</x:v>
      </x:c>
      <x:c r="Y31" s="19" t="str">
        <x:f>MIN('逐日期数据'!D187:D192)&amp;"～"&amp;MAX('逐日期数据'!D187:D192)</x:f>
        <x:v>1～1</x:v>
      </x:c>
      <x:c r="Z31" s="19" t="str">
        <x:v>FRAME_GUARD</x:v>
      </x:c>
      <x:c r="AA31" s="19" t="str">
        <x:v>质量/成本以冻结FULL为参照；速度方向为本行方法相对同批参照</x:v>
      </x:c>
      <x:c r="AB31" s="19" t="str">
        <x:v>GRID89 / per_date.csv</x:v>
      </x:c>
    </x:row>
    <x:row r="32" ht="54" customHeight="1">
      <x:c r="A32" s="19" t="str">
        <x:v>GRID89 META费用</x:v>
      </x:c>
      <x:c r="B32" s="19" t="str">
        <x:v>META_COST0_SEED4</x:v>
      </x:c>
      <x:c r="C32" s="19" t="n">
        <x:f>ROWS('逐日期数据'!A193:A198)</x:f>
        <x:v>6</x:v>
      </x:c>
      <x:c r="D32" s="19" t="str">
        <x:f>SUM('逐日期数据'!F193:F198)&amp;"/"&amp;C32</x:f>
        <x:v>6/6</x:v>
      </x:c>
      <x:c r="E32" s="19" t="str">
        <x:f>SUM('逐日期数据'!G193:G198)&amp;"/"&amp;C32</x:f>
        <x:v>4/6</x:v>
      </x:c>
      <x:c r="F32" s="19" t="str">
        <x:f>MIN('逐日期数据'!E193:E198)&amp;"–"&amp;MAX('逐日期数据'!E193:E198)</x:f>
        <x:v>519–2017</x:v>
      </x:c>
      <x:c r="G32" s="23" t="n">
        <x:f>IF(COUNT('逐日期数据'!I193:I198)=0,"未测",AVERAGE('逐日期数据'!I193:I198))</x:f>
        <x:v>-0.007512389159788857</x:v>
      </x:c>
      <x:c r="H32" s="23" t="n">
        <x:f>IF(COUNT('逐日期数据'!I193:I198)=0,"未测",MAX('逐日期数据'!I193:I198))</x:f>
        <x:v>0.0008663102138171119</x:v>
      </x:c>
      <x:c r="I32" s="24" t="n">
        <x:f>SUM('逐日期数据'!J193:J198)</x:f>
        <x:v>9241</x:v>
      </x:c>
      <x:c r="J32" s="26" t="n">
        <x:f>IF(COUNT('逐日期数据'!X193:X198)=0,"未测",AVERAGE('逐日期数据'!X193:X198))</x:f>
        <x:v>0.3042180357580529</x:v>
      </x:c>
      <x:c r="K32" s="25" t="n">
        <x:f>IF(COUNT('逐日期数据'!K193:K198)=0,"未测",AVERAGE('逐日期数据'!K193:K198))</x:f>
        <x:v>50.57964913334217</x:v>
      </x:c>
      <x:c r="L32" s="26" t="n">
        <x:f>IF(COUNT('逐日期数据'!Y193:Y198)=0,"未测",AVERAGE('逐日期数据'!Y193:Y198))</x:f>
        <x:v>0.0031124058655382</x:v>
      </x:c>
      <x:c r="M32" s="25" t="n">
        <x:f>IF(OR(COUNT('逐日期数据'!L193:L198)=0,COUNT('逐日期数据'!N193:N198)=0),"未测",AVERAGE('逐日期数据'!L193:L198)+AVERAGE('逐日期数据'!N193:N198))</x:f>
        <x:v>12.854319866693913</x:v>
      </x:c>
      <x:c r="N32" s="25" t="n">
        <x:f>IF(COUNT('逐日期数据'!L193:L198)=0,"未测",AVERAGE('逐日期数据'!L193:L198))</x:f>
        <x:v>11.98460080000647</x:v>
      </x:c>
      <x:c r="O32" s="25" t="n">
        <x:f>IF(COUNT('逐日期数据'!M193:M198)=0,"未测",AVERAGE('逐日期数据'!M193:M198))</x:f>
        <x:v>33.736602049996996</x:v>
      </x:c>
      <x:c r="P32" s="25" t="n">
        <x:f>IF(COUNT('逐日期数据'!N193:N198)=0,"未测",AVERAGE('逐日期数据'!N193:N198))</x:f>
        <x:v>0.8697190666874425</x:v>
      </x:c>
      <x:c r="Q32" s="25" t="n">
        <x:f>IF(COUNT('逐日期数据'!O193:O198)=0,"未测",AVERAGE('逐日期数据'!O193:O198))</x:f>
        <x:v>3.9887272166512653</x:v>
      </x:c>
      <x:c r="R32" s="25" t="n">
        <x:f>IF(COUNT('逐日期数据'!P193:P198)=0,"未测",AVERAGE('逐日期数据'!P193:P198)*1000)</x:f>
        <x:v>33.79347999986444</x:v>
      </x:c>
      <x:c r="S32" s="25" t="n">
        <x:f>IF(COUNT('逐日期数据'!Q193:Q198)=0,"未测",AVERAGE('逐日期数据'!Q193:Q198)*1000)</x:f>
        <x:v>829.3423748341579</x:v>
      </x:c>
      <x:c r="T32" s="25" t="n">
        <x:f>IF(COUNT('逐日期数据'!R193:R198)=0,"未测",AVERAGE('逐日期数据'!R193:R198)*1000)</x:f>
        <x:v>2846.253393000588</x:v>
      </x:c>
      <x:c r="U32" s="25" t="n">
        <x:f>IF(COUNT('逐日期数据'!S193:S198)=0,"未测",AVERAGE('逐日期数据'!S193:S198)*1000)</x:f>
        <x:v>3101.104310600392</x:v>
      </x:c>
      <x:c r="V32" s="26" t="n">
        <x:f>IF(COUNT('逐日期数据'!Z193:Z198)=0,"未测",AVERAGE('逐日期数据'!Z193:Z198))</x:f>
        <x:v>0.013146498620008848</x:v>
      </x:c>
      <x:c r="W32" s="26" t="n">
        <x:f>IF(COUNT('逐日期数据'!AA193:AA198)=0,"未测",AVERAGE('逐日期数据'!AA193:AA198))</x:f>
        <x:v>0.10919184572662395</x:v>
      </x:c>
      <x:c r="X32" s="19" t="str">
        <x:f>IF(COUNT('逐日期数据'!AB193:AB198)=0,"单次，未估计",TEXT(MIN('逐日期数据'!AB193:AB198),"0.00%")&amp;"～"&amp;TEXT(MAX('逐日期数据'!AB193:AB198),"0.00%"))</x:f>
        <x:v>单次，未估计</x:v>
      </x:c>
      <x:c r="Y32" s="19" t="str">
        <x:f>MIN('逐日期数据'!D193:D198)&amp;"～"&amp;MAX('逐日期数据'!D193:D198)</x:f>
        <x:v>1～1</x:v>
      </x:c>
      <x:c r="Z32" s="19" t="str">
        <x:v>FRAME_GUARD</x:v>
      </x:c>
      <x:c r="AA32" s="19" t="str">
        <x:v>质量/成本以冻结FULL为参照；速度方向为本行方法相对同批参照</x:v>
      </x:c>
      <x:c r="AB32" s="19" t="str">
        <x:v>GRID89 / per_date.csv</x:v>
      </x:c>
    </x:row>
    <x:row r="33" ht="54" customHeight="1">
      <x:c r="A33" s="19" t="str">
        <x:v>GRID89 META费用</x:v>
      </x:c>
      <x:c r="B33" s="19" t="str">
        <x:v>META_COST1_SEED0</x:v>
      </x:c>
      <x:c r="C33" s="19" t="n">
        <x:f>ROWS('逐日期数据'!A199:A204)</x:f>
        <x:v>6</x:v>
      </x:c>
      <x:c r="D33" s="19" t="str">
        <x:f>SUM('逐日期数据'!F199:F204)&amp;"/"&amp;C33</x:f>
        <x:v>5/6</x:v>
      </x:c>
      <x:c r="E33" s="19" t="str">
        <x:f>SUM('逐日期数据'!G199:G204)&amp;"/"&amp;C33</x:f>
        <x:v>4/6</x:v>
      </x:c>
      <x:c r="F33" s="19" t="str">
        <x:f>MIN('逐日期数据'!E199:E204)&amp;"–"&amp;MAX('逐日期数据'!E199:E204)</x:f>
        <x:v>519–2017</x:v>
      </x:c>
      <x:c r="G33" s="23" t="n">
        <x:f>IF(COUNT('逐日期数据'!I199:I204)=0,"未测",AVERAGE('逐日期数据'!I199:I204))</x:f>
        <x:v>-0.004329603774238938</x:v>
      </x:c>
      <x:c r="H33" s="23" t="n">
        <x:f>IF(COUNT('逐日期数据'!I199:I204)=0,"未测",MAX('逐日期数据'!I199:I204))</x:f>
        <x:v>0.01678354792150616</x:v>
      </x:c>
      <x:c r="I33" s="24" t="n">
        <x:f>SUM('逐日期数据'!J199:J204)</x:f>
        <x:v>8735</x:v>
      </x:c>
      <x:c r="J33" s="26" t="n">
        <x:f>IF(COUNT('逐日期数据'!X199:X204)=0,"未测",AVERAGE('逐日期数据'!X199:X204))</x:f>
        <x:v>0.18412489524121653</x:v>
      </x:c>
      <x:c r="K33" s="25" t="n">
        <x:f>IF(COUNT('逐日期数据'!K199:K204)=0,"未测",AVERAGE('逐日期数据'!K199:K204))</x:f>
        <x:v>50.5053039833662</x:v>
      </x:c>
      <x:c r="L33" s="26" t="n">
        <x:f>IF(COUNT('逐日期数据'!Y199:Y204)=0,"未测",AVERAGE('逐日期数据'!Y199:Y204))</x:f>
        <x:v>0.008079893957846862</x:v>
      </x:c>
      <x:c r="M33" s="25" t="n">
        <x:f>IF(OR(COUNT('逐日期数据'!L199:L204)=0,COUNT('逐日期数据'!N199:N204)=0),"未测",AVERAGE('逐日期数据'!L199:L204)+AVERAGE('逐日期数据'!N199:N204))</x:f>
        <x:v>12.527201166661447</x:v>
      </x:c>
      <x:c r="N33" s="25" t="n">
        <x:f>IF(COUNT('逐日期数据'!L199:L204)=0,"未测",AVERAGE('逐日期数据'!L199:L204))</x:f>
        <x:v>11.744421916676705</x:v>
      </x:c>
      <x:c r="O33" s="25" t="n">
        <x:f>IF(COUNT('逐日期数据'!M199:M204)=0,"未测",AVERAGE('逐日期数据'!M199:M204))</x:f>
        <x:v>33.990950866679974</x:v>
      </x:c>
      <x:c r="P33" s="25" t="n">
        <x:f>IF(COUNT('逐日期数据'!N199:N204)=0,"未测",AVERAGE('逐日期数据'!N199:N204))</x:f>
        <x:v>0.7827792499847419</x:v>
      </x:c>
      <x:c r="Q33" s="25" t="n">
        <x:f>IF(COUNT('逐日期数据'!O199:O204)=0,"未测",AVERAGE('逐日期数据'!O199:O204))</x:f>
        <x:v>3.9871519500247814</x:v>
      </x:c>
      <x:c r="R33" s="25" t="n">
        <x:f>IF(COUNT('逐日期数据'!P199:P204)=0,"未测",AVERAGE('逐日期数据'!P199:P204)*1000)</x:f>
        <x:v>34.35715166539617</x:v>
      </x:c>
      <x:c r="S33" s="25" t="n">
        <x:f>IF(COUNT('逐日期数据'!Q199:Q204)=0,"未测",AVERAGE('逐日期数据'!Q199:Q204)*1000)</x:f>
        <x:v>845.2565288331235</x:v>
      </x:c>
      <x:c r="T33" s="25" t="n">
        <x:f>IF(COUNT('逐日期数据'!R199:R204)=0,"未测",AVERAGE('逐日期数据'!R199:R204)*1000)</x:f>
        <x:v>3081.330149999557</x:v>
      </x:c>
      <x:c r="U33" s="25" t="n">
        <x:f>IF(COUNT('逐日期数据'!S199:S204)=0,"未测",AVERAGE('逐日期数据'!S199:S204)*1000)</x:f>
        <x:v>3307.751965999574</x:v>
      </x:c>
      <x:c r="V33" s="26" t="n">
        <x:f>IF(COUNT('逐日期数据'!Z199:Z204)=0,"未测",AVERAGE('逐日期数据'!Z199:Z204))</x:f>
        <x:v>-0.005441729204300823</x:v>
      </x:c>
      <x:c r="W33" s="26" t="n">
        <x:f>IF(COUNT('逐日期数据'!AA199:AA204)=0,"未测",AVERAGE('逐日期数据'!AA199:AA204))</x:f>
        <x:v>0.059290364253982084</x:v>
      </x:c>
      <x:c r="X33" s="19" t="str">
        <x:f>IF(COUNT('逐日期数据'!AB199:AB204)=0,"单次，未估计",TEXT(MIN('逐日期数据'!AB199:AB204),"0.00%")&amp;"～"&amp;TEXT(MAX('逐日期数据'!AB199:AB204),"0.00%"))</x:f>
        <x:v>单次，未估计</x:v>
      </x:c>
      <x:c r="Y33" s="19" t="str">
        <x:f>MIN('逐日期数据'!D199:D204)&amp;"～"&amp;MAX('逐日期数据'!D199:D204)</x:f>
        <x:v>1～1</x:v>
      </x:c>
      <x:c r="Z33" s="19" t="str">
        <x:v>FRAME_GUARD</x:v>
      </x:c>
      <x:c r="AA33" s="19" t="str">
        <x:v>质量/成本以冻结FULL为参照；速度方向为本行方法相对同批参照</x:v>
      </x:c>
      <x:c r="AB33" s="19" t="str">
        <x:v>GRID89 / per_date.csv</x:v>
      </x:c>
    </x:row>
    <x:row r="34" ht="54" customHeight="1">
      <x:c r="A34" s="19" t="str">
        <x:v>GRID89 META费用</x:v>
      </x:c>
      <x:c r="B34" s="19" t="str">
        <x:v>META_COST1_SEED1</x:v>
      </x:c>
      <x:c r="C34" s="19" t="n">
        <x:f>ROWS('逐日期数据'!A205:A210)</x:f>
        <x:v>6</x:v>
      </x:c>
      <x:c r="D34" s="19" t="str">
        <x:f>SUM('逐日期数据'!F205:F210)&amp;"/"&amp;C34</x:f>
        <x:v>6/6</x:v>
      </x:c>
      <x:c r="E34" s="19" t="str">
        <x:f>SUM('逐日期数据'!G205:G210)&amp;"/"&amp;C34</x:f>
        <x:v>4/6</x:v>
      </x:c>
      <x:c r="F34" s="19" t="str">
        <x:f>MIN('逐日期数据'!E205:E210)&amp;"–"&amp;MAX('逐日期数据'!E205:E210)</x:f>
        <x:v>519–2017</x:v>
      </x:c>
      <x:c r="G34" s="23" t="n">
        <x:f>IF(COUNT('逐日期数据'!I205:I210)=0,"未测",AVERAGE('逐日期数据'!I205:I210))</x:f>
        <x:v>-0.006629394185186127</x:v>
      </x:c>
      <x:c r="H34" s="23" t="n">
        <x:f>IF(COUNT('逐日期数据'!I205:I210)=0,"未测",MAX('逐日期数据'!I205:I210))</x:f>
        <x:v>0</x:v>
      </x:c>
      <x:c r="I34" s="24" t="n">
        <x:f>SUM('逐日期数据'!J205:J210)</x:f>
        <x:v>20304</x:v>
      </x:c>
      <x:c r="J34" s="26" t="n">
        <x:f>IF(COUNT('逐日期数据'!X205:X210)=0,"未测",AVERAGE('逐日期数据'!X205:X210))</x:f>
        <x:v>-0.8409646540640752</x:v>
      </x:c>
      <x:c r="K34" s="25" t="n">
        <x:f>IF(COUNT('逐日期数据'!K205:K210)=0,"未测",AVERAGE('逐日期数据'!K205:K210))</x:f>
        <x:v>54.67469281669097</x:v>
      </x:c>
      <x:c r="L34" s="26" t="n">
        <x:f>IF(COUNT('逐日期数据'!Y205:Y210)=0,"未测",AVERAGE('逐日期数据'!Y205:Y210))</x:f>
        <x:v>-0.06915009774257885</x:v>
      </x:c>
      <x:c r="M34" s="25" t="n">
        <x:f>IF(OR(COUNT('逐日期数据'!L205:L210)=0,COUNT('逐日期数据'!N205:N210)=0),"未测",AVERAGE('逐日期数据'!L205:L210)+AVERAGE('逐日期数据'!N205:N210))</x:f>
        <x:v>17.537614583275474</x:v>
      </x:c>
      <x:c r="N34" s="25" t="n">
        <x:f>IF(COUNT('逐日期数据'!L205:L210)=0,"未测",AVERAGE('逐日期数据'!L205:L210))</x:f>
        <x:v>16.832109033284116</x:v>
      </x:c>
      <x:c r="O34" s="25" t="n">
        <x:f>IF(COUNT('逐日期数据'!M205:M210)=0,"未测",AVERAGE('逐日期数据'!M205:M210))</x:f>
        <x:v>33.04782715000632</x:v>
      </x:c>
      <x:c r="P34" s="25" t="n">
        <x:f>IF(COUNT('逐日期数据'!N205:N210)=0,"未测",AVERAGE('逐日期数据'!N205:N210))</x:f>
        <x:v>0.7055055499913578</x:v>
      </x:c>
      <x:c r="Q34" s="25" t="n">
        <x:f>IF(COUNT('逐日期数据'!O205:O210)=0,"未测",AVERAGE('逐日期数据'!O205:O210))</x:f>
        <x:v>4.089251083409181</x:v>
      </x:c>
      <x:c r="R34" s="25" t="n">
        <x:f>IF(COUNT('逐日期数据'!P205:P210)=0,"未测",AVERAGE('逐日期数据'!P205:P210)*1000)</x:f>
        <x:v>33.11701500027387</x:v>
      </x:c>
      <x:c r="S34" s="25" t="n">
        <x:f>IF(COUNT('逐日期数据'!Q205:Q210)=0,"未测",AVERAGE('逐日期数据'!Q205:Q210)*1000)</x:f>
        <x:v>861.006534834356</x:v>
      </x:c>
      <x:c r="T34" s="25" t="n">
        <x:f>IF(COUNT('逐日期数据'!R205:R210)=0,"未测",AVERAGE('逐日期数据'!R205:R210)*1000)</x:f>
        <x:v>4004.5759009999892</x:v>
      </x:c>
      <x:c r="U34" s="25" t="n">
        <x:f>IF(COUNT('逐日期数据'!S205:S210)=0,"未测",AVERAGE('逐日期数据'!S205:S210)*1000)</x:f>
        <x:v>4237.515980200013</x:v>
      </x:c>
      <x:c r="V34" s="26" t="n">
        <x:f>IF(COUNT('逐日期数据'!Z205:Z210)=0,"未测",AVERAGE('逐日期数据'!Z205:Z210))</x:f>
        <x:v>0.030165590573743222</x:v>
      </x:c>
      <x:c r="W34" s="26" t="n">
        <x:f>IF(COUNT('逐日期数据'!AA205:AA210)=0,"未测",AVERAGE('逐日期数据'!AA205:AA210))</x:f>
        <x:v>-0.3626903000983748</x:v>
      </x:c>
      <x:c r="X34" s="19" t="str">
        <x:f>IF(COUNT('逐日期数据'!AB205:AB210)=0,"单次，未估计",TEXT(MIN('逐日期数据'!AB205:AB210),"0.00%")&amp;"～"&amp;TEXT(MAX('逐日期数据'!AB205:AB210),"0.00%"))</x:f>
        <x:v>单次，未估计</x:v>
      </x:c>
      <x:c r="Y34" s="19" t="str">
        <x:f>MIN('逐日期数据'!D205:D210)&amp;"～"&amp;MAX('逐日期数据'!D205:D210)</x:f>
        <x:v>1～1</x:v>
      </x:c>
      <x:c r="Z34" s="19" t="str">
        <x:v>FRAME_GUARD</x:v>
      </x:c>
      <x:c r="AA34" s="19" t="str">
        <x:v>质量/成本以冻结FULL为参照；速度方向为本行方法相对同批参照</x:v>
      </x:c>
      <x:c r="AB34" s="19" t="str">
        <x:v>GRID89 / per_date.csv</x:v>
      </x:c>
    </x:row>
    <x:row r="35" ht="54" customHeight="1">
      <x:c r="A35" s="19" t="str">
        <x:v>GRID89 META费用</x:v>
      </x:c>
      <x:c r="B35" s="19" t="str">
        <x:v>META_COST1_SEED2</x:v>
      </x:c>
      <x:c r="C35" s="19" t="n">
        <x:f>ROWS('逐日期数据'!A211:A216)</x:f>
        <x:v>6</x:v>
      </x:c>
      <x:c r="D35" s="19" t="str">
        <x:f>SUM('逐日期数据'!F211:F216)&amp;"/"&amp;C35</x:f>
        <x:v>6/6</x:v>
      </x:c>
      <x:c r="E35" s="19" t="str">
        <x:f>SUM('逐日期数据'!G211:G216)&amp;"/"&amp;C35</x:f>
        <x:v>4/6</x:v>
      </x:c>
      <x:c r="F35" s="19" t="str">
        <x:f>MIN('逐日期数据'!E211:E216)&amp;"–"&amp;MAX('逐日期数据'!E211:E216)</x:f>
        <x:v>519–2017</x:v>
      </x:c>
      <x:c r="G35" s="23" t="n">
        <x:f>IF(COUNT('逐日期数据'!I211:I216)=0,"未测",AVERAGE('逐日期数据'!I211:I216))</x:f>
        <x:v>-0.009191508531551151</x:v>
      </x:c>
      <x:c r="H35" s="23" t="n">
        <x:f>IF(COUNT('逐日期数据'!I211:I216)=0,"未测",MAX('逐日期数据'!I211:I216))</x:f>
        <x:v>0.0008663102138171119</x:v>
      </x:c>
      <x:c r="I35" s="24" t="n">
        <x:f>SUM('逐日期数据'!J211:J216)</x:f>
        <x:v>11526</x:v>
      </x:c>
      <x:c r="J35" s="26" t="n">
        <x:f>IF(COUNT('逐日期数据'!X211:X216)=0,"未测",AVERAGE('逐日期数据'!X211:X216))</x:f>
        <x:v>0</x:v>
      </x:c>
      <x:c r="K35" s="25" t="n">
        <x:f>IF(COUNT('逐日期数据'!K211:K216)=0,"未测",AVERAGE('逐日期数据'!K211:K216))</x:f>
        <x:v>50.54149306667629</x:v>
      </x:c>
      <x:c r="L35" s="26" t="n">
        <x:f>IF(COUNT('逐日期数据'!Y211:Y216)=0,"未测",AVERAGE('逐日期数据'!Y211:Y216))</x:f>
        <x:v>0.007727119977718411</x:v>
      </x:c>
      <x:c r="M35" s="25" t="n">
        <x:f>IF(OR(COUNT('逐日期数据'!L211:L216)=0,COUNT('逐日期数据'!N211:N216)=0),"未测",AVERAGE('逐日期数据'!L211:L216)+AVERAGE('逐日期数据'!N211:N216))</x:f>
        <x:v>13.599221666633941</x:v>
      </x:c>
      <x:c r="N35" s="25" t="n">
        <x:f>IF(COUNT('逐日期数据'!L211:L216)=0,"未测",AVERAGE('逐日期数据'!L211:L216))</x:f>
        <x:v>12.948264266630455</x:v>
      </x:c>
      <x:c r="O35" s="25" t="n">
        <x:f>IF(COUNT('逐日期数据'!M211:M216)=0,"未测",AVERAGE('逐日期数据'!M211:M216))</x:f>
        <x:v>33.03335685001972</x:v>
      </x:c>
      <x:c r="P35" s="25" t="n">
        <x:f>IF(COUNT('逐日期数据'!N211:N216)=0,"未测",AVERAGE('逐日期数据'!N211:N216))</x:f>
        <x:v>0.6509574000034869</x:v>
      </x:c>
      <x:c r="Q35" s="25" t="n">
        <x:f>IF(COUNT('逐日期数据'!O211:O216)=0,"未测",AVERAGE('逐日期数据'!O211:O216))</x:f>
        <x:v>3.9089145500226246</x:v>
      </x:c>
      <x:c r="R35" s="25" t="n">
        <x:f>IF(COUNT('逐日期数据'!P211:P216)=0,"未测",AVERAGE('逐日期数据'!P211:P216)*1000)</x:f>
        <x:v>33.267873333382624</x:v>
      </x:c>
      <x:c r="S35" s="25" t="n">
        <x:f>IF(COUNT('逐日期数据'!Q211:Q216)=0,"未测",AVERAGE('逐日期数据'!Q211:Q216)*1000)</x:f>
        <x:v>824.0513708331617</x:v>
      </x:c>
      <x:c r="T35" s="25" t="n">
        <x:f>IF(COUNT('逐日期数据'!R211:R216)=0,"未测",AVERAGE('逐日期数据'!R211:R216)*1000)</x:f>
        <x:v>3267.817300001079</x:v>
      </x:c>
      <x:c r="U35" s="25" t="n">
        <x:f>IF(COUNT('逐日期数据'!S211:S216)=0,"未测",AVERAGE('逐日期数据'!S211:S216)*1000)</x:f>
        <x:v>3569.8238440012865</x:v>
      </x:c>
      <x:c r="V35" s="26" t="n">
        <x:f>IF(COUNT('逐日期数据'!Z211:Z216)=0,"未测",AVERAGE('逐日期数据'!Z211:Z216))</x:f>
        <x:v>0.02802825559798346</x:v>
      </x:c>
      <x:c r="W35" s="26" t="n">
        <x:f>IF(COUNT('逐日期数据'!AA211:AA216)=0,"未测",AVERAGE('逐日期数据'!AA211:AA216))</x:f>
        <x:v>0.014928122729832283</x:v>
      </x:c>
      <x:c r="X35" s="19" t="str">
        <x:f>IF(COUNT('逐日期数据'!AB211:AB216)=0,"单次，未估计",TEXT(MIN('逐日期数据'!AB211:AB216),"0.00%")&amp;"～"&amp;TEXT(MAX('逐日期数据'!AB211:AB216),"0.00%"))</x:f>
        <x:v>单次，未估计</x:v>
      </x:c>
      <x:c r="Y35" s="19" t="str">
        <x:f>MIN('逐日期数据'!D211:D216)&amp;"～"&amp;MAX('逐日期数据'!D211:D216)</x:f>
        <x:v>1～1</x:v>
      </x:c>
      <x:c r="Z35" s="19" t="str">
        <x:v>FRAME_GUARD</x:v>
      </x:c>
      <x:c r="AA35" s="19" t="str">
        <x:v>质量/成本以冻结FULL为参照；速度方向为本行方法相对同批参照</x:v>
      </x:c>
      <x:c r="AB35" s="19" t="str">
        <x:v>GRID89 / per_date.csv</x:v>
      </x:c>
    </x:row>
    <x:row r="36" ht="54" customHeight="1">
      <x:c r="A36" s="19" t="str">
        <x:v>GRID89 META费用</x:v>
      </x:c>
      <x:c r="B36" s="19" t="str">
        <x:v>META_COST1_SEED3</x:v>
      </x:c>
      <x:c r="C36" s="19" t="n">
        <x:f>ROWS('逐日期数据'!A217:A222)</x:f>
        <x:v>6</x:v>
      </x:c>
      <x:c r="D36" s="19" t="str">
        <x:f>SUM('逐日期数据'!F217:F222)&amp;"/"&amp;C36</x:f>
        <x:v>6/6</x:v>
      </x:c>
      <x:c r="E36" s="19" t="str">
        <x:f>SUM('逐日期数据'!G217:G222)&amp;"/"&amp;C36</x:f>
        <x:v>4/6</x:v>
      </x:c>
      <x:c r="F36" s="19" t="str">
        <x:f>MIN('逐日期数据'!E217:E222)&amp;"–"&amp;MAX('逐日期数据'!E217:E222)</x:f>
        <x:v>519–2017</x:v>
      </x:c>
      <x:c r="G36" s="23" t="n">
        <x:f>IF(COUNT('逐日期数据'!I217:I222)=0,"未测",AVERAGE('逐日期数据'!I217:I222))</x:f>
        <x:v>-0.006471379057993193</x:v>
      </x:c>
      <x:c r="H36" s="23" t="n">
        <x:f>IF(COUNT('逐日期数据'!I217:I222)=0,"未测",MAX('逐日期数据'!I217:I222))</x:f>
        <x:v>0.0008663102138171119</x:v>
      </x:c>
      <x:c r="I36" s="24" t="n">
        <x:f>SUM('逐日期数据'!J217:J222)</x:f>
        <x:v>11865</x:v>
      </x:c>
      <x:c r="J36" s="26" t="n">
        <x:f>IF(COUNT('逐日期数据'!X217:X222)=0,"未测",AVERAGE('逐日期数据'!X217:X222))</x:f>
        <x:v>-0.09557165171313513</x:v>
      </x:c>
      <x:c r="K36" s="25" t="n">
        <x:f>IF(COUNT('逐日期数据'!K217:K222)=0,"未测",AVERAGE('逐日期数据'!K217:K222))</x:f>
        <x:v>51.24846356667634</x:v>
      </x:c>
      <x:c r="L36" s="26" t="n">
        <x:f>IF(COUNT('逐日期数据'!Y217:Y222)=0,"未测",AVERAGE('逐日期数据'!Y217:Y222))</x:f>
        <x:v>-0.012261180888849236</x:v>
      </x:c>
      <x:c r="M36" s="25" t="n">
        <x:f>IF(OR(COUNT('逐日期数据'!L217:L222)=0,COUNT('逐日期数据'!N217:N222)=0),"未测",AVERAGE('逐日期数据'!L217:L222)+AVERAGE('逐日期数据'!N217:N222))</x:f>
        <x:v>13.83456061668221</x:v>
      </x:c>
      <x:c r="N36" s="25" t="n">
        <x:f>IF(COUNT('逐日期数据'!L217:L222)=0,"未测",AVERAGE('逐日期数据'!L217:L222))</x:f>
        <x:v>13.156901300015306</x:v>
      </x:c>
      <x:c r="O36" s="25" t="n">
        <x:f>IF(COUNT('逐日期数据'!M217:M222)=0,"未测",AVERAGE('逐日期数据'!M217:M222))</x:f>
        <x:v>33.437755983336196</x:v>
      </x:c>
      <x:c r="P36" s="25" t="n">
        <x:f>IF(COUNT('逐日期数据'!N217:N222)=0,"未测",AVERAGE('逐日期数据'!N217:N222))</x:f>
        <x:v>0.6776593166669045</x:v>
      </x:c>
      <x:c r="Q36" s="25" t="n">
        <x:f>IF(COUNT('逐日期数据'!O217:O222)=0,"未测",AVERAGE('逐日期数据'!O217:O222))</x:f>
        <x:v>3.976146966657931</x:v>
      </x:c>
      <x:c r="R36" s="25" t="n">
        <x:f>IF(COUNT('逐日期数据'!P217:P222)=0,"未测",AVERAGE('逐日期数据'!P217:P222)*1000)</x:f>
        <x:v>32.836877499479044</x:v>
      </x:c>
      <x:c r="S36" s="25" t="n">
        <x:f>IF(COUNT('逐日期数据'!Q217:Q222)=0,"未测",AVERAGE('逐日期数据'!Q217:Q222)*1000)</x:f>
        <x:v>816.6091533343646</x:v>
      </x:c>
      <x:c r="T36" s="25" t="n">
        <x:f>IF(COUNT('逐日期数据'!R217:R222)=0,"未测",AVERAGE('逐日期数据'!R217:R222)*1000)</x:f>
        <x:v>3508.774574999079</x:v>
      </x:c>
      <x:c r="U36" s="25" t="n">
        <x:f>IF(COUNT('逐日期数据'!S217:S222)=0,"未测",AVERAGE('逐日期数据'!S217:S222)*1000)</x:f>
        <x:v>3677.037298999254</x:v>
      </x:c>
      <x:c r="V36" s="26" t="n">
        <x:f>IF(COUNT('逐日期数据'!Z217:Z222)=0,"未测",AVERAGE('逐日期数据'!Z217:Z222))</x:f>
        <x:v>0.03968990937357003</x:v>
      </x:c>
      <x:c r="W36" s="26" t="n">
        <x:f>IF(COUNT('逐日期数据'!AA217:AA222)=0,"未测",AVERAGE('逐日期数据'!AA217:AA222))</x:f>
        <x:v>-0.1749234441984535</x:v>
      </x:c>
      <x:c r="X36" s="19" t="str">
        <x:f>IF(COUNT('逐日期数据'!AB217:AB222)=0,"单次，未估计",TEXT(MIN('逐日期数据'!AB217:AB222),"0.00%")&amp;"～"&amp;TEXT(MAX('逐日期数据'!AB217:AB222),"0.00%"))</x:f>
        <x:v>单次，未估计</x:v>
      </x:c>
      <x:c r="Y36" s="19" t="str">
        <x:f>MIN('逐日期数据'!D217:D222)&amp;"～"&amp;MAX('逐日期数据'!D217:D222)</x:f>
        <x:v>1～1</x:v>
      </x:c>
      <x:c r="Z36" s="19" t="str">
        <x:v>FRAME_GUARD</x:v>
      </x:c>
      <x:c r="AA36" s="19" t="str">
        <x:v>质量/成本以冻结FULL为参照；速度方向为本行方法相对同批参照</x:v>
      </x:c>
      <x:c r="AB36" s="19" t="str">
        <x:v>GRID89 / per_date.csv</x:v>
      </x:c>
    </x:row>
    <x:row r="37" ht="54" customHeight="1">
      <x:c r="A37" s="19" t="str">
        <x:v>GRID89 META费用</x:v>
      </x:c>
      <x:c r="B37" s="19" t="str">
        <x:v>META_COST1_SEED4</x:v>
      </x:c>
      <x:c r="C37" s="19" t="n">
        <x:f>ROWS('逐日期数据'!A223:A228)</x:f>
        <x:v>6</x:v>
      </x:c>
      <x:c r="D37" s="19" t="str">
        <x:f>SUM('逐日期数据'!F223:F228)&amp;"/"&amp;C37</x:f>
        <x:v>5/6</x:v>
      </x:c>
      <x:c r="E37" s="19" t="str">
        <x:f>SUM('逐日期数据'!G223:G228)&amp;"/"&amp;C37</x:f>
        <x:v>4/6</x:v>
      </x:c>
      <x:c r="F37" s="19" t="str">
        <x:f>MIN('逐日期数据'!E223:E228)&amp;"–"&amp;MAX('逐日期数据'!E223:E228)</x:f>
        <x:v>519–2017</x:v>
      </x:c>
      <x:c r="G37" s="23" t="n">
        <x:f>IF(COUNT('逐日期数据'!I223:I228)=0,"未测",AVERAGE('逐日期数据'!I223:I228))</x:f>
        <x:v>-0.0022935773161528727</x:v>
      </x:c>
      <x:c r="H37" s="23" t="n">
        <x:f>IF(COUNT('逐日期数据'!I223:I228)=0,"未测",MAX('逐日期数据'!I223:I228))</x:f>
        <x:v>0.01678354792150616</x:v>
      </x:c>
      <x:c r="I37" s="24" t="n">
        <x:f>SUM('逐日期数据'!J223:J228)</x:f>
        <x:v>10393</x:v>
      </x:c>
      <x:c r="J37" s="26" t="n">
        <x:f>IF(COUNT('逐日期数据'!X223:X228)=0,"未测",AVERAGE('逐日期数据'!X223:X228))</x:f>
        <x:v>-0.1433417252723101</x:v>
      </x:c>
      <x:c r="K37" s="25" t="n">
        <x:f>IF(COUNT('逐日期数据'!K223:K228)=0,"未测",AVERAGE('逐日期数据'!K223:K228))</x:f>
        <x:v>52.377376799983416</x:v>
      </x:c>
      <x:c r="L37" s="26" t="n">
        <x:f>IF(COUNT('逐日期数据'!Y223:Y228)=0,"未测",AVERAGE('逐日期数据'!Y223:Y228))</x:f>
        <x:v>-0.039425569277341053</x:v>
      </x:c>
      <x:c r="M37" s="25" t="n">
        <x:f>IF(OR(COUNT('逐日期数据'!L223:L228)=0,COUNT('逐日期数据'!N223:N228)=0),"未测",AVERAGE('逐日期数据'!L223:L228)+AVERAGE('逐日期数据'!N223:N228))</x:f>
        <x:v>13.496740783315545</x:v>
      </x:c>
      <x:c r="N37" s="25" t="n">
        <x:f>IF(COUNT('逐日期数据'!L223:L228)=0,"未测",AVERAGE('逐日期数据'!L223:L228))</x:f>
        <x:v>12.724080399976932</x:v>
      </x:c>
      <x:c r="O37" s="25" t="n">
        <x:f>IF(COUNT('逐日期数据'!M223:M228)=0,"未测",AVERAGE('逐日期数据'!M223:M228))</x:f>
        <x:v>34.90242861666775</x:v>
      </x:c>
      <x:c r="P37" s="25" t="n">
        <x:f>IF(COUNT('逐日期数据'!N223:N228)=0,"未测",AVERAGE('逐日期数据'!N223:N228))</x:f>
        <x:v>0.7726603833386131</x:v>
      </x:c>
      <x:c r="Q37" s="25" t="n">
        <x:f>IF(COUNT('逐日期数据'!O223:O228)=0,"未测",AVERAGE('逐日期数据'!O223:O228))</x:f>
        <x:v>3.9782074000001253</x:v>
      </x:c>
      <x:c r="R37" s="25" t="n">
        <x:f>IF(COUNT('逐日期数据'!P223:P228)=0,"未测",AVERAGE('逐日期数据'!P223:P228)*1000)</x:f>
        <x:v>33.873013333989825</x:v>
      </x:c>
      <x:c r="S37" s="25" t="n">
        <x:f>IF(COUNT('逐日期数据'!Q223:Q228)=0,"未测",AVERAGE('逐日期数据'!Q223:Q228)*1000)</x:f>
        <x:v>874.4431883336366</x:v>
      </x:c>
      <x:c r="T37" s="25" t="n">
        <x:f>IF(COUNT('逐日期数据'!R223:R228)=0,"未测",AVERAGE('逐日期数据'!R223:R228)*1000)</x:f>
        <x:v>2909.885222000302</x:v>
      </x:c>
      <x:c r="U37" s="25" t="n">
        <x:f>IF(COUNT('逐日期数据'!S223:S228)=0,"未测",AVERAGE('逐日期数据'!S223:S228)*1000)</x:f>
        <x:v>3176.303940400481</x:v>
      </x:c>
      <x:c r="V37" s="26" t="n">
        <x:f>IF(COUNT('逐日期数据'!Z223:Z228)=0,"未测",AVERAGE('逐日期数据'!Z223:Z228))</x:f>
        <x:v>0.011614567567226638</x:v>
      </x:c>
      <x:c r="W37" s="26" t="n">
        <x:f>IF(COUNT('逐日期数据'!AA223:AA228)=0,"未测",AVERAGE('逐日期数据'!AA223:AA228))</x:f>
        <x:v>0.0876838974149502</x:v>
      </x:c>
      <x:c r="X37" s="19" t="str">
        <x:f>IF(COUNT('逐日期数据'!AB223:AB228)=0,"单次，未估计",TEXT(MIN('逐日期数据'!AB223:AB228),"0.00%")&amp;"～"&amp;TEXT(MAX('逐日期数据'!AB223:AB228),"0.00%"))</x:f>
        <x:v>单次，未估计</x:v>
      </x:c>
      <x:c r="Y37" s="19" t="str">
        <x:f>MIN('逐日期数据'!D223:D228)&amp;"～"&amp;MAX('逐日期数据'!D223:D228)</x:f>
        <x:v>1～1</x:v>
      </x:c>
      <x:c r="Z37" s="19" t="str">
        <x:v>FRAME_GUARD</x:v>
      </x:c>
      <x:c r="AA37" s="19" t="str">
        <x:v>质量/成本以冻结FULL为参照；速度方向为本行方法相对同批参照</x:v>
      </x:c>
      <x:c r="AB37" s="19" t="str">
        <x:v>GRID89 / per_date.csv</x:v>
      </x:c>
    </x:row>
    <x:row r="38" ht="54" customHeight="1">
      <x:c r="A38" s="19" t="str">
        <x:v>GRID89 换序</x:v>
      </x:c>
      <x:c r="B38" s="19" t="str">
        <x:v>FRAME_GUARD__LOCAL_STRESS</x:v>
      </x:c>
      <x:c r="C38" s="19" t="n">
        <x:f>ROWS('逐日期数据'!A229:A234)</x:f>
        <x:v>6</x:v>
      </x:c>
      <x:c r="D38" s="19" t="str">
        <x:f>SUM('逐日期数据'!F229:F234)&amp;"/"&amp;C38</x:f>
        <x:v>6/6</x:v>
      </x:c>
      <x:c r="E38" s="19" t="str">
        <x:f>SUM('逐日期数据'!G229:G234)&amp;"/"&amp;C38</x:f>
        <x:v>4/6</x:v>
      </x:c>
      <x:c r="F38" s="19" t="str">
        <x:f>MIN('逐日期数据'!E229:E234)&amp;"–"&amp;MAX('逐日期数据'!E229:E234)</x:f>
        <x:v>519–2017</x:v>
      </x:c>
      <x:c r="G38" s="23" t="n">
        <x:f>IF(COUNT('逐日期数据'!I229:I234)=0,"未测",AVERAGE('逐日期数据'!I229:I234))</x:f>
        <x:v>-0.005776315261550619</x:v>
      </x:c>
      <x:c r="H38" s="23" t="n">
        <x:f>IF(COUNT('逐日期数据'!I229:I234)=0,"未测",MAX('逐日期数据'!I229:I234))</x:f>
        <x:v>0.0035768851926023526</x:v>
      </x:c>
      <x:c r="I38" s="24" t="n">
        <x:f>SUM('逐日期数据'!J229:J234)</x:f>
        <x:v>11079</x:v>
      </x:c>
      <x:c r="J38" s="26" t="n">
        <x:f>IF(COUNT('逐日期数据'!X229:X234)=0,"未测",AVERAGE('逐日期数据'!X229:X234))</x:f>
        <x:v>0.6487521007519492</x:v>
      </x:c>
      <x:c r="K38" s="25" t="n">
        <x:f>IF(COUNT('逐日期数据'!K229:K234)=0,"未测",AVERAGE('逐日期数据'!K229:K234))</x:f>
        <x:v>50.12871256665676</x:v>
      </x:c>
      <x:c r="L38" s="26" t="n">
        <x:f>IF(COUNT('逐日期数据'!Y229:Y234)=0,"未测",AVERAGE('逐日期数据'!Y229:Y234))</x:f>
        <x:v>0.14980353248969758</x:v>
      </x:c>
      <x:c r="M38" s="25" t="n">
        <x:f>IF(OR(COUNT('逐日期数据'!L229:L234)=0,COUNT('逐日期数据'!N229:N234)=0),"未测",AVERAGE('逐日期数据'!L229:L234)+AVERAGE('逐日期数据'!N229:N234))</x:f>
        <x:v>13.153005300039391</x:v>
      </x:c>
      <x:c r="N38" s="25" t="n">
        <x:f>IF(COUNT('逐日期数据'!L229:L234)=0,"未测",AVERAGE('逐日期数据'!L229:L234))</x:f>
        <x:v>12.633226933357946</x:v>
      </x:c>
      <x:c r="O38" s="25" t="n">
        <x:f>IF(COUNT('逐日期数据'!M229:M234)=0,"未测",AVERAGE('逐日期数据'!M229:M234))</x:f>
        <x:v>33.04576461667178</x:v>
      </x:c>
      <x:c r="P38" s="25" t="n">
        <x:f>IF(COUNT('逐日期数据'!N229:N234)=0,"未测",AVERAGE('逐日期数据'!N229:N234))</x:f>
        <x:v>0.5197783666814454</x:v>
      </x:c>
      <x:c r="Q38" s="25" t="n">
        <x:f>IF(COUNT('逐日期数据'!O229:O234)=0,"未测",AVERAGE('逐日期数据'!O229:O234))</x:f>
        <x:v>3.9299426499455876</x:v>
      </x:c>
      <x:c r="R38" s="25" t="n">
        <x:f>IF(COUNT('逐日期数据'!P229:P234)=0,"未测",AVERAGE('逐日期数据'!P229:P234)*1000)</x:f>
        <x:v>33.18417250053847</x:v>
      </x:c>
      <x:c r="S38" s="25" t="n">
        <x:f>IF(COUNT('逐日期数据'!Q229:Q234)=0,"未测",AVERAGE('逐日期数据'!Q229:Q234)*1000)</x:f>
        <x:v>839.9652295003972</x:v>
      </x:c>
      <x:c r="T38" s="25" t="n">
        <x:f>IF(COUNT('逐日期数据'!R229:R234)=0,"未测",AVERAGE('逐日期数据'!R229:R234)*1000)</x:f>
        <x:v>3120.642746999874</x:v>
      </x:c>
      <x:c r="U38" s="25" t="n">
        <x:f>IF(COUNT('逐日期数据'!S229:S234)=0,"未测",AVERAGE('逐日期数据'!S229:S234)*1000)</x:f>
        <x:v>3205.8505494002743</x:v>
      </x:c>
      <x:c r="V38" s="26" t="n">
        <x:f>IF(COUNT('逐日期数据'!Z229:Z234)=0,"未测",AVERAGE('逐日期数据'!Z229:Z234))</x:f>
        <x:v>0.019253263370325586</x:v>
      </x:c>
      <x:c r="W38" s="26" t="n">
        <x:f>IF(COUNT('逐日期数据'!AA229:AA234)=0,"未测",AVERAGE('逐日期数据'!AA229:AA234))</x:f>
        <x:v>0.2909917412274594</x:v>
      </x:c>
      <x:c r="X38" s="19" t="str">
        <x:f>IF(COUNT('逐日期数据'!AB229:AB234)=0,"单次，未估计",TEXT(MIN('逐日期数据'!AB229:AB234),"0.00%")&amp;"～"&amp;TEXT(MAX('逐日期数据'!AB229:AB234),"0.00%"))</x:f>
        <x:v>单次，未估计</x:v>
      </x:c>
      <x:c r="Y38" s="19" t="str">
        <x:f>MIN('逐日期数据'!D229:D234)&amp;"～"&amp;MAX('逐日期数据'!D229:D234)</x:f>
        <x:v>1～1</x:v>
      </x:c>
      <x:c r="Z38" s="19" t="str">
        <x:v>FULL__LOCAL_STRESS</x:v>
      </x:c>
      <x:c r="AA38" s="19" t="str">
        <x:v>质量/成本以冻结FULL为参照；速度方向为本行方法相对同批参照</x:v>
      </x:c>
      <x:c r="AB38" s="19" t="str">
        <x:v>GRID89 / per_date.csv</x:v>
      </x:c>
    </x:row>
    <x:row r="39" ht="54" customHeight="1">
      <x:c r="A39" s="19" t="str">
        <x:v>GRID89 换序</x:v>
      </x:c>
      <x:c r="B39" s="19" t="str">
        <x:v>FRAME_GUARD__RANDOM_11</x:v>
      </x:c>
      <x:c r="C39" s="19" t="n">
        <x:f>ROWS('逐日期数据'!A235:A240)</x:f>
        <x:v>6</x:v>
      </x:c>
      <x:c r="D39" s="19" t="str">
        <x:f>SUM('逐日期数据'!F235:F240)&amp;"/"&amp;C39</x:f>
        <x:v>6/6</x:v>
      </x:c>
      <x:c r="E39" s="19" t="str">
        <x:f>SUM('逐日期数据'!G235:G240)&amp;"/"&amp;C39</x:f>
        <x:v>4/6</x:v>
      </x:c>
      <x:c r="F39" s="19" t="str">
        <x:f>MIN('逐日期数据'!E235:E240)&amp;"–"&amp;MAX('逐日期数据'!E235:E240)</x:f>
        <x:v>519–2017</x:v>
      </x:c>
      <x:c r="G39" s="23" t="n">
        <x:f>IF(COUNT('逐日期数据'!I235:I240)=0,"未测",AVERAGE('逐日期数据'!I235:I240))</x:f>
        <x:v>-0.005283181897955069</x:v>
      </x:c>
      <x:c r="H39" s="23" t="n">
        <x:f>IF(COUNT('逐日期数据'!I235:I240)=0,"未测",MAX('逐日期数据'!I235:I240))</x:f>
        <x:v>0.0025951167713837986</x:v>
      </x:c>
      <x:c r="I39" s="24" t="n">
        <x:f>SUM('逐日期数据'!J235:J240)</x:f>
        <x:v>12798</x:v>
      </x:c>
      <x:c r="J39" s="26" t="n">
        <x:f>IF(COUNT('逐日期数据'!X235:X240)=0,"未测",AVERAGE('逐日期数据'!X235:X240))</x:f>
        <x:v>0.5857579872220069</x:v>
      </x:c>
      <x:c r="K39" s="25" t="n">
        <x:f>IF(COUNT('逐日期数据'!K235:K240)=0,"未测",AVERAGE('逐日期数据'!K235:K240))</x:f>
        <x:v>50.71081168334058</x:v>
      </x:c>
      <x:c r="L39" s="26" t="n">
        <x:f>IF(COUNT('逐日期数据'!Y235:Y240)=0,"未测",AVERAGE('逐日期数据'!Y235:Y240))</x:f>
        <x:v>0.11731543219744056</x:v>
      </x:c>
      <x:c r="M39" s="25" t="n">
        <x:f>IF(OR(COUNT('逐日期数据'!L235:L240)=0,COUNT('逐日期数据'!N235:N240)=0),"未测",AVERAGE('逐日期数据'!L235:L240)+AVERAGE('逐日期数据'!N235:N240))</x:f>
        <x:v>14.401142816692905</x:v>
      </x:c>
      <x:c r="N39" s="25" t="n">
        <x:f>IF(COUNT('逐日期数据'!L235:L240)=0,"未测",AVERAGE('逐日期数据'!L235:L240))</x:f>
        <x:v>13.758850733323925</x:v>
      </x:c>
      <x:c r="O39" s="25" t="n">
        <x:f>IF(COUNT('逐日期数据'!M235:M240)=0,"未测",AVERAGE('逐日期数据'!M235:M240))</x:f>
        <x:v>32.37246096667756</x:v>
      </x:c>
      <x:c r="P39" s="25" t="n">
        <x:f>IF(COUNT('逐日期数据'!N235:N240)=0,"未测",AVERAGE('逐日期数据'!N235:N240))</x:f>
        <x:v>0.642292083368981</x:v>
      </x:c>
      <x:c r="Q39" s="25" t="n">
        <x:f>IF(COUNT('逐日期数据'!O235:O240)=0,"未测",AVERAGE('逐日期数据'!O235:O240))</x:f>
        <x:v>3.937207899970114</x:v>
      </x:c>
      <x:c r="R39" s="25" t="n">
        <x:f>IF(COUNT('逐日期数据'!P235:P240)=0,"未测",AVERAGE('逐日期数据'!P235:P240)*1000)</x:f>
        <x:v>32.725444999778105</x:v>
      </x:c>
      <x:c r="S39" s="25" t="n">
        <x:f>IF(COUNT('逐日期数据'!Q235:Q240)=0,"未测",AVERAGE('逐日期数据'!Q235:Q240)*1000)</x:f>
        <x:v>825.9469871657515</x:v>
      </x:c>
      <x:c r="T39" s="25" t="n">
        <x:f>IF(COUNT('逐日期数据'!R235:R240)=0,"未测",AVERAGE('逐日期数据'!R235:R240)*1000)</x:f>
        <x:v>2961.81678399942</x:v>
      </x:c>
      <x:c r="U39" s="25" t="n">
        <x:f>IF(COUNT('逐日期数据'!S235:S240)=0,"未测",AVERAGE('逐日期数据'!S235:S240)*1000)</x:f>
        <x:v>3171.7863007994088</x:v>
      </x:c>
      <x:c r="V39" s="26" t="n">
        <x:f>IF(COUNT('逐日期数据'!Z235:Z240)=0,"未测",AVERAGE('逐日期数据'!Z235:Z240))</x:f>
        <x:v>0.008575771887529912</x:v>
      </x:c>
      <x:c r="W39" s="26" t="n">
        <x:f>IF(COUNT('逐日期数据'!AA235:AA240)=0,"未测",AVERAGE('逐日期数据'!AA235:AA240))</x:f>
        <x:v>0.3149120468346521</x:v>
      </x:c>
      <x:c r="X39" s="19" t="str">
        <x:f>IF(COUNT('逐日期数据'!AB235:AB240)=0,"单次，未估计",TEXT(MIN('逐日期数据'!AB235:AB240),"0.00%")&amp;"～"&amp;TEXT(MAX('逐日期数据'!AB235:AB240),"0.00%"))</x:f>
        <x:v>单次，未估计</x:v>
      </x:c>
      <x:c r="Y39" s="19" t="str">
        <x:f>MIN('逐日期数据'!D235:D240)&amp;"～"&amp;MAX('逐日期数据'!D235:D240)</x:f>
        <x:v>1～1</x:v>
      </x:c>
      <x:c r="Z39" s="19" t="str">
        <x:v>FULL__RANDOM_11</x:v>
      </x:c>
      <x:c r="AA39" s="19" t="str">
        <x:v>质量/成本以冻结FULL为参照；速度方向为本行方法相对同批参照</x:v>
      </x:c>
      <x:c r="AB39" s="19" t="str">
        <x:v>GRID89 / per_date.csv</x:v>
      </x:c>
    </x:row>
    <x:row r="40" ht="54" customHeight="1">
      <x:c r="A40" s="19" t="str">
        <x:v>GRID89 换序</x:v>
      </x:c>
      <x:c r="B40" s="19" t="str">
        <x:v>FRAME_GUARD__RANDOM_23</x:v>
      </x:c>
      <x:c r="C40" s="19" t="n">
        <x:f>ROWS('逐日期数据'!A241:A246)</x:f>
        <x:v>6</x:v>
      </x:c>
      <x:c r="D40" s="19" t="str">
        <x:f>SUM('逐日期数据'!F241:F246)&amp;"/"&amp;C40</x:f>
        <x:v>5/6</x:v>
      </x:c>
      <x:c r="E40" s="19" t="str">
        <x:f>SUM('逐日期数据'!G241:G246)&amp;"/"&amp;C40</x:f>
        <x:v>4/6</x:v>
      </x:c>
      <x:c r="F40" s="19" t="str">
        <x:f>MIN('逐日期数据'!E241:E246)&amp;"–"&amp;MAX('逐日期数据'!E241:E246)</x:f>
        <x:v>519–2017</x:v>
      </x:c>
      <x:c r="G40" s="23" t="n">
        <x:f>IF(COUNT('逐日期数据'!I241:I246)=0,"未测",AVERAGE('逐日期数据'!I241:I246))</x:f>
        <x:v>0.003285505181027548</x:v>
      </x:c>
      <x:c r="H40" s="23" t="n">
        <x:f>IF(COUNT('逐日期数据'!I241:I246)=0,"未测",MAX('逐日期数据'!I241:I246))</x:f>
        <x:v>0.0118385503538605</x:v>
      </x:c>
      <x:c r="I40" s="24" t="n">
        <x:f>SUM('逐日期数据'!J241:J246)</x:f>
        <x:v>13863</x:v>
      </x:c>
      <x:c r="J40" s="26" t="n">
        <x:f>IF(COUNT('逐日期数据'!X241:X246)=0,"未测",AVERAGE('逐日期数据'!X241:X246))</x:f>
        <x:v>0.5345344044793202</x:v>
      </x:c>
      <x:c r="K40" s="25" t="n">
        <x:f>IF(COUNT('逐日期数据'!K241:K246)=0,"未测",AVERAGE('逐日期数据'!K241:K246))</x:f>
        <x:v>52.995313966649825</x:v>
      </x:c>
      <x:c r="L40" s="26" t="n">
        <x:f>IF(COUNT('逐日期数据'!Y241:Y246)=0,"未测",AVERAGE('逐日期数据'!Y241:Y246))</x:f>
        <x:v>0.08010238824414824</x:v>
      </x:c>
      <x:c r="M40" s="25" t="n">
        <x:f>IF(OR(COUNT('逐日期数据'!L241:L246)=0,COUNT('逐日期数据'!N241:N246)=0),"未测",AVERAGE('逐日期数据'!L241:L246)+AVERAGE('逐日期数据'!N241:N246))</x:f>
        <x:v>14.727051550008278</x:v>
      </x:c>
      <x:c r="N40" s="25" t="n">
        <x:f>IF(COUNT('逐日期数据'!L241:L246)=0,"未测",AVERAGE('逐日期数据'!L241:L246))</x:f>
        <x:v>14.046589533331522</x:v>
      </x:c>
      <x:c r="O40" s="25" t="n">
        <x:f>IF(COUNT('逐日期数据'!M241:M246)=0,"未测",AVERAGE('逐日期数据'!M241:M246))</x:f>
        <x:v>34.34820390002036</x:v>
      </x:c>
      <x:c r="P40" s="25" t="n">
        <x:f>IF(COUNT('逐日期数据'!N241:N246)=0,"未测",AVERAGE('逐日期数据'!N241:N246))</x:f>
        <x:v>0.6804620166767563</x:v>
      </x:c>
      <x:c r="Q40" s="25" t="n">
        <x:f>IF(COUNT('逐日期数据'!O241:O246)=0,"未测",AVERAGE('逐日期数据'!O241:O246))</x:f>
        <x:v>3.920058516621187</x:v>
      </x:c>
      <x:c r="R40" s="25" t="n">
        <x:f>IF(COUNT('逐日期数据'!P241:P246)=0,"未测",AVERAGE('逐日期数据'!P241:P246)*1000)</x:f>
        <x:v>32.804596666089</x:v>
      </x:c>
      <x:c r="S40" s="25" t="n">
        <x:f>IF(COUNT('逐日期数据'!Q241:Q246)=0,"未测",AVERAGE('逐日期数据'!Q241:Q246)*1000)</x:f>
        <x:v>848.7006754999132</x:v>
      </x:c>
      <x:c r="T40" s="25" t="n">
        <x:f>IF(COUNT('逐日期数据'!R241:R246)=0,"未测",AVERAGE('逐日期数据'!R241:R246)*1000)</x:f>
        <x:v>3038.965125999602</x:v>
      </x:c>
      <x:c r="U40" s="25" t="n">
        <x:f>IF(COUNT('逐日期数据'!S241:S246)=0,"未测",AVERAGE('逐日期数据'!S241:S246)*1000)</x:f>
        <x:v>3200.525537199705</x:v>
      </x:c>
      <x:c r="V40" s="26" t="n">
        <x:f>IF(COUNT('逐日期数据'!Z241:Z246)=0,"未测",AVERAGE('逐日期数据'!Z241:Z246))</x:f>
        <x:v>0.006065939637218594</x:v>
      </x:c>
      <x:c r="W40" s="26" t="n">
        <x:f>IF(COUNT('逐日期数据'!AA241:AA246)=0,"未测",AVERAGE('逐日期数据'!AA241:AA246))</x:f>
        <x:v>0.288751172731623</x:v>
      </x:c>
      <x:c r="X40" s="19" t="str">
        <x:f>IF(COUNT('逐日期数据'!AB241:AB246)=0,"单次，未估计",TEXT(MIN('逐日期数据'!AB241:AB246),"0.00%")&amp;"～"&amp;TEXT(MAX('逐日期数据'!AB241:AB246),"0.00%"))</x:f>
        <x:v>单次，未估计</x:v>
      </x:c>
      <x:c r="Y40" s="19" t="str">
        <x:f>MIN('逐日期数据'!D241:D246)&amp;"～"&amp;MAX('逐日期数据'!D241:D246)</x:f>
        <x:v>1～1</x:v>
      </x:c>
      <x:c r="Z40" s="19" t="str">
        <x:v>FULL__RANDOM_23</x:v>
      </x:c>
      <x:c r="AA40" s="19" t="str">
        <x:v>质量/成本以冻结FULL为参照；速度方向为本行方法相对同批参照</x:v>
      </x:c>
      <x:c r="AB40" s="19" t="str">
        <x:v>GRID89 / per_date.csv</x:v>
      </x:c>
    </x:row>
    <x:row r="41" ht="54" customHeight="1">
      <x:c r="A41" s="19" t="str">
        <x:v>GRID89 换序</x:v>
      </x:c>
      <x:c r="B41" s="19" t="str">
        <x:v>FRAME_GUARD__RANDOM_37</x:v>
      </x:c>
      <x:c r="C41" s="19" t="n">
        <x:f>ROWS('逐日期数据'!A247:A252)</x:f>
        <x:v>6</x:v>
      </x:c>
      <x:c r="D41" s="19" t="str">
        <x:f>SUM('逐日期数据'!F247:F252)&amp;"/"&amp;C41</x:f>
        <x:v>5/6</x:v>
      </x:c>
      <x:c r="E41" s="19" t="str">
        <x:f>SUM('逐日期数据'!G247:G252)&amp;"/"&amp;C41</x:f>
        <x:v>4/6</x:v>
      </x:c>
      <x:c r="F41" s="19" t="str">
        <x:f>MIN('逐日期数据'!E247:E252)&amp;"–"&amp;MAX('逐日期数据'!E247:E252)</x:f>
        <x:v>519–2017</x:v>
      </x:c>
      <x:c r="G41" s="23" t="n">
        <x:f>IF(COUNT('逐日期数据'!I247:I252)=0,"未测",AVERAGE('逐日期数据'!I247:I252))</x:f>
        <x:v>-0.006987636447125328</x:v>
      </x:c>
      <x:c r="H41" s="23" t="n">
        <x:f>IF(COUNT('逐日期数据'!I247:I252)=0,"未测",MAX('逐日期数据'!I247:I252))</x:f>
        <x:v>0.00978658581080194</x:v>
      </x:c>
      <x:c r="I41" s="24" t="n">
        <x:f>SUM('逐日期数据'!J247:J252)</x:f>
        <x:v>12566</x:v>
      </x:c>
      <x:c r="J41" s="26" t="n">
        <x:f>IF(COUNT('逐日期数据'!X247:X252)=0,"未测",AVERAGE('逐日期数据'!X247:X252))</x:f>
        <x:v>0.5878306604967538</x:v>
      </x:c>
      <x:c r="K41" s="25" t="n">
        <x:f>IF(COUNT('逐日期数据'!K247:K252)=0,"未测",AVERAGE('逐日期数据'!K247:K252))</x:f>
        <x:v>53.469647399985966</x:v>
      </x:c>
      <x:c r="L41" s="26" t="n">
        <x:f>IF(COUNT('逐日期数据'!Y247:Y252)=0,"未测",AVERAGE('逐日期数据'!Y247:Y252))</x:f>
        <x:v>0.09857381513675297</x:v>
      </x:c>
      <x:c r="M41" s="25" t="n">
        <x:f>IF(OR(COUNT('逐日期数据'!L247:L252)=0,COUNT('逐日期数据'!N247:N252)=0),"未测",AVERAGE('逐日期数据'!L247:L252)+AVERAGE('逐日期数据'!N247:N252))</x:f>
        <x:v>14.127235399963562</x:v>
      </x:c>
      <x:c r="N41" s="25" t="n">
        <x:f>IF(COUNT('逐日期数据'!L247:L252)=0,"未测",AVERAGE('逐日期数据'!L247:L252))</x:f>
        <x:v>13.559172049978466</x:v>
      </x:c>
      <x:c r="O41" s="25" t="n">
        <x:f>IF(COUNT('逐日期数据'!M247:M252)=0,"未测",AVERAGE('逐日期数据'!M247:M252))</x:f>
        <x:v>35.431828833320345</x:v>
      </x:c>
      <x:c r="P41" s="25" t="n">
        <x:f>IF(COUNT('逐日期数据'!N247:N252)=0,"未测",AVERAGE('逐日期数据'!N247:N252))</x:f>
        <x:v>0.5680633499850956</x:v>
      </x:c>
      <x:c r="Q41" s="25" t="n">
        <x:f>IF(COUNT('逐日期数据'!O247:O252)=0,"未测",AVERAGE('逐日期数据'!O247:O252))</x:f>
        <x:v>3.910583166702054</x:v>
      </x:c>
      <x:c r="R41" s="25" t="n">
        <x:f>IF(COUNT('逐日期数据'!P247:P252)=0,"未测",AVERAGE('逐日期数据'!P247:P252)*1000)</x:f>
        <x:v>32.77085916718836</x:v>
      </x:c>
      <x:c r="S41" s="25" t="n">
        <x:f>IF(COUNT('逐日期数据'!Q247:Q252)=0,"未测",AVERAGE('逐日期数据'!Q247:Q252)*1000)</x:f>
        <x:v>873.8345246663944</x:v>
      </x:c>
      <x:c r="T41" s="25" t="n">
        <x:f>IF(COUNT('逐日期数据'!R247:R252)=0,"未测",AVERAGE('逐日期数据'!R247:R252)*1000)</x:f>
        <x:v>3273.195177000234</x:v>
      </x:c>
      <x:c r="U41" s="25" t="n">
        <x:f>IF(COUNT('逐日期数据'!S247:S252)=0,"未测",AVERAGE('逐日期数据'!S247:S252)*1000)</x:f>
        <x:v>3357.92356340056</x:v>
      </x:c>
      <x:c r="V41" s="26" t="n">
        <x:f>IF(COUNT('逐日期数据'!Z247:Z252)=0,"未测",AVERAGE('逐日期数据'!Z247:Z252))</x:f>
        <x:v>0.013716458661768885</x:v>
      </x:c>
      <x:c r="W41" s="26" t="n">
        <x:f>IF(COUNT('逐日期数据'!AA247:AA252)=0,"未测",AVERAGE('逐日期数据'!AA247:AA252))</x:f>
        <x:v>0.25667944756238353</x:v>
      </x:c>
      <x:c r="X41" s="19" t="str">
        <x:f>IF(COUNT('逐日期数据'!AB247:AB252)=0,"单次，未估计",TEXT(MIN('逐日期数据'!AB247:AB252),"0.00%")&amp;"～"&amp;TEXT(MAX('逐日期数据'!AB247:AB252),"0.00%"))</x:f>
        <x:v>单次，未估计</x:v>
      </x:c>
      <x:c r="Y41" s="19" t="str">
        <x:f>MIN('逐日期数据'!D247:D252)&amp;"～"&amp;MAX('逐日期数据'!D247:D252)</x:f>
        <x:v>1～1</x:v>
      </x:c>
      <x:c r="Z41" s="19" t="str">
        <x:v>FULL__RANDOM_37</x:v>
      </x:c>
      <x:c r="AA41" s="19" t="str">
        <x:v>质量/成本以冻结FULL为参照；速度方向为本行方法相对同批参照</x:v>
      </x:c>
      <x:c r="AB41" s="19" t="str">
        <x:v>GRID89 / per_date.csv</x:v>
      </x:c>
    </x:row>
    <x:row r="42" ht="54" customHeight="1">
      <x:c r="A42" s="19" t="str">
        <x:v>GRID89 换序</x:v>
      </x:c>
      <x:c r="B42" s="19" t="str">
        <x:v>FRAME_GUARD__STATIC_ID</x:v>
      </x:c>
      <x:c r="C42" s="19" t="n">
        <x:f>ROWS('逐日期数据'!A253:A258)</x:f>
        <x:v>6</x:v>
      </x:c>
      <x:c r="D42" s="19" t="str">
        <x:f>SUM('逐日期数据'!F253:F258)&amp;"/"&amp;C42</x:f>
        <x:v>6/6</x:v>
      </x:c>
      <x:c r="E42" s="19" t="str">
        <x:f>SUM('逐日期数据'!G253:G258)&amp;"/"&amp;C42</x:f>
        <x:v>4/6</x:v>
      </x:c>
      <x:c r="F42" s="19" t="str">
        <x:f>MIN('逐日期数据'!E253:E258)&amp;"–"&amp;MAX('逐日期数据'!E253:E258)</x:f>
        <x:v>519–2017</x:v>
      </x:c>
      <x:c r="G42" s="23" t="n">
        <x:f>IF(COUNT('逐日期数据'!I253:I258)=0,"未测",AVERAGE('逐日期数据'!I253:I258))</x:f>
        <x:v>-0.009191508531551151</x:v>
      </x:c>
      <x:c r="H42" s="23" t="n">
        <x:f>IF(COUNT('逐日期数据'!I253:I258)=0,"未测",MAX('逐日期数据'!I253:I258))</x:f>
        <x:v>0.0008663102138171119</x:v>
      </x:c>
      <x:c r="I42" s="24" t="n">
        <x:f>SUM('逐日期数据'!J253:J258)</x:f>
        <x:v>11526</x:v>
      </x:c>
      <x:c r="J42" s="26" t="n">
        <x:f>IF(COUNT('逐日期数据'!X253:X258)=0,"未测",AVERAGE('逐日期数据'!X253:X258))</x:f>
        <x:v>0.6509677018059689</x:v>
      </x:c>
      <x:c r="K42" s="25" t="n">
        <x:f>IF(COUNT('逐日期数据'!K253:K258)=0,"未测",AVERAGE('逐日期数据'!K253:K258))</x:f>
        <x:v>49.50241371666198</x:v>
      </x:c>
      <x:c r="L42" s="26" t="n">
        <x:f>IF(COUNT('逐日期数据'!Y253:Y258)=0,"未测",AVERAGE('逐日期数据'!Y253:Y258))</x:f>
        <x:v>0.14055288538561014</x:v>
      </x:c>
      <x:c r="M42" s="25" t="n">
        <x:f>IF(OR(COUNT('逐日期数据'!L253:L258)=0,COUNT('逐日期数据'!N253:N258)=0),"未测",AVERAGE('逐日期数据'!L253:L258)+AVERAGE('逐日期数据'!N253:N258))</x:f>
        <x:v>13.427413783296894</x:v>
      </x:c>
      <x:c r="N42" s="25" t="n">
        <x:f>IF(COUNT('逐日期数据'!L253:L258)=0,"未测",AVERAGE('逐日期数据'!L253:L258))</x:f>
        <x:v>12.862363999986579</x:v>
      </x:c>
      <x:c r="O42" s="25" t="n">
        <x:f>IF(COUNT('逐日期数据'!M253:M258)=0,"未测",AVERAGE('逐日期数据'!M253:M258))</x:f>
        <x:v>32.17826910000198</x:v>
      </x:c>
      <x:c r="P42" s="25" t="n">
        <x:f>IF(COUNT('逐日期数据'!N253:N258)=0,"未测",AVERAGE('逐日期数据'!N253:N258))</x:f>
        <x:v>0.5650497833103145</x:v>
      </x:c>
      <x:c r="Q42" s="25" t="n">
        <x:f>IF(COUNT('逐日期数据'!O253:O258)=0,"未测",AVERAGE('逐日期数据'!O253:O258))</x:f>
        <x:v>3.896730833363108</x:v>
      </x:c>
      <x:c r="R42" s="25" t="n">
        <x:f>IF(COUNT('逐日期数据'!P253:P258)=0,"未测",AVERAGE('逐日期数据'!P253:P258)*1000)</x:f>
        <x:v>33.520015833588914</x:v>
      </x:c>
      <x:c r="S42" s="25" t="n">
        <x:f>IF(COUNT('逐日期数据'!Q253:Q258)=0,"未测",AVERAGE('逐日期数据'!Q253:Q258)*1000)</x:f>
        <x:v>814.1164583330661</x:v>
      </x:c>
      <x:c r="T42" s="25" t="n">
        <x:f>IF(COUNT('逐日期数据'!R253:R258)=0,"未测",AVERAGE('逐日期数据'!R253:R258)*1000)</x:f>
        <x:v>3180.8069739997877</x:v>
      </x:c>
      <x:c r="U42" s="25" t="n">
        <x:f>IF(COUNT('逐日期数据'!S253:S258)=0,"未测",AVERAGE('逐日期数据'!S253:S258)*1000)</x:f>
        <x:v>3509.294482799844</x:v>
      </x:c>
      <x:c r="V42" s="26" t="n">
        <x:f>IF(COUNT('逐日期数据'!Z253:Z258)=0,"未测",AVERAGE('逐日期数据'!Z253:Z258))</x:f>
        <x:v>-0.020419795775244404</x:v>
      </x:c>
      <x:c r="W42" s="26" t="n">
        <x:f>IF(COUNT('逐日期数据'!AA253:AA258)=0,"未测",AVERAGE('逐日期数据'!AA253:AA258))</x:f>
        <x:v>0.2790774250640725</x:v>
      </x:c>
      <x:c r="X42" s="19" t="str">
        <x:f>IF(COUNT('逐日期数据'!AB253:AB258)=0,"单次，未估计",TEXT(MIN('逐日期数据'!AB253:AB258),"0.00%")&amp;"～"&amp;TEXT(MAX('逐日期数据'!AB253:AB258),"0.00%"))</x:f>
        <x:v>单次，未估计</x:v>
      </x:c>
      <x:c r="Y42" s="19" t="str">
        <x:f>MIN('逐日期数据'!D253:D258)&amp;"～"&amp;MAX('逐日期数据'!D253:D258)</x:f>
        <x:v>1～1</x:v>
      </x:c>
      <x:c r="Z42" s="19" t="str">
        <x:v>FULL__STATIC_ID</x:v>
      </x:c>
      <x:c r="AA42" s="19" t="str">
        <x:v>质量/成本以冻结FULL为参照；速度方向为本行方法相对同批参照</x:v>
      </x:c>
      <x:c r="AB42" s="19" t="str">
        <x:v>GRID89 / per_date.csv</x:v>
      </x:c>
    </x:row>
    <x:row r="43" ht="54" customHeight="1">
      <x:c r="A43" s="19" t="str">
        <x:v>GRID89 换序</x:v>
      </x:c>
      <x:c r="B43" s="19" t="str">
        <x:v>FULL__LOCAL_STRESS</x:v>
      </x:c>
      <x:c r="C43" s="19" t="n">
        <x:f>ROWS('逐日期数据'!A259:A264)</x:f>
        <x:v>6</x:v>
      </x:c>
      <x:c r="D43" s="19" t="str">
        <x:f>SUM('逐日期数据'!F259:F264)&amp;"/"&amp;C43</x:f>
        <x:v>6/6</x:v>
      </x:c>
      <x:c r="E43" s="19" t="str">
        <x:f>SUM('逐日期数据'!G259:G264)&amp;"/"&amp;C43</x:f>
        <x:v>4/6</x:v>
      </x:c>
      <x:c r="F43" s="19" t="str">
        <x:f>MIN('逐日期数据'!E259:E264)&amp;"–"&amp;MAX('逐日期数据'!E259:E264)</x:f>
        <x:v>519–2017</x:v>
      </x:c>
      <x:c r="G43" s="23" t="n">
        <x:f>IF(COUNT('逐日期数据'!I259:I264)=0,"未测",AVERAGE('逐日期数据'!I259:I264))</x:f>
        <x:v>0</x:v>
      </x:c>
      <x:c r="H43" s="23" t="n">
        <x:f>IF(COUNT('逐日期数据'!I259:I264)=0,"未测",MAX('逐日期数据'!I259:I264))</x:f>
        <x:v>0</x:v>
      </x:c>
      <x:c r="I43" s="24" t="n">
        <x:f>SUM('逐日期数据'!J259:J264)</x:f>
        <x:v>28798</x:v>
      </x:c>
      <x:c r="J43" s="26" t="n">
        <x:f>IF(COUNT('逐日期数据'!X259:X264)=0,"未测",AVERAGE('逐日期数据'!X259:X264))</x:f>
        <x:v>0</x:v>
      </x:c>
      <x:c r="K43" s="25" t="n">
        <x:f>IF(COUNT('逐日期数据'!K259:K264)=0,"未测",AVERAGE('逐日期数据'!K259:K264))</x:f>
        <x:v>60.057702233327895</x:v>
      </x:c>
      <x:c r="L43" s="26" t="n">
        <x:f>IF(COUNT('逐日期数据'!Y259:Y264)=0,"未测",AVERAGE('逐日期数据'!Y259:Y264))</x:f>
        <x:v>0</x:v>
      </x:c>
      <x:c r="M43" s="25" t="n">
        <x:f>IF(OR(COUNT('逐日期数据'!L259:L264)=0,COUNT('逐日期数据'!N259:N264)=0),"未测",AVERAGE('逐日期数据'!L259:L264)+AVERAGE('逐日期数据'!N259:N264))</x:f>
        <x:v>21.631853266640366</x:v>
      </x:c>
      <x:c r="N43" s="25" t="n">
        <x:f>IF(COUNT('逐日期数据'!L259:L264)=0,"未测",AVERAGE('逐日期数据'!L259:L264))</x:f>
        <x:v>20.91180623336125</x:v>
      </x:c>
      <x:c r="O43" s="25" t="n">
        <x:f>IF(COUNT('逐日期数据'!M259:M264)=0,"未测",AVERAGE('逐日期数据'!M259:M264))</x:f>
        <x:v>34.148061133319665</x:v>
      </x:c>
      <x:c r="P43" s="25" t="n">
        <x:f>IF(COUNT('逐日期数据'!N259:N264)=0,"未测",AVERAGE('逐日期数据'!N259:N264))</x:f>
        <x:v>0.7200470332791156</x:v>
      </x:c>
      <x:c r="Q43" s="25" t="n">
        <x:f>IF(COUNT('逐日期数据'!O259:O264)=0,"未测",AVERAGE('逐日期数据'!O259:O264))</x:f>
        <x:v>4.277787833367863</x:v>
      </x:c>
      <x:c r="R43" s="25" t="n">
        <x:f>IF(COUNT('逐日期数据'!P259:P264)=0,"未测",AVERAGE('逐日期数据'!P259:P264)*1000)</x:f>
        <x:v>33.82861999992503</x:v>
      </x:c>
      <x:c r="S43" s="25" t="n">
        <x:f>IF(COUNT('逐日期数据'!Q259:Q264)=0,"未测",AVERAGE('逐日期数据'!Q259:Q264)*1000)</x:f>
        <x:v>883.6547685005453</x:v>
      </x:c>
      <x:c r="T43" s="25" t="n">
        <x:f>IF(COUNT('逐日期数据'!R259:R264)=0,"未测",AVERAGE('逐日期数据'!R259:R264)*1000)</x:f>
        <x:v>4360.019691000197</x:v>
      </x:c>
      <x:c r="U43" s="25" t="n">
        <x:f>IF(COUNT('逐日期数据'!S259:S264)=0,"未测",AVERAGE('逐日期数据'!S259:S264)*1000)</x:f>
        <x:v>4671.202162200323</x:v>
      </x:c>
      <x:c r="V43" s="26" t="n">
        <x:f>IF(COUNT('逐日期数据'!Z259:Z264)=0,"未测",AVERAGE('逐日期数据'!Z259:Z264))</x:f>
        <x:v>0</x:v>
      </x:c>
      <x:c r="W43" s="26" t="n">
        <x:f>IF(COUNT('逐日期数据'!AA259:AA264)=0,"未测",AVERAGE('逐日期数据'!AA259:AA264))</x:f>
        <x:v>0</x:v>
      </x:c>
      <x:c r="X43" s="19" t="str">
        <x:f>IF(COUNT('逐日期数据'!AB259:AB264)=0,"单次，未估计",TEXT(MIN('逐日期数据'!AB259:AB264),"0.00%")&amp;"～"&amp;TEXT(MAX('逐日期数据'!AB259:AB264),"0.00%"))</x:f>
        <x:v>单次，未估计</x:v>
      </x:c>
      <x:c r="Y43" s="19" t="str">
        <x:f>MIN('逐日期数据'!D259:D264)&amp;"～"&amp;MAX('逐日期数据'!D259:D264)</x:f>
        <x:v>1～1</x:v>
      </x:c>
      <x:c r="Z43" s="19" t="str">
        <x:v>FULL__LOCAL_STRESS</x:v>
      </x:c>
      <x:c r="AA43" s="19" t="str">
        <x:v>质量/成本以冻结FULL为参照；速度方向为本行方法相对同批参照</x:v>
      </x:c>
      <x:c r="AB43" s="19" t="str">
        <x:v>GRID89 / per_date.csv</x:v>
      </x:c>
    </x:row>
    <x:row r="44" ht="54" customHeight="1">
      <x:c r="A44" s="19" t="str">
        <x:v>GRID89 换序</x:v>
      </x:c>
      <x:c r="B44" s="19" t="str">
        <x:v>FULL__RANDOM_11</x:v>
      </x:c>
      <x:c r="C44" s="19" t="n">
        <x:f>ROWS('逐日期数据'!A265:A270)</x:f>
        <x:v>6</x:v>
      </x:c>
      <x:c r="D44" s="19" t="str">
        <x:f>SUM('逐日期数据'!F265:F270)&amp;"/"&amp;C44</x:f>
        <x:v>6/6</x:v>
      </x:c>
      <x:c r="E44" s="19" t="str">
        <x:f>SUM('逐日期数据'!G265:G270)&amp;"/"&amp;C44</x:f>
        <x:v>4/6</x:v>
      </x:c>
      <x:c r="F44" s="19" t="str">
        <x:f>MIN('逐日期数据'!E265:E270)&amp;"–"&amp;MAX('逐日期数据'!E265:E270)</x:f>
        <x:v>519–2017</x:v>
      </x:c>
      <x:c r="G44" s="23" t="n">
        <x:f>IF(COUNT('逐日期数据'!I265:I270)=0,"未测",AVERAGE('逐日期数据'!I265:I270))</x:f>
        <x:v>0</x:v>
      </x:c>
      <x:c r="H44" s="23" t="n">
        <x:f>IF(COUNT('逐日期数据'!I265:I270)=0,"未测",MAX('逐日期数据'!I265:I270))</x:f>
        <x:v>0</x:v>
      </x:c>
      <x:c r="I44" s="24" t="n">
        <x:f>SUM('逐日期数据'!J265:J270)</x:f>
        <x:v>28798</x:v>
      </x:c>
      <x:c r="J44" s="26" t="n">
        <x:f>IF(COUNT('逐日期数据'!X265:X270)=0,"未测",AVERAGE('逐日期数据'!X265:X270))</x:f>
        <x:v>0</x:v>
      </x:c>
      <x:c r="K44" s="25" t="n">
        <x:f>IF(COUNT('逐日期数据'!K265:K270)=0,"未测",AVERAGE('逐日期数据'!K265:K270))</x:f>
        <x:v>58.5089977667188</x:v>
      </x:c>
      <x:c r="L44" s="26" t="n">
        <x:f>IF(COUNT('逐日期数据'!Y265:Y270)=0,"未测",AVERAGE('逐日期数据'!Y265:Y270))</x:f>
        <x:v>0</x:v>
      </x:c>
      <x:c r="M44" s="25" t="n">
        <x:f>IF(OR(COUNT('逐日期数据'!L265:L270)=0,COUNT('逐日期数据'!N265:N270)=0),"未测",AVERAGE('逐日期数据'!L265:L270)+AVERAGE('逐日期数据'!N265:N270))</x:f>
        <x:v>21.114155066716798</x:v>
      </x:c>
      <x:c r="N44" s="25" t="n">
        <x:f>IF(COUNT('逐日期数据'!L265:L270)=0,"未测",AVERAGE('逐日期数据'!L265:L270))</x:f>
        <x:v>20.41143236675028</x:v>
      </x:c>
      <x:c r="O44" s="25" t="n">
        <x:f>IF(COUNT('逐日期数据'!M265:M270)=0,"未测",AVERAGE('逐日期数据'!M265:M270))</x:f>
        <x:v>33.2188298333258</x:v>
      </x:c>
      <x:c r="P44" s="25" t="n">
        <x:f>IF(COUNT('逐日期数据'!N265:N270)=0,"未测",AVERAGE('逐日期数据'!N265:N270))</x:f>
        <x:v>0.7027226999665194</x:v>
      </x:c>
      <x:c r="Q44" s="25" t="n">
        <x:f>IF(COUNT('逐日期数据'!O265:O270)=0,"未测",AVERAGE('逐日期数据'!O265:O270))</x:f>
        <x:v>4.176012866676198</x:v>
      </x:c>
      <x:c r="R44" s="25" t="n">
        <x:f>IF(COUNT('逐日期数据'!P265:P270)=0,"未测",AVERAGE('逐日期数据'!P265:P270)*1000)</x:f>
        <x:v>33.078606666185806</x:v>
      </x:c>
      <x:c r="S44" s="25" t="n">
        <x:f>IF(COUNT('逐日期数据'!Q265:Q270)=0,"未测",AVERAGE('逐日期数据'!Q265:Q270)*1000)</x:f>
        <x:v>868.9596296671156</x:v>
      </x:c>
      <x:c r="T44" s="25" t="n">
        <x:f>IF(COUNT('逐日期数据'!R265:R270)=0,"未测",AVERAGE('逐日期数据'!R265:R270)*1000)</x:f>
        <x:v>4280.604632999238</x:v>
      </x:c>
      <x:c r="U44" s="25" t="n">
        <x:f>IF(COUNT('逐日期数据'!S265:S270)=0,"未测",AVERAGE('逐日期数据'!S265:S270)*1000)</x:f>
        <x:v>4602.645710599042</x:v>
      </x:c>
      <x:c r="V44" s="26" t="n">
        <x:f>IF(COUNT('逐日期数据'!Z265:Z270)=0,"未测",AVERAGE('逐日期数据'!Z265:Z270))</x:f>
        <x:v>0</x:v>
      </x:c>
      <x:c r="W44" s="26" t="n">
        <x:f>IF(COUNT('逐日期数据'!AA265:AA270)=0,"未测",AVERAGE('逐日期数据'!AA265:AA270))</x:f>
        <x:v>0</x:v>
      </x:c>
      <x:c r="X44" s="19" t="str">
        <x:f>IF(COUNT('逐日期数据'!AB265:AB270)=0,"单次，未估计",TEXT(MIN('逐日期数据'!AB265:AB270),"0.00%")&amp;"～"&amp;TEXT(MAX('逐日期数据'!AB265:AB270),"0.00%"))</x:f>
        <x:v>单次，未估计</x:v>
      </x:c>
      <x:c r="Y44" s="19" t="str">
        <x:f>MIN('逐日期数据'!D265:D270)&amp;"～"&amp;MAX('逐日期数据'!D265:D270)</x:f>
        <x:v>1～1</x:v>
      </x:c>
      <x:c r="Z44" s="19" t="str">
        <x:v>FULL__RANDOM_11</x:v>
      </x:c>
      <x:c r="AA44" s="19" t="str">
        <x:v>质量/成本以冻结FULL为参照；速度方向为本行方法相对同批参照</x:v>
      </x:c>
      <x:c r="AB44" s="19" t="str">
        <x:v>GRID89 / per_date.csv</x:v>
      </x:c>
    </x:row>
    <x:row r="45" ht="54" customHeight="1">
      <x:c r="A45" s="19" t="str">
        <x:v>GRID89 换序</x:v>
      </x:c>
      <x:c r="B45" s="19" t="str">
        <x:v>FULL__RANDOM_23</x:v>
      </x:c>
      <x:c r="C45" s="19" t="n">
        <x:f>ROWS('逐日期数据'!A271:A276)</x:f>
        <x:v>6</x:v>
      </x:c>
      <x:c r="D45" s="19" t="str">
        <x:f>SUM('逐日期数据'!F271:F276)&amp;"/"&amp;C45</x:f>
        <x:v>6/6</x:v>
      </x:c>
      <x:c r="E45" s="19" t="str">
        <x:f>SUM('逐日期数据'!G271:G276)&amp;"/"&amp;C45</x:f>
        <x:v>4/6</x:v>
      </x:c>
      <x:c r="F45" s="19" t="str">
        <x:f>MIN('逐日期数据'!E271:E276)&amp;"–"&amp;MAX('逐日期数据'!E271:E276)</x:f>
        <x:v>519–2017</x:v>
      </x:c>
      <x:c r="G45" s="23" t="n">
        <x:f>IF(COUNT('逐日期数据'!I271:I276)=0,"未测",AVERAGE('逐日期数据'!I271:I276))</x:f>
        <x:v>0</x:v>
      </x:c>
      <x:c r="H45" s="23" t="n">
        <x:f>IF(COUNT('逐日期数据'!I271:I276)=0,"未测",MAX('逐日期数据'!I271:I276))</x:f>
        <x:v>0</x:v>
      </x:c>
      <x:c r="I45" s="24" t="n">
        <x:f>SUM('逐日期数据'!J271:J276)</x:f>
        <x:v>28798</x:v>
      </x:c>
      <x:c r="J45" s="26" t="n">
        <x:f>IF(COUNT('逐日期数据'!X271:X276)=0,"未测",AVERAGE('逐日期数据'!X271:X276))</x:f>
        <x:v>0</x:v>
      </x:c>
      <x:c r="K45" s="25" t="n">
        <x:f>IF(COUNT('逐日期数据'!K271:K276)=0,"未测",AVERAGE('逐日期数据'!K271:K276))</x:f>
        <x:v>58.60019399997933</x:v>
      </x:c>
      <x:c r="L45" s="26" t="n">
        <x:f>IF(COUNT('逐日期数据'!Y271:Y276)=0,"未测",AVERAGE('逐日期数据'!Y271:Y276))</x:f>
        <x:v>0</x:v>
      </x:c>
      <x:c r="M45" s="25" t="n">
        <x:f>IF(OR(COUNT('逐日期数据'!L271:L276)=0,COUNT('逐日期数据'!N271:N276)=0),"未测",AVERAGE('逐日期数据'!L271:L276)+AVERAGE('逐日期数据'!N271:N276))</x:f>
        <x:v>21.2983343334569</x:v>
      </x:c>
      <x:c r="N45" s="25" t="n">
        <x:f>IF(COUNT('逐日期数据'!L271:L276)=0,"未测",AVERAGE('逐日期数据'!L271:L276))</x:f>
        <x:v>20.64087663340918</x:v>
      </x:c>
      <x:c r="O45" s="25" t="n">
        <x:f>IF(COUNT('逐日期数据'!M271:M276)=0,"未测",AVERAGE('逐日期数据'!M271:M276))</x:f>
        <x:v>33.0602965499808</x:v>
      </x:c>
      <x:c r="P45" s="25" t="n">
        <x:f>IF(COUNT('逐日期数据'!N271:N276)=0,"未测",AVERAGE('逐日期数据'!N271:N276))</x:f>
        <x:v>0.6574577000477196</x:v>
      </x:c>
      <x:c r="Q45" s="25" t="n">
        <x:f>IF(COUNT('逐日期数据'!O271:O276)=0,"未测",AVERAGE('逐日期数据'!O271:O276))</x:f>
        <x:v>4.241563116541632</x:v>
      </x:c>
      <x:c r="R45" s="25" t="n">
        <x:f>IF(COUNT('逐日期数据'!P271:P276)=0,"未测",AVERAGE('逐日期数据'!P271:P276)*1000)</x:f>
        <x:v>33.0696933331031</x:v>
      </x:c>
      <x:c r="S45" s="25" t="n">
        <x:f>IF(COUNT('逐日期数据'!Q271:Q276)=0,"未测",AVERAGE('逐日期数据'!Q271:Q276)*1000)</x:f>
        <x:v>888.1882478330333</x:v>
      </x:c>
      <x:c r="T45" s="25" t="n">
        <x:f>IF(COUNT('逐日期数据'!R271:R276)=0,"未测",AVERAGE('逐日期数据'!R271:R276)*1000)</x:f>
        <x:v>4302.26103199915</x:v>
      </x:c>
      <x:c r="U45" s="25" t="n">
        <x:f>IF(COUNT('逐日期数据'!S271:S276)=0,"未测",AVERAGE('逐日期数据'!S271:S276)*1000)</x:f>
        <x:v>4616.348974399341</x:v>
      </x:c>
      <x:c r="V45" s="26" t="n">
        <x:f>IF(COUNT('逐日期数据'!Z271:Z276)=0,"未测",AVERAGE('逐日期数据'!Z271:Z276))</x:f>
        <x:v>0</x:v>
      </x:c>
      <x:c r="W45" s="26" t="n">
        <x:f>IF(COUNT('逐日期数据'!AA271:AA276)=0,"未测",AVERAGE('逐日期数据'!AA271:AA276))</x:f>
        <x:v>0</x:v>
      </x:c>
      <x:c r="X45" s="19" t="str">
        <x:f>IF(COUNT('逐日期数据'!AB271:AB276)=0,"单次，未估计",TEXT(MIN('逐日期数据'!AB271:AB276),"0.00%")&amp;"～"&amp;TEXT(MAX('逐日期数据'!AB271:AB276),"0.00%"))</x:f>
        <x:v>单次，未估计</x:v>
      </x:c>
      <x:c r="Y45" s="19" t="str">
        <x:f>MIN('逐日期数据'!D271:D276)&amp;"～"&amp;MAX('逐日期数据'!D271:D276)</x:f>
        <x:v>1～1</x:v>
      </x:c>
      <x:c r="Z45" s="19" t="str">
        <x:v>FULL__RANDOM_23</x:v>
      </x:c>
      <x:c r="AA45" s="19" t="str">
        <x:v>质量/成本以冻结FULL为参照；速度方向为本行方法相对同批参照</x:v>
      </x:c>
      <x:c r="AB45" s="19" t="str">
        <x:v>GRID89 / per_date.csv</x:v>
      </x:c>
    </x:row>
    <x:row r="46" ht="54" customHeight="1">
      <x:c r="A46" s="19" t="str">
        <x:v>GRID89 换序</x:v>
      </x:c>
      <x:c r="B46" s="19" t="str">
        <x:v>FULL__RANDOM_37</x:v>
      </x:c>
      <x:c r="C46" s="19" t="n">
        <x:f>ROWS('逐日期数据'!A277:A282)</x:f>
        <x:v>6</x:v>
      </x:c>
      <x:c r="D46" s="19" t="str">
        <x:f>SUM('逐日期数据'!F277:F282)&amp;"/"&amp;C46</x:f>
        <x:v>6/6</x:v>
      </x:c>
      <x:c r="E46" s="19" t="str">
        <x:f>SUM('逐日期数据'!G277:G282)&amp;"/"&amp;C46</x:f>
        <x:v>4/6</x:v>
      </x:c>
      <x:c r="F46" s="19" t="str">
        <x:f>MIN('逐日期数据'!E277:E282)&amp;"–"&amp;MAX('逐日期数据'!E277:E282)</x:f>
        <x:v>519–2017</x:v>
      </x:c>
      <x:c r="G46" s="23" t="n">
        <x:f>IF(COUNT('逐日期数据'!I277:I282)=0,"未测",AVERAGE('逐日期数据'!I277:I282))</x:f>
        <x:v>0</x:v>
      </x:c>
      <x:c r="H46" s="23" t="n">
        <x:f>IF(COUNT('逐日期数据'!I277:I282)=0,"未测",MAX('逐日期数据'!I277:I282))</x:f>
        <x:v>0</x:v>
      </x:c>
      <x:c r="I46" s="24" t="n">
        <x:f>SUM('逐日期数据'!J277:J282)</x:f>
        <x:v>28798</x:v>
      </x:c>
      <x:c r="J46" s="26" t="n">
        <x:f>IF(COUNT('逐日期数据'!X277:X282)=0,"未测",AVERAGE('逐日期数据'!X277:X282))</x:f>
        <x:v>0</x:v>
      </x:c>
      <x:c r="K46" s="25" t="n">
        <x:f>IF(COUNT('逐日期数据'!K277:K282)=0,"未测",AVERAGE('逐日期数据'!K277:K282))</x:f>
        <x:v>59.01891053328897</x:v>
      </x:c>
      <x:c r="L46" s="26" t="n">
        <x:f>IF(COUNT('逐日期数据'!Y277:Y282)=0,"未测",AVERAGE('逐日期数据'!Y277:Y282))</x:f>
        <x:v>0</x:v>
      </x:c>
      <x:c r="M46" s="25" t="n">
        <x:f>IF(OR(COUNT('逐日期数据'!L277:L282)=0,COUNT('逐日期数据'!N277:N282)=0),"未测",AVERAGE('逐日期数据'!L277:L282)+AVERAGE('逐日期数据'!N277:N282))</x:f>
        <x:v>21.29341143334447</x:v>
      </x:c>
      <x:c r="N46" s="25" t="n">
        <x:f>IF(COUNT('逐日期数据'!L277:L282)=0,"未测",AVERAGE('逐日期数据'!L277:L282))</x:f>
        <x:v>20.577622833314916</x:v>
      </x:c>
      <x:c r="O46" s="25" t="n">
        <x:f>IF(COUNT('逐日期数据'!M277:M282)=0,"未测",AVERAGE('逐日期数据'!M277:M282))</x:f>
        <x:v>33.476173316671826</x:v>
      </x:c>
      <x:c r="P46" s="25" t="n">
        <x:f>IF(COUNT('逐日期数据'!N277:N282)=0,"未测",AVERAGE('逐日期数据'!N277:N282))</x:f>
        <x:v>0.7157886000295548</x:v>
      </x:c>
      <x:c r="Q46" s="25" t="n">
        <x:f>IF(COUNT('逐日期数据'!O277:O282)=0,"未测",AVERAGE('逐日期数据'!O277:O282))</x:f>
        <x:v>4.249325783272677</x:v>
      </x:c>
      <x:c r="R46" s="25" t="n">
        <x:f>IF(COUNT('逐日期数据'!P277:P282)=0,"未测",AVERAGE('逐日期数据'!P277:P282)*1000)</x:f>
        <x:v>33.250830000179114</x:v>
      </x:c>
      <x:c r="S46" s="25" t="n">
        <x:f>IF(COUNT('逐日期数据'!Q277:Q282)=0,"未测",AVERAGE('逐日期数据'!Q277:Q282)*1000)</x:f>
        <x:v>871.6272290006049</x:v>
      </x:c>
      <x:c r="T46" s="25" t="n">
        <x:f>IF(COUNT('逐日期数据'!R277:R282)=0,"未测",AVERAGE('逐日期数据'!R277:R282)*1000)</x:f>
        <x:v>4309.367509999719</x:v>
      </x:c>
      <x:c r="U46" s="25" t="n">
        <x:f>IF(COUNT('逐日期数据'!S277:S282)=0,"未测",AVERAGE('逐日期数据'!S277:S282)*1000)</x:f>
        <x:v>4607.05681399937</x:v>
      </x:c>
      <x:c r="V46" s="26" t="n">
        <x:f>IF(COUNT('逐日期数据'!Z277:Z282)=0,"未测",AVERAGE('逐日期数据'!Z277:Z282))</x:f>
        <x:v>0</x:v>
      </x:c>
      <x:c r="W46" s="26" t="n">
        <x:f>IF(COUNT('逐日期数据'!AA277:AA282)=0,"未测",AVERAGE('逐日期数据'!AA277:AA282))</x:f>
        <x:v>0</x:v>
      </x:c>
      <x:c r="X46" s="19" t="str">
        <x:f>IF(COUNT('逐日期数据'!AB277:AB282)=0,"单次，未估计",TEXT(MIN('逐日期数据'!AB277:AB282),"0.00%")&amp;"～"&amp;TEXT(MAX('逐日期数据'!AB277:AB282),"0.00%"))</x:f>
        <x:v>单次，未估计</x:v>
      </x:c>
      <x:c r="Y46" s="19" t="str">
        <x:f>MIN('逐日期数据'!D277:D282)&amp;"～"&amp;MAX('逐日期数据'!D277:D282)</x:f>
        <x:v>1～1</x:v>
      </x:c>
      <x:c r="Z46" s="19" t="str">
        <x:v>FULL__RANDOM_37</x:v>
      </x:c>
      <x:c r="AA46" s="19" t="str">
        <x:v>质量/成本以冻结FULL为参照；速度方向为本行方法相对同批参照</x:v>
      </x:c>
      <x:c r="AB46" s="19" t="str">
        <x:v>GRID89 / per_date.csv</x:v>
      </x:c>
    </x:row>
    <x:row r="47" ht="54" customHeight="1">
      <x:c r="A47" s="19" t="str">
        <x:v>GRID89 换序</x:v>
      </x:c>
      <x:c r="B47" s="19" t="str">
        <x:v>FULL__STATIC_ID</x:v>
      </x:c>
      <x:c r="C47" s="19" t="n">
        <x:f>ROWS('逐日期数据'!A283:A288)</x:f>
        <x:v>6</x:v>
      </x:c>
      <x:c r="D47" s="19" t="str">
        <x:f>SUM('逐日期数据'!F283:F288)&amp;"/"&amp;C47</x:f>
        <x:v>6/6</x:v>
      </x:c>
      <x:c r="E47" s="19" t="str">
        <x:f>SUM('逐日期数据'!G283:G288)&amp;"/"&amp;C47</x:f>
        <x:v>4/6</x:v>
      </x:c>
      <x:c r="F47" s="19" t="str">
        <x:f>MIN('逐日期数据'!E283:E288)&amp;"–"&amp;MAX('逐日期数据'!E283:E288)</x:f>
        <x:v>519–2017</x:v>
      </x:c>
      <x:c r="G47" s="23" t="n">
        <x:f>IF(COUNT('逐日期数据'!I283:I288)=0,"未测",AVERAGE('逐日期数据'!I283:I288))</x:f>
        <x:v>0</x:v>
      </x:c>
      <x:c r="H47" s="23" t="n">
        <x:f>IF(COUNT('逐日期数据'!I283:I288)=0,"未测",MAX('逐日期数据'!I283:I288))</x:f>
        <x:v>0</x:v>
      </x:c>
      <x:c r="I47" s="24" t="n">
        <x:f>SUM('逐日期数据'!J283:J288)</x:f>
        <x:v>28798</x:v>
      </x:c>
      <x:c r="J47" s="26" t="n">
        <x:f>IF(COUNT('逐日期数据'!X283:X288)=0,"未测",AVERAGE('逐日期数据'!X283:X288))</x:f>
        <x:v>0</x:v>
      </x:c>
      <x:c r="K47" s="25" t="n">
        <x:f>IF(COUNT('逐日期数据'!K283:K288)=0,"未测",AVERAGE('逐日期数据'!K283:K288))</x:f>
        <x:v>58.37492126668925</x:v>
      </x:c>
      <x:c r="L47" s="26" t="n">
        <x:f>IF(COUNT('逐日期数据'!Y283:Y288)=0,"未测",AVERAGE('逐日期数据'!Y283:Y288))</x:f>
        <x:v>0</x:v>
      </x:c>
      <x:c r="M47" s="25" t="n">
        <x:f>IF(OR(COUNT('逐日期数据'!L283:L288)=0,COUNT('逐日期数据'!N283:N288)=0),"未测",AVERAGE('逐日期数据'!L283:L288)+AVERAGE('逐日期数据'!N283:N288))</x:f>
        <x:v>21.037613550006427</x:v>
      </x:c>
      <x:c r="N47" s="25" t="n">
        <x:f>IF(COUNT('逐日期数据'!L283:L288)=0,"未测",AVERAGE('逐日期数据'!L283:L288))</x:f>
        <x:v>20.343923683289177</x:v>
      </x:c>
      <x:c r="O47" s="25" t="n">
        <x:f>IF(COUNT('逐日期数据'!M283:M288)=0,"未测",AVERAGE('逐日期数据'!M283:M288))</x:f>
        <x:v>33.025743300021226</x:v>
      </x:c>
      <x:c r="P47" s="25" t="n">
        <x:f>IF(COUNT('逐日期数据'!N283:N288)=0,"未测",AVERAGE('逐日期数据'!N283:N288))</x:f>
        <x:v>0.69368986671725</x:v>
      </x:c>
      <x:c r="Q47" s="25" t="n">
        <x:f>IF(COUNT('逐日期数据'!O283:O288)=0,"未测",AVERAGE('逐日期数据'!O283:O288))</x:f>
        <x:v>4.311564416661592</x:v>
      </x:c>
      <x:c r="R47" s="25" t="n">
        <x:f>IF(COUNT('逐日期数据'!P283:P288)=0,"未测",AVERAGE('逐日期数据'!P283:P288)*1000)</x:f>
        <x:v>32.815660832632894</x:v>
      </x:c>
      <x:c r="S47" s="25" t="n">
        <x:f>IF(COUNT('逐日期数据'!Q283:Q288)=0,"未测",AVERAGE('逐日期数据'!Q283:Q288)*1000)</x:f>
        <x:v>858.6287500006122</x:v>
      </x:c>
      <x:c r="T47" s="25" t="n">
        <x:f>IF(COUNT('逐日期数据'!R283:R288)=0,"未测",AVERAGE('逐日期数据'!R283:R288)*1000)</x:f>
        <x:v>4293.206182000686</x:v>
      </x:c>
      <x:c r="U47" s="25" t="n">
        <x:f>IF(COUNT('逐日期数据'!S283:S288)=0,"未测",AVERAGE('逐日期数据'!S283:S288)*1000)</x:f>
        <x:v>4610.083668400905</x:v>
      </x:c>
      <x:c r="V47" s="26" t="n">
        <x:f>IF(COUNT('逐日期数据'!Z283:Z288)=0,"未测",AVERAGE('逐日期数据'!Z283:Z288))</x:f>
        <x:v>0</x:v>
      </x:c>
      <x:c r="W47" s="26" t="n">
        <x:f>IF(COUNT('逐日期数据'!AA283:AA288)=0,"未测",AVERAGE('逐日期数据'!AA283:AA288))</x:f>
        <x:v>0</x:v>
      </x:c>
      <x:c r="X47" s="19" t="str">
        <x:f>IF(COUNT('逐日期数据'!AB283:AB288)=0,"单次，未估计",TEXT(MIN('逐日期数据'!AB283:AB288),"0.00%")&amp;"～"&amp;TEXT(MAX('逐日期数据'!AB283:AB288),"0.00%"))</x:f>
        <x:v>单次，未估计</x:v>
      </x:c>
      <x:c r="Y47" s="19" t="str">
        <x:f>MIN('逐日期数据'!D283:D288)&amp;"～"&amp;MAX('逐日期数据'!D283:D288)</x:f>
        <x:v>1～1</x:v>
      </x:c>
      <x:c r="Z47" s="19" t="str">
        <x:v>FULL__STATIC_ID</x:v>
      </x:c>
      <x:c r="AA47" s="19" t="str">
        <x:v>质量/成本以冻结FULL为参照；速度方向为本行方法相对同批参照</x:v>
      </x:c>
      <x:c r="AB47" s="19" t="str">
        <x:v>GRID89 / per_date.csv</x:v>
      </x:c>
    </x:row>
    <x:row r="48" ht="54" customHeight="1">
      <x:c r="A48" s="19" t="str">
        <x:v>GRID89 参数</x:v>
      </x:c>
      <x:c r="B48" s="19" t="str">
        <x:v>FULL</x:v>
      </x:c>
      <x:c r="C48" s="19" t="n">
        <x:f>ROWS('逐日期数据'!A333:A336)</x:f>
        <x:v>4</x:v>
      </x:c>
      <x:c r="D48" s="19" t="str">
        <x:f>SUM('逐日期数据'!F333:F336)&amp;"/"&amp;C48</x:f>
        <x:v>4/4</x:v>
      </x:c>
      <x:c r="E48" s="19" t="str">
        <x:f>SUM('逐日期数据'!G333:G336)&amp;"/"&amp;C48</x:f>
        <x:v>3/4</x:v>
      </x:c>
      <x:c r="F48" s="19" t="str">
        <x:f>MIN('逐日期数据'!E333:E336)&amp;"–"&amp;MAX('逐日期数据'!E333:E336)</x:f>
        <x:v>1901–2017</x:v>
      </x:c>
      <x:c r="G48" s="23" t="n">
        <x:f>IF(COUNT('逐日期数据'!I333:I336)=0,"未测",AVERAGE('逐日期数据'!I333:I336))</x:f>
        <x:v>0</x:v>
      </x:c>
      <x:c r="H48" s="23" t="n">
        <x:f>IF(COUNT('逐日期数据'!I333:I336)=0,"未测",MAX('逐日期数据'!I333:I336))</x:f>
        <x:v>0</x:v>
      </x:c>
      <x:c r="I48" s="24" t="n">
        <x:f>SUM('逐日期数据'!J333:J336)</x:f>
        <x:v>22597</x:v>
      </x:c>
      <x:c r="J48" s="26" t="n">
        <x:f>IF(COUNT('逐日期数据'!X333:X336)=0,"未测",AVERAGE('逐日期数据'!X333:X336))</x:f>
        <x:v>0</x:v>
      </x:c>
      <x:c r="K48" s="25" t="n">
        <x:f>IF(COUNT('逐日期数据'!K333:K336)=0,"未测",AVERAGE('逐日期数据'!K333:K336))</x:f>
        <x:v>83.27888352497848</x:v>
      </x:c>
      <x:c r="L48" s="26" t="n">
        <x:f>IF(COUNT('逐日期数据'!Y333:Y336)=0,"未测",AVERAGE('逐日期数据'!Y333:Y336))</x:f>
        <x:v>0</x:v>
      </x:c>
      <x:c r="M48" s="25" t="n">
        <x:f>IF(OR(COUNT('逐日期数据'!L333:L336)=0,COUNT('逐日期数据'!N333:N336)=0),"未测",AVERAGE('逐日期数据'!L333:L336)+AVERAGE('逐日期数据'!N333:N336))</x:f>
        <x:v>26.89211207500557</x:v>
      </x:c>
      <x:c r="N48" s="25" t="n">
        <x:f>IF(COUNT('逐日期数据'!L333:L336)=0,"未测",AVERAGE('逐日期数据'!L333:L336))</x:f>
        <x:v>26.146915125077612</x:v>
      </x:c>
      <x:c r="O48" s="25" t="n">
        <x:f>IF(COUNT('逐日期数据'!M333:M336)=0,"未测",AVERAGE('逐日期数据'!M333:M336))</x:f>
        <x:v>50.809047400015515</x:v>
      </x:c>
      <x:c r="P48" s="25" t="n">
        <x:f>IF(COUNT('逐日期数据'!N333:N336)=0,"未测",AVERAGE('逐日期数据'!N333:N336))</x:f>
        <x:v>0.7451969499279585</x:v>
      </x:c>
      <x:c r="Q48" s="25" t="n">
        <x:f>IF(COUNT('逐日期数据'!O333:O336)=0,"未测",AVERAGE('逐日期数据'!O333:O336))</x:f>
        <x:v>5.577724049957396</x:v>
      </x:c>
      <x:c r="R48" s="25" t="n">
        <x:f>IF(COUNT('逐日期数据'!P333:P336)=0,"未测",AVERAGE('逐日期数据'!P333:P336)*1000)</x:f>
        <x:v>35.49930999979549</x:v>
      </x:c>
      <x:c r="S48" s="25" t="n">
        <x:f>IF(COUNT('逐日期数据'!Q333:Q336)=0,"未测",AVERAGE('逐日期数据'!Q333:Q336)*1000)</x:f>
        <x:v>1232.4167909999226</x:v>
      </x:c>
      <x:c r="T48" s="25" t="n">
        <x:f>IF(COUNT('逐日期数据'!R333:R336)=0,"未测",AVERAGE('逐日期数据'!R333:R336)*1000)</x:f>
        <x:v>4457.545218750419</x:v>
      </x:c>
      <x:c r="U48" s="25" t="n">
        <x:f>IF(COUNT('逐日期数据'!S333:S336)=0,"未测",AVERAGE('逐日期数据'!S333:S336)*1000)</x:f>
        <x:v>4580.274343750607</x:v>
      </x:c>
      <x:c r="V48" s="26" t="n">
        <x:f>IF(COUNT('逐日期数据'!Z333:Z336)=0,"未测",AVERAGE('逐日期数据'!Z333:Z336))</x:f>
        <x:v>0</x:v>
      </x:c>
      <x:c r="W48" s="26" t="n">
        <x:f>IF(COUNT('逐日期数据'!AA333:AA336)=0,"未测",AVERAGE('逐日期数据'!AA333:AA336))</x:f>
        <x:v>0</x:v>
      </x:c>
      <x:c r="X48" s="19" t="str">
        <x:f>IF(COUNT('逐日期数据'!AB333:AB336)=0,"单次，未估计",TEXT(MIN('逐日期数据'!AB333:AB336),"0.00%")&amp;"～"&amp;TEXT(MAX('逐日期数据'!AB333:AB336),"0.00%"))</x:f>
        <x:v>单次，未估计</x:v>
      </x:c>
      <x:c r="Y48" s="19" t="str">
        <x:f>MIN('逐日期数据'!D333:D336)&amp;"～"&amp;MAX('逐日期数据'!D333:D336)</x:f>
        <x:v>1～1</x:v>
      </x:c>
      <x:c r="Z48" s="19" t="str">
        <x:v>FULL</x:v>
      </x:c>
      <x:c r="AA48" s="19" t="str">
        <x:v>质量/成本以冻结FULL为参照；速度方向为本行方法相对同批参照</x:v>
      </x:c>
      <x:c r="AB48" s="19" t="str">
        <x:v>GRID89 / per_date.csv</x:v>
      </x:c>
    </x:row>
    <x:row r="49" ht="54" customHeight="1">
      <x:c r="A49" s="19" t="str">
        <x:v>GRID89 参数</x:v>
      </x:c>
      <x:c r="B49" s="19" t="str">
        <x:v>FRAME_GUARD</x:v>
      </x:c>
      <x:c r="C49" s="19" t="n">
        <x:f>ROWS('逐日期数据'!A289:A292)</x:f>
        <x:v>4</x:v>
      </x:c>
      <x:c r="D49" s="19" t="str">
        <x:f>SUM('逐日期数据'!F289:F292)&amp;"/"&amp;C49</x:f>
        <x:v>4/4</x:v>
      </x:c>
      <x:c r="E49" s="19" t="str">
        <x:f>SUM('逐日期数据'!G289:G292)&amp;"/"&amp;C49</x:f>
        <x:v>3/4</x:v>
      </x:c>
      <x:c r="F49" s="19" t="str">
        <x:f>MIN('逐日期数据'!E289:E292)&amp;"–"&amp;MAX('逐日期数据'!E289:E292)</x:f>
        <x:v>1901–2017</x:v>
      </x:c>
      <x:c r="G49" s="23" t="n">
        <x:f>IF(COUNT('逐日期数据'!I289:I292)=0,"未测",AVERAGE('逐日期数据'!I289:I292))</x:f>
        <x:v>-0.004981862873776555</x:v>
      </x:c>
      <x:c r="H49" s="23" t="n">
        <x:f>IF(COUNT('逐日期数据'!I289:I292)=0,"未测",MAX('逐日期数据'!I289:I292))</x:f>
        <x:v>0.003720046656812137</x:v>
      </x:c>
      <x:c r="I49" s="24" t="n">
        <x:f>SUM('逐日期数据'!J289:J292)</x:f>
        <x:v>9108</x:v>
      </x:c>
      <x:c r="J49" s="26" t="n">
        <x:f>IF(COUNT('逐日期数据'!X289:X292)=0,"未测",AVERAGE('逐日期数据'!X289:X292))</x:f>
        <x:v>0.6107379190691415</x:v>
      </x:c>
      <x:c r="K49" s="25" t="n">
        <x:f>IF(COUNT('逐日期数据'!K289:K292)=0,"未测",AVERAGE('逐日期数据'!K289:K292))</x:f>
        <x:v>72.75491852501546</x:v>
      </x:c>
      <x:c r="L49" s="26" t="n">
        <x:f>IF(COUNT('逐日期数据'!Y289:Y292)=0,"未测",AVERAGE('逐日期数据'!Y289:Y292))</x:f>
        <x:v>0.1155321372331139</x:v>
      </x:c>
      <x:c r="M49" s="25" t="n">
        <x:f>IF(OR(COUNT('逐日期数据'!L289:L292)=0,COUNT('逐日期数据'!N289:N292)=0),"未测",AVERAGE('逐日期数据'!L289:L292)+AVERAGE('逐日期数据'!N289:N292))</x:f>
        <x:v>17.186307274967476</x:v>
      </x:c>
      <x:c r="N49" s="25" t="n">
        <x:f>IF(COUNT('逐日期数据'!L289:L292)=0,"未测",AVERAGE('逐日期数据'!L289:L292))</x:f>
        <x:v>16.503589049915718</x:v>
      </x:c>
      <x:c r="O49" s="25" t="n">
        <x:f>IF(COUNT('逐日期数据'!M289:M292)=0,"未测",AVERAGE('逐日期数据'!M289:M292))</x:f>
        <x:v>50.35906272498323</x:v>
      </x:c>
      <x:c r="P49" s="25" t="n">
        <x:f>IF(COUNT('逐日期数据'!N289:N292)=0,"未测",AVERAGE('逐日期数据'!N289:N292))</x:f>
        <x:v>0.682718225051758</x:v>
      </x:c>
      <x:c r="Q49" s="25" t="n">
        <x:f>IF(COUNT('逐日期数据'!O289:O292)=0,"未测",AVERAGE('逐日期数据'!O289:O292))</x:f>
        <x:v>5.209548525064747</x:v>
      </x:c>
      <x:c r="R49" s="25" t="n">
        <x:f>IF(COUNT('逐日期数据'!P289:P292)=0,"未测",AVERAGE('逐日期数据'!P289:P292)*1000)</x:f>
        <x:v>36.02512999914324</x:v>
      </x:c>
      <x:c r="S49" s="25" t="n">
        <x:f>IF(COUNT('逐日期数据'!Q289:Q292)=0,"未测",AVERAGE('逐日期数据'!Q289:Q292)*1000)</x:f>
        <x:v>1120.4759100001306</x:v>
      </x:c>
      <x:c r="T49" s="25" t="n">
        <x:f>IF(COUNT('逐日期数据'!R289:R292)=0,"未测",AVERAGE('逐日期数据'!R289:R292)*1000)</x:f>
        <x:v>3287.540327500119</x:v>
      </x:c>
      <x:c r="U49" s="25" t="n">
        <x:f>IF(COUNT('逐日期数据'!S289:S292)=0,"未测",AVERAGE('逐日期数据'!S289:S292)*1000)</x:f>
        <x:v>3477.607965500083</x:v>
      </x:c>
      <x:c r="V49" s="26" t="n">
        <x:f>IF(COUNT('逐日期数据'!Z289:Z292)=0,"未测",AVERAGE('逐日期数据'!Z289:Z292))</x:f>
        <x:v>-0.019684111839695345</x:v>
      </x:c>
      <x:c r="W49" s="26" t="n">
        <x:f>IF(COUNT('逐日期数据'!AA289:AA292)=0,"未测",AVERAGE('逐日期数据'!AA289:AA292))</x:f>
        <x:v>0.2991993455322067</x:v>
      </x:c>
      <x:c r="X49" s="19" t="str">
        <x:f>IF(COUNT('逐日期数据'!AB289:AB292)=0,"单次，未估计",TEXT(MIN('逐日期数据'!AB289:AB292),"0.00%")&amp;"～"&amp;TEXT(MAX('逐日期数据'!AB289:AB292),"0.00%"))</x:f>
        <x:v>单次，未估计</x:v>
      </x:c>
      <x:c r="Y49" s="19" t="str">
        <x:f>MIN('逐日期数据'!D289:D292)&amp;"～"&amp;MAX('逐日期数据'!D289:D292)</x:f>
        <x:v>1～1</x:v>
      </x:c>
      <x:c r="Z49" s="19" t="str">
        <x:v>FULL</x:v>
      </x:c>
      <x:c r="AA49" s="19" t="str">
        <x:v>质量/成本以冻结FULL为参照；速度方向为本行方法相对同批参照</x:v>
      </x:c>
      <x:c r="AB49" s="19" t="str">
        <x:v>GRID89 / per_date.csv</x:v>
      </x:c>
    </x:row>
    <x:row r="50" ht="54" customHeight="1">
      <x:c r="A50" s="19" t="str">
        <x:v>GRID89 参数</x:v>
      </x:c>
      <x:c r="B50" s="19" t="str">
        <x:v>FRAME_h_128</x:v>
      </x:c>
      <x:c r="C50" s="19" t="n">
        <x:f>ROWS('逐日期数据'!A293:A296)</x:f>
        <x:v>4</x:v>
      </x:c>
      <x:c r="D50" s="19" t="str">
        <x:f>SUM('逐日期数据'!F293:F296)&amp;"/"&amp;C50</x:f>
        <x:v>4/4</x:v>
      </x:c>
      <x:c r="E50" s="19" t="str">
        <x:f>SUM('逐日期数据'!G293:G296)&amp;"/"&amp;C50</x:f>
        <x:v>3/4</x:v>
      </x:c>
      <x:c r="F50" s="19" t="str">
        <x:f>MIN('逐日期数据'!E293:E296)&amp;"–"&amp;MAX('逐日期数据'!E293:E296)</x:f>
        <x:v>1901–2017</x:v>
      </x:c>
      <x:c r="G50" s="23" t="n">
        <x:f>IF(COUNT('逐日期数据'!I293:I296)=0,"未测",AVERAGE('逐日期数据'!I293:I296))</x:f>
        <x:v>0</x:v>
      </x:c>
      <x:c r="H50" s="23" t="n">
        <x:f>IF(COUNT('逐日期数据'!I293:I296)=0,"未测",MAX('逐日期数据'!I293:I296))</x:f>
        <x:v>0</x:v>
      </x:c>
      <x:c r="I50" s="24" t="n">
        <x:f>SUM('逐日期数据'!J293:J296)</x:f>
        <x:v>13904</x:v>
      </x:c>
      <x:c r="J50" s="26" t="n">
        <x:f>IF(COUNT('逐日期数据'!X293:X296)=0,"未测",AVERAGE('逐日期数据'!X293:X296))</x:f>
        <x:v>0.42671267065944024</x:v>
      </x:c>
      <x:c r="K50" s="25" t="n">
        <x:f>IF(COUNT('逐日期数据'!K293:K296)=0,"未测",AVERAGE('逐日期数据'!K293:K296))</x:f>
        <x:v>83.34848230003536</x:v>
      </x:c>
      <x:c r="L50" s="26" t="n">
        <x:f>IF(COUNT('逐日期数据'!Y293:Y296)=0,"未测",AVERAGE('逐日期数据'!Y293:Y296))</x:f>
        <x:v>0.030221848961693748</x:v>
      </x:c>
      <x:c r="M50" s="25" t="n">
        <x:f>IF(OR(COUNT('逐日期数据'!L293:L296)=0,COUNT('逐日期数据'!N293:N296)=0),"未测",AVERAGE('逐日期数据'!L293:L296)+AVERAGE('逐日期数据'!N293:N296))</x:f>
        <x:v>22.50384822493561</x:v>
      </x:c>
      <x:c r="N50" s="25" t="n">
        <x:f>IF(COUNT('逐日期数据'!L293:L296)=0,"未测",AVERAGE('逐日期数据'!L293:L296))</x:f>
        <x:v>21.685782024906075</x:v>
      </x:c>
      <x:c r="O50" s="25" t="n">
        <x:f>IF(COUNT('逐日期数据'!M293:M296)=0,"未测",AVERAGE('逐日期数据'!M293:M296))</x:f>
        <x:v>55.20847392501855</x:v>
      </x:c>
      <x:c r="P50" s="25" t="n">
        <x:f>IF(COUNT('逐日期数据'!N293:N296)=0,"未测",AVERAGE('逐日期数据'!N293:N296))</x:f>
        <x:v>0.8180662000295342</x:v>
      </x:c>
      <x:c r="Q50" s="25" t="n">
        <x:f>IF(COUNT('逐日期数据'!O293:O296)=0,"未测",AVERAGE('逐日期数据'!O293:O296))</x:f>
        <x:v>5.636160150081196</x:v>
      </x:c>
      <x:c r="R50" s="25" t="n">
        <x:f>IF(COUNT('逐日期数据'!P293:P296)=0,"未测",AVERAGE('逐日期数据'!P293:P296)*1000)</x:f>
        <x:v>38.16732500090438</x:v>
      </x:c>
      <x:c r="S50" s="25" t="n">
        <x:f>IF(COUNT('逐日期数据'!Q293:Q296)=0,"未测",AVERAGE('逐日期数据'!Q293:Q296)*1000)</x:f>
        <x:v>1288.3906469997935</x:v>
      </x:c>
      <x:c r="T50" s="25" t="n">
        <x:f>IF(COUNT('逐日期数据'!R293:R296)=0,"未测",AVERAGE('逐日期数据'!R293:R296)*1000)</x:f>
        <x:v>3766.9865499991824</x:v>
      </x:c>
      <x:c r="U50" s="25" t="n">
        <x:f>IF(COUNT('逐日期数据'!S293:S296)=0,"未测",AVERAGE('逐日期数据'!S293:S296)*1000)</x:f>
        <x:v>3857.2254699996665</x:v>
      </x:c>
      <x:c r="V50" s="26" t="n">
        <x:f>IF(COUNT('逐日期数据'!Z293:Z296)=0,"未测",AVERAGE('逐日期数据'!Z293:Z296))</x:f>
        <x:v>-0.0705342733956246</x:v>
      </x:c>
      <x:c r="W50" s="26" t="n">
        <x:f>IF(COUNT('逐日期数据'!AA293:AA296)=0,"未测",AVERAGE('逐日期数据'!AA293:AA296))</x:f>
        <x:v>0.20686117348716607</x:v>
      </x:c>
      <x:c r="X50" s="19" t="str">
        <x:f>IF(COUNT('逐日期数据'!AB293:AB296)=0,"单次，未估计",TEXT(MIN('逐日期数据'!AB293:AB296),"0.00%")&amp;"～"&amp;TEXT(MAX('逐日期数据'!AB293:AB296),"0.00%"))</x:f>
        <x:v>单次，未估计</x:v>
      </x:c>
      <x:c r="Y50" s="19" t="str">
        <x:f>MIN('逐日期数据'!D293:D296)&amp;"～"&amp;MAX('逐日期数据'!D293:D296)</x:f>
        <x:v>1～1</x:v>
      </x:c>
      <x:c r="Z50" s="19" t="str">
        <x:v>FULL</x:v>
      </x:c>
      <x:c r="AA50" s="19" t="str">
        <x:v>质量/成本以冻结FULL为参照；速度方向为本行方法相对同批参照</x:v>
      </x:c>
      <x:c r="AB50" s="19" t="str">
        <x:v>GRID89 / per_date.csv</x:v>
      </x:c>
    </x:row>
    <x:row r="51" ht="54" customHeight="1">
      <x:c r="A51" s="19" t="str">
        <x:v>GRID89 参数</x:v>
      </x:c>
      <x:c r="B51" s="19" t="str">
        <x:v>FRAME_h_32</x:v>
      </x:c>
      <x:c r="C51" s="19" t="n">
        <x:f>ROWS('逐日期数据'!A297:A300)</x:f>
        <x:v>4</x:v>
      </x:c>
      <x:c r="D51" s="19" t="str">
        <x:f>SUM('逐日期数据'!F297:F300)&amp;"/"&amp;C51</x:f>
        <x:v>4/4</x:v>
      </x:c>
      <x:c r="E51" s="19" t="str">
        <x:f>SUM('逐日期数据'!G297:G300)&amp;"/"&amp;C51</x:f>
        <x:v>3/4</x:v>
      </x:c>
      <x:c r="F51" s="19" t="str">
        <x:f>MIN('逐日期数据'!E297:E300)&amp;"–"&amp;MAX('逐日期数据'!E297:E300)</x:f>
        <x:v>1901–2017</x:v>
      </x:c>
      <x:c r="G51" s="23" t="n">
        <x:f>IF(COUNT('逐日期数据'!I297:I300)=0,"未测",AVERAGE('逐日期数据'!I297:I300))</x:f>
        <x:v>-0.004981862873776555</x:v>
      </x:c>
      <x:c r="H51" s="23" t="n">
        <x:f>IF(COUNT('逐日期数据'!I297:I300)=0,"未测",MAX('逐日期数据'!I297:I300))</x:f>
        <x:v>0.003720046656812137</x:v>
      </x:c>
      <x:c r="I51" s="24" t="n">
        <x:f>SUM('逐日期数据'!J297:J300)</x:f>
        <x:v>8772</x:v>
      </x:c>
      <x:c r="J51" s="26" t="n">
        <x:f>IF(COUNT('逐日期数据'!X297:X300)=0,"未测",AVERAGE('逐日期数据'!X297:X300))</x:f>
        <x:v>0.6201763836956715</x:v>
      </x:c>
      <x:c r="K51" s="25" t="n">
        <x:f>IF(COUNT('逐日期数据'!K297:K300)=0,"未测",AVERAGE('逐日期数据'!K297:K300))</x:f>
        <x:v>72.38261197496286</x:v>
      </x:c>
      <x:c r="L51" s="26" t="n">
        <x:f>IF(COUNT('逐日期数据'!Y297:Y300)=0,"未测",AVERAGE('逐日期数据'!Y297:Y300))</x:f>
        <x:v>0.11939153336855277</x:v>
      </x:c>
      <x:c r="M51" s="25" t="n">
        <x:f>IF(OR(COUNT('逐日期数据'!L297:L300)=0,COUNT('逐日期数据'!N297:N300)=0),"未测",AVERAGE('逐日期数据'!L297:L300)+AVERAGE('逐日期数据'!N297:N300))</x:f>
        <x:v>16.93448907506081</x:v>
      </x:c>
      <x:c r="N51" s="25" t="n">
        <x:f>IF(COUNT('逐日期数据'!L297:L300)=0,"未测",AVERAGE('逐日期数据'!L297:L300))</x:f>
        <x:v>16.247179725070964</x:v>
      </x:c>
      <x:c r="O51" s="25" t="n">
        <x:f>IF(COUNT('逐日期数据'!M297:M300)=0,"未测",AVERAGE('逐日期数据'!M297:M300))</x:f>
        <x:v>50.26200799997059</x:v>
      </x:c>
      <x:c r="P51" s="25" t="n">
        <x:f>IF(COUNT('逐日期数据'!N297:N300)=0,"未测",AVERAGE('逐日期数据'!N297:N300))</x:f>
        <x:v>0.6873093499898459</x:v>
      </x:c>
      <x:c r="Q51" s="25" t="n">
        <x:f>IF(COUNT('逐日期数据'!O297:O300)=0,"未测",AVERAGE('逐日期数据'!O297:O300))</x:f>
        <x:v>5.186114899931454</x:v>
      </x:c>
      <x:c r="R51" s="25" t="n">
        <x:f>IF(COUNT('逐日期数据'!P297:P300)=0,"未测",AVERAGE('逐日期数据'!P297:P300)*1000)</x:f>
        <x:v>36.015815000791875</x:v>
      </x:c>
      <x:c r="S51" s="25" t="n">
        <x:f>IF(COUNT('逐日期数据'!Q297:Q300)=0,"未测",AVERAGE('逐日期数据'!Q297:Q300)*1000)</x:f>
        <x:v>1119.2175419991686</x:v>
      </x:c>
      <x:c r="T51" s="25" t="n">
        <x:f>IF(COUNT('逐日期数据'!R297:R300)=0,"未测",AVERAGE('逐日期数据'!R297:R300)*1000)</x:f>
        <x:v>3131.9704362503217</x:v>
      </x:c>
      <x:c r="U51" s="25" t="n">
        <x:f>IF(COUNT('逐日期数据'!S297:S300)=0,"未测",AVERAGE('逐日期数据'!S297:S300)*1000)</x:f>
        <x:v>3264.9035872505738</x:v>
      </x:c>
      <x:c r="V51" s="26" t="n">
        <x:f>IF(COUNT('逐日期数据'!Z297:Z300)=0,"未测",AVERAGE('逐日期数据'!Z297:Z300))</x:f>
        <x:v>-0.019402888609937774</x:v>
      </x:c>
      <x:c r="W51" s="26" t="n">
        <x:f>IF(COUNT('逐日期数据'!AA297:AA300)=0,"未测",AVERAGE('逐日期数据'!AA297:AA300))</x:f>
        <x:v>0.326925890758765</x:v>
      </x:c>
      <x:c r="X51" s="19" t="str">
        <x:f>IF(COUNT('逐日期数据'!AB297:AB300)=0,"单次，未估计",TEXT(MIN('逐日期数据'!AB297:AB300),"0.00%")&amp;"～"&amp;TEXT(MAX('逐日期数据'!AB297:AB300),"0.00%"))</x:f>
        <x:v>单次，未估计</x:v>
      </x:c>
      <x:c r="Y51" s="19" t="str">
        <x:f>MIN('逐日期数据'!D297:D300)&amp;"～"&amp;MAX('逐日期数据'!D297:D300)</x:f>
        <x:v>1～1</x:v>
      </x:c>
      <x:c r="Z51" s="19" t="str">
        <x:v>FULL</x:v>
      </x:c>
      <x:c r="AA51" s="19" t="str">
        <x:v>质量/成本以冻结FULL为参照；速度方向为本行方法相对同批参照</x:v>
      </x:c>
      <x:c r="AB51" s="19" t="str">
        <x:v>GRID89 / per_date.csv</x:v>
      </x:c>
    </x:row>
    <x:row r="52" ht="54" customHeight="1">
      <x:c r="A52" s="19" t="str">
        <x:v>GRID89 参数</x:v>
      </x:c>
      <x:c r="B52" s="19" t="str">
        <x:v>FRAME_p_256</x:v>
      </x:c>
      <x:c r="C52" s="19" t="n">
        <x:f>ROWS('逐日期数据'!A301:A304)</x:f>
        <x:v>4</x:v>
      </x:c>
      <x:c r="D52" s="19" t="str">
        <x:f>SUM('逐日期数据'!F301:F304)&amp;"/"&amp;C52</x:f>
        <x:v>3/4</x:v>
      </x:c>
      <x:c r="E52" s="19" t="str">
        <x:f>SUM('逐日期数据'!G301:G304)&amp;"/"&amp;C52</x:f>
        <x:v>3/4</x:v>
      </x:c>
      <x:c r="F52" s="19" t="str">
        <x:f>MIN('逐日期数据'!E301:E304)&amp;"–"&amp;MAX('逐日期数据'!E301:E304)</x:f>
        <x:v>1901–2017</x:v>
      </x:c>
      <x:c r="G52" s="23" t="n">
        <x:f>IF(COUNT('逐日期数据'!I301:I304)=0,"未测",AVERAGE('逐日期数据'!I301:I304))</x:f>
        <x:v>0.00458021089964622</x:v>
      </x:c>
      <x:c r="H52" s="23" t="n">
        <x:f>IF(COUNT('逐日期数据'!I301:I304)=0,"未测",MAX('逐日期数据'!I301:I304))</x:f>
        <x:v>0.01374063269893866</x:v>
      </x:c>
      <x:c r="I52" s="24" t="n">
        <x:f>SUM('逐日期数据'!J301:J304)</x:f>
        <x:v>12119</x:v>
      </x:c>
      <x:c r="J52" s="26" t="n">
        <x:f>IF(COUNT('逐日期数据'!X301:X304)=0,"未测",AVERAGE('逐日期数据'!X301:X304))</x:f>
        <x:v>0.4822780088032556</x:v>
      </x:c>
      <x:c r="K52" s="25" t="n">
        <x:f>IF(COUNT('逐日期数据'!K301:K304)=0,"未测",AVERAGE('逐日期数据'!K301:K304))</x:f>
        <x:v>75.08939165003449</x:v>
      </x:c>
      <x:c r="L52" s="26" t="n">
        <x:f>IF(COUNT('逐日期数据'!Y301:Y304)=0,"未测",AVERAGE('逐日期数据'!Y301:Y304))</x:f>
        <x:v>0.08593394201795418</x:v>
      </x:c>
      <x:c r="M52" s="25" t="n">
        <x:f>IF(OR(COUNT('逐日期数据'!L301:L304)=0,COUNT('逐日期数据'!N301:N304)=0),"未测",AVERAGE('逐日期数据'!L301:L304)+AVERAGE('逐日期数据'!N301:N304))</x:f>
        <x:v>19.262527600163594</x:v>
      </x:c>
      <x:c r="N52" s="25" t="n">
        <x:f>IF(COUNT('逐日期数据'!L301:L304)=0,"未测",AVERAGE('逐日期数据'!L301:L304))</x:f>
        <x:v>18.54000265011655</x:v>
      </x:c>
      <x:c r="O52" s="25" t="n">
        <x:f>IF(COUNT('逐日期数据'!M301:M304)=0,"未测",AVERAGE('逐日期数据'!M301:M304))</x:f>
        <x:v>50.34483867500876</x:v>
      </x:c>
      <x:c r="P52" s="25" t="n">
        <x:f>IF(COUNT('逐日期数据'!N301:N304)=0,"未测",AVERAGE('逐日期数据'!N301:N304))</x:f>
        <x:v>0.7225249500470454</x:v>
      </x:c>
      <x:c r="Q52" s="25" t="n">
        <x:f>IF(COUNT('逐日期数据'!O301:O304)=0,"未测",AVERAGE('逐日期数据'!O301:O304))</x:f>
        <x:v>5.482025374862133</x:v>
      </x:c>
      <x:c r="R52" s="25" t="n">
        <x:f>IF(COUNT('逐日期数据'!P301:P304)=0,"未测",AVERAGE('逐日期数据'!P301:P304)*1000)</x:f>
        <x:v>36.38803000067127</x:v>
      </x:c>
      <x:c r="S52" s="25" t="n">
        <x:f>IF(COUNT('逐日期数据'!Q301:Q304)=0,"未测",AVERAGE('逐日期数据'!Q301:Q304)*1000)</x:f>
        <x:v>1148.682500999746</x:v>
      </x:c>
      <x:c r="T52" s="25" t="n">
        <x:f>IF(COUNT('逐日期数据'!R301:R304)=0,"未测",AVERAGE('逐日期数据'!R301:R304)*1000)</x:f>
        <x:v>3231.8617137504584</x:v>
      </x:c>
      <x:c r="U52" s="25" t="n">
        <x:f>IF(COUNT('逐日期数据'!S301:S304)=0,"未测",AVERAGE('逐日期数据'!S301:S304)*1000)</x:f>
        <x:v>3300.03338275068</x:v>
      </x:c>
      <x:c r="V52" s="26" t="n">
        <x:f>IF(COUNT('逐日期数据'!Z301:Z304)=0,"未测",AVERAGE('逐日期数据'!Z301:Z304))</x:f>
        <x:v>-0.028999160810898983</x:v>
      </x:c>
      <x:c r="W52" s="26" t="n">
        <x:f>IF(COUNT('逐日期数据'!AA301:AA304)=0,"未测",AVERAGE('逐日期数据'!AA301:AA304))</x:f>
        <x:v>0.291031590778402</x:v>
      </x:c>
      <x:c r="X52" s="19" t="str">
        <x:f>IF(COUNT('逐日期数据'!AB301:AB304)=0,"单次，未估计",TEXT(MIN('逐日期数据'!AB301:AB304),"0.00%")&amp;"～"&amp;TEXT(MAX('逐日期数据'!AB301:AB304),"0.00%"))</x:f>
        <x:v>单次，未估计</x:v>
      </x:c>
      <x:c r="Y52" s="19" t="str">
        <x:f>MIN('逐日期数据'!D301:D304)&amp;"～"&amp;MAX('逐日期数据'!D301:D304)</x:f>
        <x:v>1～1</x:v>
      </x:c>
      <x:c r="Z52" s="19" t="str">
        <x:v>FULL</x:v>
      </x:c>
      <x:c r="AA52" s="19" t="str">
        <x:v>质量/成本以冻结FULL为参照；速度方向为本行方法相对同批参照</x:v>
      </x:c>
      <x:c r="AB52" s="19" t="str">
        <x:v>GRID89 / per_date.csv</x:v>
      </x:c>
    </x:row>
    <x:row r="53" ht="54" customHeight="1">
      <x:c r="A53" s="19" t="str">
        <x:v>GRID89 参数</x:v>
      </x:c>
      <x:c r="B53" s="19" t="str">
        <x:v>FRAME_p_64</x:v>
      </x:c>
      <x:c r="C53" s="19" t="n">
        <x:f>ROWS('逐日期数据'!A305:A308)</x:f>
        <x:v>4</x:v>
      </x:c>
      <x:c r="D53" s="19" t="str">
        <x:f>SUM('逐日期数据'!F305:F308)&amp;"/"&amp;C53</x:f>
        <x:v>4/4</x:v>
      </x:c>
      <x:c r="E53" s="19" t="str">
        <x:f>SUM('逐日期数据'!G305:G308)&amp;"/"&amp;C53</x:f>
        <x:v>3/4</x:v>
      </x:c>
      <x:c r="F53" s="19" t="str">
        <x:f>MIN('逐日期数据'!E305:E308)&amp;"–"&amp;MAX('逐日期数据'!E305:E308)</x:f>
        <x:v>1901–2017</x:v>
      </x:c>
      <x:c r="G53" s="23" t="n">
        <x:f>IF(COUNT('逐日期数据'!I305:I308)=0,"未测",AVERAGE('逐日期数据'!I305:I308))</x:f>
        <x:v>-0.004981862873776555</x:v>
      </x:c>
      <x:c r="H53" s="23" t="n">
        <x:f>IF(COUNT('逐日期数据'!I305:I308)=0,"未测",MAX('逐日期数据'!I305:I308))</x:f>
        <x:v>0.003720046656812137</x:v>
      </x:c>
      <x:c r="I53" s="24" t="n">
        <x:f>SUM('逐日期数据'!J305:J308)</x:f>
        <x:v>9151</x:v>
      </x:c>
      <x:c r="J53" s="26" t="n">
        <x:f>IF(COUNT('逐日期数据'!X305:X308)=0,"未测",AVERAGE('逐日期数据'!X305:X308))</x:f>
        <x:v>0.6049244406553949</x:v>
      </x:c>
      <x:c r="K53" s="25" t="n">
        <x:f>IF(COUNT('逐日期数据'!K305:K308)=0,"未测",AVERAGE('逐日期数据'!K305:K308))</x:f>
        <x:v>73.00919370004704</x:v>
      </x:c>
      <x:c r="L53" s="26" t="n">
        <x:f>IF(COUNT('逐日期数据'!Y305:Y308)=0,"未测",AVERAGE('逐日期数据'!Y305:Y308))</x:f>
        <x:v>0.11300805377159562</x:v>
      </x:c>
      <x:c r="M53" s="25" t="n">
        <x:f>IF(OR(COUNT('逐日期数据'!L305:L308)=0,COUNT('逐日期数据'!N305:N308)=0),"未测",AVERAGE('逐日期数据'!L305:L308)+AVERAGE('逐日期数据'!N305:N308))</x:f>
        <x:v>17.098418549960115</x:v>
      </x:c>
      <x:c r="N53" s="25" t="n">
        <x:f>IF(COUNT('逐日期数据'!L305:L308)=0,"未测",AVERAGE('逐日期数据'!L305:L308))</x:f>
        <x:v>16.403649074972236</x:v>
      </x:c>
      <x:c r="O53" s="25" t="n">
        <x:f>IF(COUNT('逐日期数据'!M305:M308)=0,"未测",AVERAGE('逐日期数据'!M305:M308))</x:f>
        <x:v>50.69310117497389</x:v>
      </x:c>
      <x:c r="P53" s="25" t="n">
        <x:f>IF(COUNT('逐日期数据'!N305:N308)=0,"未测",AVERAGE('逐日期数据'!N305:N308))</x:f>
        <x:v>0.6947694749878792</x:v>
      </x:c>
      <x:c r="Q53" s="25" t="n">
        <x:f>IF(COUNT('逐日期数据'!O305:O308)=0,"未测",AVERAGE('逐日期数据'!O305:O308))</x:f>
        <x:v>5.21767397511303</x:v>
      </x:c>
      <x:c r="R53" s="25" t="n">
        <x:f>IF(COUNT('逐日期数据'!P305:P308)=0,"未测",AVERAGE('逐日期数据'!P305:P308)*1000)</x:f>
        <x:v>36.36337500047374</x:v>
      </x:c>
      <x:c r="S53" s="25" t="n">
        <x:f>IF(COUNT('逐日期数据'!Q305:Q308)=0,"未测",AVERAGE('逐日期数据'!Q305:Q308)*1000)</x:f>
        <x:v>1122.952817998266</x:v>
      </x:c>
      <x:c r="T53" s="25" t="n">
        <x:f>IF(COUNT('逐日期数据'!R305:R308)=0,"未测",AVERAGE('逐日期数据'!R305:R308)*1000)</x:f>
        <x:v>3184.956386251542</x:v>
      </x:c>
      <x:c r="U53" s="25" t="n">
        <x:f>IF(COUNT('逐日期数据'!S305:S308)=0,"未测",AVERAGE('逐日期数据'!S305:S308)*1000)</x:f>
        <x:v>3316.813197251576</x:v>
      </x:c>
      <x:c r="V53" s="26" t="n">
        <x:f>IF(COUNT('逐日期数据'!Z305:Z308)=0,"未测",AVERAGE('逐日期数据'!Z305:Z308))</x:f>
        <x:v>-0.028449325469931425</x:v>
      </x:c>
      <x:c r="W53" s="26" t="n">
        <x:f>IF(COUNT('逐日期数据'!AA305:AA308)=0,"未测",AVERAGE('逐日期数据'!AA305:AA308))</x:f>
        <x:v>0.31463240259945724</x:v>
      </x:c>
      <x:c r="X53" s="19" t="str">
        <x:f>IF(COUNT('逐日期数据'!AB305:AB308)=0,"单次，未估计",TEXT(MIN('逐日期数据'!AB305:AB308),"0.00%")&amp;"～"&amp;TEXT(MAX('逐日期数据'!AB305:AB308),"0.00%"))</x:f>
        <x:v>单次，未估计</x:v>
      </x:c>
      <x:c r="Y53" s="19" t="str">
        <x:f>MIN('逐日期数据'!D305:D308)&amp;"～"&amp;MAX('逐日期数据'!D305:D308)</x:f>
        <x:v>1～1</x:v>
      </x:c>
      <x:c r="Z53" s="19" t="str">
        <x:v>FULL</x:v>
      </x:c>
      <x:c r="AA53" s="19" t="str">
        <x:v>质量/成本以冻结FULL为参照；速度方向为本行方法相对同批参照</x:v>
      </x:c>
      <x:c r="AB53" s="19" t="str">
        <x:v>GRID89 / per_date.csv</x:v>
      </x:c>
    </x:row>
    <x:row r="54" ht="54" customHeight="1">
      <x:c r="A54" s="19" t="str">
        <x:v>GRID89 参数</x:v>
      </x:c>
      <x:c r="B54" s="19" t="str">
        <x:v>FRAME_patience_1</x:v>
      </x:c>
      <x:c r="C54" s="19" t="n">
        <x:f>ROWS('逐日期数据'!A309:A312)</x:f>
        <x:v>4</x:v>
      </x:c>
      <x:c r="D54" s="19" t="str">
        <x:f>SUM('逐日期数据'!F309:F312)&amp;"/"&amp;C54</x:f>
        <x:v>4/4</x:v>
      </x:c>
      <x:c r="E54" s="19" t="str">
        <x:f>SUM('逐日期数据'!G309:G312)&amp;"/"&amp;C54</x:f>
        <x:v>3/4</x:v>
      </x:c>
      <x:c r="F54" s="19" t="str">
        <x:f>MIN('逐日期数据'!E309:E312)&amp;"–"&amp;MAX('逐日期数据'!E309:E312)</x:f>
        <x:v>1901–2017</x:v>
      </x:c>
      <x:c r="G54" s="23" t="n">
        <x:f>IF(COUNT('逐日期数据'!I309:I312)=0,"未测",AVERAGE('逐日期数据'!I309:I312))</x:f>
        <x:v>-0.004981862873776555</x:v>
      </x:c>
      <x:c r="H54" s="23" t="n">
        <x:f>IF(COUNT('逐日期数据'!I309:I312)=0,"未测",MAX('逐日期数据'!I309:I312))</x:f>
        <x:v>0.003720046656812137</x:v>
      </x:c>
      <x:c r="I54" s="24" t="n">
        <x:f>SUM('逐日期数据'!J309:J312)</x:f>
        <x:v>8834</x:v>
      </x:c>
      <x:c r="J54" s="26" t="n">
        <x:f>IF(COUNT('逐日期数据'!X309:X312)=0,"未测",AVERAGE('逐日期数据'!X309:X312))</x:f>
        <x:v>0.6185580917766905</x:v>
      </x:c>
      <x:c r="K54" s="25" t="n">
        <x:f>IF(COUNT('逐日期数据'!K309:K312)=0,"未测",AVERAGE('逐日期数据'!K309:K312))</x:f>
        <x:v>72.35865545000615</x:v>
      </x:c>
      <x:c r="L54" s="26" t="n">
        <x:f>IF(COUNT('逐日期数据'!Y309:Y312)=0,"未测",AVERAGE('逐日期数据'!Y309:Y312))</x:f>
        <x:v>0.12003493202397125</x:v>
      </x:c>
      <x:c r="M54" s="25" t="n">
        <x:f>IF(OR(COUNT('逐日期数据'!L309:L312)=0,COUNT('逐日期数据'!N309:N312)=0),"未测",AVERAGE('逐日期数据'!L309:L312)+AVERAGE('逐日期数据'!N309:N312))</x:f>
        <x:v>16.794482874925052</x:v>
      </x:c>
      <x:c r="N54" s="25" t="n">
        <x:f>IF(COUNT('逐日期数据'!L309:L312)=0,"未测",AVERAGE('逐日期数据'!L309:L312))</x:f>
        <x:v>16.10355547492054</x:v>
      </x:c>
      <x:c r="O54" s="25" t="n">
        <x:f>IF(COUNT('逐日期数据'!M309:M312)=0,"未测",AVERAGE('逐日期数据'!M309:M312))</x:f>
        <x:v>50.381498675010334</x:v>
      </x:c>
      <x:c r="P54" s="25" t="n">
        <x:f>IF(COUNT('逐日期数据'!N309:N312)=0,"未测",AVERAGE('逐日期数据'!N309:N312))</x:f>
        <x:v>0.6909274000045116</x:v>
      </x:c>
      <x:c r="Q54" s="25" t="n">
        <x:f>IF(COUNT('逐日期数据'!O309:O312)=0,"未测",AVERAGE('逐日期数据'!O309:O312))</x:f>
        <x:v>5.182673900070768</x:v>
      </x:c>
      <x:c r="R54" s="25" t="n">
        <x:f>IF(COUNT('逐日期数据'!P309:P312)=0,"未测",AVERAGE('逐日期数据'!P309:P312)*1000)</x:f>
        <x:v>35.92600000047239</x:v>
      </x:c>
      <x:c r="S54" s="25" t="n">
        <x:f>IF(COUNT('逐日期数据'!Q309:Q312)=0,"未测",AVERAGE('逐日期数据'!Q309:Q312)*1000)</x:f>
        <x:v>1118.3729709998802</x:v>
      </x:c>
      <x:c r="T54" s="25" t="n">
        <x:f>IF(COUNT('逐日期数据'!R309:R312)=0,"未测",AVERAGE('逐日期数据'!R309:R312)*1000)</x:f>
        <x:v>3120.933126249565</x:v>
      </x:c>
      <x:c r="U54" s="25" t="n">
        <x:f>IF(COUNT('逐日期数据'!S309:S312)=0,"未测",AVERAGE('逐日期数据'!S309:S312)*1000)</x:f>
        <x:v>3251.7364652497604</x:v>
      </x:c>
      <x:c r="V54" s="26" t="n">
        <x:f>IF(COUNT('逐日期数据'!Z309:Z312)=0,"未测",AVERAGE('逐日期数据'!Z309:Z312))</x:f>
        <x:v>-0.017258028191361408</x:v>
      </x:c>
      <x:c r="W54" s="26" t="n">
        <x:f>IF(COUNT('逐日期数据'!AA309:AA312)=0,"未测",AVERAGE('逐日期数据'!AA309:AA312))</x:f>
        <x:v>0.32910987049916274</x:v>
      </x:c>
      <x:c r="X54" s="19" t="str">
        <x:f>IF(COUNT('逐日期数据'!AB309:AB312)=0,"单次，未估计",TEXT(MIN('逐日期数据'!AB309:AB312),"0.00%")&amp;"～"&amp;TEXT(MAX('逐日期数据'!AB309:AB312),"0.00%"))</x:f>
        <x:v>单次，未估计</x:v>
      </x:c>
      <x:c r="Y54" s="19" t="str">
        <x:f>MIN('逐日期数据'!D309:D312)&amp;"～"&amp;MAX('逐日期数据'!D309:D312)</x:f>
        <x:v>1～1</x:v>
      </x:c>
      <x:c r="Z54" s="19" t="str">
        <x:v>FULL</x:v>
      </x:c>
      <x:c r="AA54" s="19" t="str">
        <x:v>质量/成本以冻结FULL为参照；速度方向为本行方法相对同批参照</x:v>
      </x:c>
      <x:c r="AB54" s="19" t="str">
        <x:v>GRID89 / per_date.csv</x:v>
      </x:c>
    </x:row>
    <x:row r="55" ht="54" customHeight="1">
      <x:c r="A55" s="19" t="str">
        <x:v>GRID89 参数</x:v>
      </x:c>
      <x:c r="B55" s="19" t="str">
        <x:v>FRAME_patience_3</x:v>
      </x:c>
      <x:c r="C55" s="19" t="n">
        <x:f>ROWS('逐日期数据'!A313:A316)</x:f>
        <x:v>4</x:v>
      </x:c>
      <x:c r="D55" s="19" t="str">
        <x:f>SUM('逐日期数据'!F313:F316)&amp;"/"&amp;C55</x:f>
        <x:v>4/4</x:v>
      </x:c>
      <x:c r="E55" s="19" t="str">
        <x:f>SUM('逐日期数据'!G313:G316)&amp;"/"&amp;C55</x:f>
        <x:v>3/4</x:v>
      </x:c>
      <x:c r="F55" s="19" t="str">
        <x:f>MIN('逐日期数据'!E313:E316)&amp;"–"&amp;MAX('逐日期数据'!E313:E316)</x:f>
        <x:v>1901–2017</x:v>
      </x:c>
      <x:c r="G55" s="23" t="n">
        <x:f>IF(COUNT('逐日期数据'!I313:I316)=0,"未测",AVERAGE('逐日期数据'!I313:I316))</x:f>
        <x:v>0.0012400155522707124</x:v>
      </x:c>
      <x:c r="H55" s="23" t="n">
        <x:f>IF(COUNT('逐日期数据'!I313:I316)=0,"未测",MAX('逐日期数据'!I313:I316))</x:f>
        <x:v>0.003720046656812137</x:v>
      </x:c>
      <x:c r="I55" s="24" t="n">
        <x:f>SUM('逐日期数据'!J313:J316)</x:f>
        <x:v>10972</x:v>
      </x:c>
      <x:c r="J55" s="26" t="n">
        <x:f>IF(COUNT('逐日期数据'!X313:X316)=0,"未测",AVERAGE('逐日期数据'!X313:X316))</x:f>
        <x:v>0.5332520760995956</x:v>
      </x:c>
      <x:c r="K55" s="25" t="n">
        <x:f>IF(COUNT('逐日期数据'!K313:K316)=0,"未测",AVERAGE('逐日期数据'!K313:K316))</x:f>
        <x:v>74.22528185000556</x:v>
      </x:c>
      <x:c r="L55" s="26" t="n">
        <x:f>IF(COUNT('逐日期数据'!Y313:Y316)=0,"未测",AVERAGE('逐日期数据'!Y313:Y316))</x:f>
        <x:v>0.10037719302605161</x:v>
      </x:c>
      <x:c r="M55" s="25" t="n">
        <x:f>IF(OR(COUNT('逐日期数据'!L313:L316)=0,COUNT('逐日期数据'!N313:N316)=0),"未测",AVERAGE('逐日期数据'!L313:L316)+AVERAGE('逐日期数据'!N313:N316))</x:f>
        <x:v>18.2988559250698</x:v>
      </x:c>
      <x:c r="N55" s="25" t="n">
        <x:f>IF(COUNT('逐日期数据'!L313:L316)=0,"未测",AVERAGE('逐日期数据'!L313:L316))</x:f>
        <x:v>17.59411130002536</x:v>
      </x:c>
      <x:c r="O55" s="25" t="n">
        <x:f>IF(COUNT('逐日期数据'!M313:M316)=0,"未测",AVERAGE('逐日期数据'!M313:M316))</x:f>
        <x:v>50.68075322501136</x:v>
      </x:c>
      <x:c r="P55" s="25" t="n">
        <x:f>IF(COUNT('逐日期数据'!N313:N316)=0,"未测",AVERAGE('逐日期数据'!N313:N316))</x:f>
        <x:v>0.7047446250444409</x:v>
      </x:c>
      <x:c r="Q55" s="25" t="n">
        <x:f>IF(COUNT('逐日期数据'!O313:O316)=0,"未测",AVERAGE('逐日期数据'!O313:O316))</x:f>
        <x:v>5.245672699924398</x:v>
      </x:c>
      <x:c r="R55" s="25" t="n">
        <x:f>IF(COUNT('逐日期数据'!P313:P316)=0,"未测",AVERAGE('逐日期数据'!P313:P316)*1000)</x:f>
        <x:v>35.90822500154899</x:v>
      </x:c>
      <x:c r="S55" s="25" t="n">
        <x:f>IF(COUNT('逐日期数据'!Q313:Q316)=0,"未测",AVERAGE('逐日期数据'!Q313:Q316)*1000)</x:f>
        <x:v>1120.3674590004075</x:v>
      </x:c>
      <x:c r="T55" s="25" t="n">
        <x:f>IF(COUNT('逐日期数据'!R313:R316)=0,"未测",AVERAGE('逐日期数据'!R313:R316)*1000)</x:f>
        <x:v>3340.6417600004706</x:v>
      </x:c>
      <x:c r="U55" s="25" t="n">
        <x:f>IF(COUNT('逐日期数据'!S313:S316)=0,"未测",AVERAGE('逐日期数据'!S313:S316)*1000)</x:f>
        <x:v>3517.91345200083</x:v>
      </x:c>
      <x:c r="V55" s="26" t="n">
        <x:f>IF(COUNT('逐日期数据'!Z313:Z316)=0,"未测",AVERAGE('逐日期数据'!Z313:Z316))</x:f>
        <x:v>-0.014019763024161302</x:v>
      </x:c>
      <x:c r="W55" s="26" t="n">
        <x:f>IF(COUNT('逐日期数据'!AA313:AA316)=0,"未测",AVERAGE('逐日期数据'!AA313:AA316))</x:f>
        <x:v>0.28601529256150715</x:v>
      </x:c>
      <x:c r="X55" s="19" t="str">
        <x:f>IF(COUNT('逐日期数据'!AB313:AB316)=0,"单次，未估计",TEXT(MIN('逐日期数据'!AB313:AB316),"0.00%")&amp;"～"&amp;TEXT(MAX('逐日期数据'!AB313:AB316),"0.00%"))</x:f>
        <x:v>单次，未估计</x:v>
      </x:c>
      <x:c r="Y55" s="19" t="str">
        <x:f>MIN('逐日期数据'!D313:D316)&amp;"～"&amp;MAX('逐日期数据'!D313:D316)</x:f>
        <x:v>1～1</x:v>
      </x:c>
      <x:c r="Z55" s="19" t="str">
        <x:v>FULL</x:v>
      </x:c>
      <x:c r="AA55" s="19" t="str">
        <x:v>质量/成本以冻结FULL为参照；速度方向为本行方法相对同批参照</x:v>
      </x:c>
      <x:c r="AB55" s="19" t="str">
        <x:v>GRID89 / per_date.csv</x:v>
      </x:c>
    </x:row>
    <x:row r="56" ht="54" customHeight="1">
      <x:c r="A56" s="19" t="str">
        <x:v>GRID89 参数</x:v>
      </x:c>
      <x:c r="B56" s="19" t="str">
        <x:v>FRAME_qmin_128</x:v>
      </x:c>
      <x:c r="C56" s="19" t="n">
        <x:f>ROWS('逐日期数据'!A317:A320)</x:f>
        <x:v>4</x:v>
      </x:c>
      <x:c r="D56" s="19" t="str">
        <x:f>SUM('逐日期数据'!F317:F320)&amp;"/"&amp;C56</x:f>
        <x:v>4/4</x:v>
      </x:c>
      <x:c r="E56" s="19" t="str">
        <x:f>SUM('逐日期数据'!G317:G320)&amp;"/"&amp;C56</x:f>
        <x:v>3/4</x:v>
      </x:c>
      <x:c r="F56" s="19" t="str">
        <x:f>MIN('逐日期数据'!E317:E320)&amp;"–"&amp;MAX('逐日期数据'!E317:E320)</x:f>
        <x:v>1901–2017</x:v>
      </x:c>
      <x:c r="G56" s="23" t="n">
        <x:f>IF(COUNT('逐日期数据'!I317:I320)=0,"未测",AVERAGE('逐日期数据'!I317:I320))</x:f>
        <x:v>-0.004981862873776555</x:v>
      </x:c>
      <x:c r="H56" s="23" t="n">
        <x:f>IF(COUNT('逐日期数据'!I317:I320)=0,"未测",MAX('逐日期数据'!I317:I320))</x:f>
        <x:v>0.003720046656812137</x:v>
      </x:c>
      <x:c r="I56" s="24" t="n">
        <x:f>SUM('逐日期数据'!J317:J320)</x:f>
        <x:v>9108</x:v>
      </x:c>
      <x:c r="J56" s="26" t="n">
        <x:f>IF(COUNT('逐日期数据'!X317:X320)=0,"未测",AVERAGE('逐日期数据'!X317:X320))</x:f>
        <x:v>0.6107379190691415</x:v>
      </x:c>
      <x:c r="K56" s="25" t="n">
        <x:f>IF(COUNT('逐日期数据'!K317:K320)=0,"未测",AVERAGE('逐日期数据'!K317:K320))</x:f>
        <x:v>73.62098407493977</x:v>
      </x:c>
      <x:c r="L56" s="26" t="n">
        <x:f>IF(COUNT('逐日期数据'!Y317:Y320)=0,"未测",AVERAGE('逐日期数据'!Y317:Y320))</x:f>
        <x:v>0.10841774934949575</x:v>
      </x:c>
      <x:c r="M56" s="25" t="n">
        <x:f>IF(OR(COUNT('逐日期数据'!L317:L320)=0,COUNT('逐日期数据'!N317:N320)=0),"未测",AVERAGE('逐日期数据'!L317:L320)+AVERAGE('逐日期数据'!N317:N320))</x:f>
        <x:v>17.183857600004558</x:v>
      </x:c>
      <x:c r="N56" s="25" t="n">
        <x:f>IF(COUNT('逐日期数据'!L317:L320)=0,"未测",AVERAGE('逐日期数据'!L317:L320))</x:f>
        <x:v>16.490451649972783</x:v>
      </x:c>
      <x:c r="O56" s="25" t="n">
        <x:f>IF(COUNT('逐日期数据'!M317:M320)=0,"未测",AVERAGE('逐日期数据'!M317:M320))</x:f>
        <x:v>51.19679522502065</x:v>
      </x:c>
      <x:c r="P56" s="25" t="n">
        <x:f>IF(COUNT('逐日期数据'!N317:N320)=0,"未测",AVERAGE('逐日期数据'!N317:N320))</x:f>
        <x:v>0.6934059500317744</x:v>
      </x:c>
      <x:c r="Q56" s="25" t="n">
        <x:f>IF(COUNT('逐日期数据'!O317:O320)=0,"未测",AVERAGE('逐日期数据'!O317:O320))</x:f>
        <x:v>5.240331249914561</x:v>
      </x:c>
      <x:c r="R56" s="25" t="n">
        <x:f>IF(COUNT('逐日期数据'!P317:P320)=0,"未测",AVERAGE('逐日期数据'!P317:P320)*1000)</x:f>
        <x:v>36.120649998883884</x:v>
      </x:c>
      <x:c r="S56" s="25" t="n">
        <x:f>IF(COUNT('逐日期数据'!Q317:Q320)=0,"未测",AVERAGE('逐日期数据'!Q317:Q320)*1000)</x:f>
        <x:v>1138.4046850007849</x:v>
      </x:c>
      <x:c r="T56" s="25" t="n">
        <x:f>IF(COUNT('逐日期数据'!R317:R320)=0,"未测",AVERAGE('逐日期数据'!R317:R320)*1000)</x:f>
        <x:v>3169.415583749423</x:v>
      </x:c>
      <x:c r="U56" s="25" t="n">
        <x:f>IF(COUNT('逐日期数据'!S317:S320)=0,"未测",AVERAGE('逐日期数据'!S317:S320)*1000)</x:f>
        <x:v>3300.5617167493165</x:v>
      </x:c>
      <x:c r="V56" s="26" t="n">
        <x:f>IF(COUNT('逐日期数据'!Z317:Z320)=0,"未测",AVERAGE('逐日期数据'!Z317:Z320))</x:f>
        <x:v>-0.021995066702148208</x:v>
      </x:c>
      <x:c r="W56" s="26" t="n">
        <x:f>IF(COUNT('逐日期数据'!AA317:AA320)=0,"未测",AVERAGE('逐日期数据'!AA317:AA320))</x:f>
        <x:v>0.3207983913243939</x:v>
      </x:c>
      <x:c r="X56" s="19" t="str">
        <x:f>IF(COUNT('逐日期数据'!AB317:AB320)=0,"单次，未估计",TEXT(MIN('逐日期数据'!AB317:AB320),"0.00%")&amp;"～"&amp;TEXT(MAX('逐日期数据'!AB317:AB320),"0.00%"))</x:f>
        <x:v>单次，未估计</x:v>
      </x:c>
      <x:c r="Y56" s="19" t="str">
        <x:f>MIN('逐日期数据'!D317:D320)&amp;"～"&amp;MAX('逐日期数据'!D317:D320)</x:f>
        <x:v>1～1</x:v>
      </x:c>
      <x:c r="Z56" s="19" t="str">
        <x:v>FULL</x:v>
      </x:c>
      <x:c r="AA56" s="19" t="str">
        <x:v>质量/成本以冻结FULL为参照；速度方向为本行方法相对同批参照</x:v>
      </x:c>
      <x:c r="AB56" s="19" t="str">
        <x:v>GRID89 / per_date.csv</x:v>
      </x:c>
    </x:row>
    <x:row r="57" ht="54" customHeight="1">
      <x:c r="A57" s="19" t="str">
        <x:v>GRID89 参数</x:v>
      </x:c>
      <x:c r="B57" s="19" t="str">
        <x:v>FRAME_qmin_512</x:v>
      </x:c>
      <x:c r="C57" s="19" t="n">
        <x:f>ROWS('逐日期数据'!A321:A324)</x:f>
        <x:v>4</x:v>
      </x:c>
      <x:c r="D57" s="19" t="str">
        <x:f>SUM('逐日期数据'!F321:F324)&amp;"/"&amp;C57</x:f>
        <x:v>3/4</x:v>
      </x:c>
      <x:c r="E57" s="19" t="str">
        <x:f>SUM('逐日期数据'!G321:G324)&amp;"/"&amp;C57</x:f>
        <x:v>3/4</x:v>
      </x:c>
      <x:c r="F57" s="19" t="str">
        <x:f>MIN('逐日期数据'!E321:E324)&amp;"–"&amp;MAX('逐日期数据'!E321:E324)</x:f>
        <x:v>1901–2017</x:v>
      </x:c>
      <x:c r="G57" s="23" t="n">
        <x:f>IF(COUNT('逐日期数据'!I321:I324)=0,"未测",AVERAGE('逐日期数据'!I321:I324))</x:f>
        <x:v>0.00458021089964622</x:v>
      </x:c>
      <x:c r="H57" s="23" t="n">
        <x:f>IF(COUNT('逐日期数据'!I321:I324)=0,"未测",MAX('逐日期数据'!I321:I324))</x:f>
        <x:v>0.01374063269893866</x:v>
      </x:c>
      <x:c r="I57" s="24" t="n">
        <x:f>SUM('逐日期数据'!J321:J324)</x:f>
        <x:v>14620</x:v>
      </x:c>
      <x:c r="J57" s="26" t="n">
        <x:f>IF(COUNT('逐日期数据'!X321:X324)=0,"未测",AVERAGE('逐日期数据'!X321:X324))</x:f>
        <x:v>0.365722883348712</x:v>
      </x:c>
      <x:c r="K57" s="25" t="n">
        <x:f>IF(COUNT('逐日期数据'!K321:K324)=0,"未测",AVERAGE('逐日期数据'!K321:K324))</x:f>
        <x:v>76.70401527503145</x:v>
      </x:c>
      <x:c r="L57" s="26" t="n">
        <x:f>IF(COUNT('逐日期数据'!Y321:Y324)=0,"未测",AVERAGE('逐日期数据'!Y321:Y324))</x:f>
        <x:v>0.06428622575477708</x:v>
      </x:c>
      <x:c r="M57" s="25" t="n">
        <x:f>IF(OR(COUNT('逐日期数据'!L321:L324)=0,COUNT('逐日期数据'!N321:N324)=0),"未测",AVERAGE('逐日期数据'!L321:L324)+AVERAGE('逐日期数据'!N321:N324))</x:f>
        <x:v>21.11668314990129</x:v>
      </x:c>
      <x:c r="N57" s="25" t="n">
        <x:f>IF(COUNT('逐日期数据'!L321:L324)=0,"未测",AVERAGE('逐日期数据'!L321:L324))</x:f>
        <x:v>20.201422550013376</x:v>
      </x:c>
      <x:c r="O57" s="25" t="n">
        <x:f>IF(COUNT('逐日期数据'!M321:M324)=0,"未测",AVERAGE('逐日期数据'!M321:M324))</x:f>
        <x:v>50.20021762499073</x:v>
      </x:c>
      <x:c r="P57" s="25" t="n">
        <x:f>IF(COUNT('逐日期数据'!N321:N324)=0,"未测",AVERAGE('逐日期数据'!N321:N324))</x:f>
        <x:v>0.9152605998879153</x:v>
      </x:c>
      <x:c r="Q57" s="25" t="n">
        <x:f>IF(COUNT('逐日期数据'!O321:O324)=0,"未测",AVERAGE('逐日期数据'!O321:O324))</x:f>
        <x:v>5.3871145001394325</x:v>
      </x:c>
      <x:c r="R57" s="25" t="n">
        <x:f>IF(COUNT('逐日期数据'!P321:P324)=0,"未测",AVERAGE('逐日期数据'!P321:P324)*1000)</x:f>
        <x:v>36.401594999733774</x:v>
      </x:c>
      <x:c r="S57" s="25" t="n">
        <x:f>IF(COUNT('逐日期数据'!Q321:Q324)=0,"未测",AVERAGE('逐日期数据'!Q321:Q324)*1000)</x:f>
        <x:v>1121.5839849999963</x:v>
      </x:c>
      <x:c r="T57" s="25" t="n">
        <x:f>IF(COUNT('逐日期数据'!R321:R324)=0,"未测",AVERAGE('逐日期数据'!R321:R324)*1000)</x:f>
        <x:v>3527.047798749436</x:v>
      </x:c>
      <x:c r="U57" s="25" t="n">
        <x:f>IF(COUNT('逐日期数据'!S321:S324)=0,"未测",AVERAGE('逐日期数据'!S321:S324)*1000)</x:f>
        <x:v>3679.8088397493752</x:v>
      </x:c>
      <x:c r="V57" s="26" t="n">
        <x:f>IF(COUNT('逐日期数据'!Z321:Z324)=0,"未测",AVERAGE('逐日期数据'!Z321:Z324))</x:f>
        <x:v>-0.03009037649920973</x:v>
      </x:c>
      <x:c r="W57" s="26" t="n">
        <x:f>IF(COUNT('逐日期数据'!AA321:AA324)=0,"未测",AVERAGE('逐日期数据'!AA321:AA324))</x:f>
        <x:v>0.22231210915352317</x:v>
      </x:c>
      <x:c r="X57" s="19" t="str">
        <x:f>IF(COUNT('逐日期数据'!AB321:AB324)=0,"单次，未估计",TEXT(MIN('逐日期数据'!AB321:AB324),"0.00%")&amp;"～"&amp;TEXT(MAX('逐日期数据'!AB321:AB324),"0.00%"))</x:f>
        <x:v>单次，未估计</x:v>
      </x:c>
      <x:c r="Y57" s="19" t="str">
        <x:f>MIN('逐日期数据'!D321:D324)&amp;"～"&amp;MAX('逐日期数据'!D321:D324)</x:f>
        <x:v>1～1</x:v>
      </x:c>
      <x:c r="Z57" s="19" t="str">
        <x:v>FULL</x:v>
      </x:c>
      <x:c r="AA57" s="19" t="str">
        <x:v>质量/成本以冻结FULL为参照；速度方向为本行方法相对同批参照</x:v>
      </x:c>
      <x:c r="AB57" s="19" t="str">
        <x:v>GRID89 / per_date.csv</x:v>
      </x:c>
    </x:row>
    <x:row r="58" ht="54" customHeight="1">
      <x:c r="A58" s="19" t="str">
        <x:v>GRID89 参数</x:v>
      </x:c>
      <x:c r="B58" s="19" t="str">
        <x:v>FRAME_safe_0p85</x:v>
      </x:c>
      <x:c r="C58" s="19" t="n">
        <x:f>ROWS('逐日期数据'!A325:A328)</x:f>
        <x:v>4</x:v>
      </x:c>
      <x:c r="D58" s="19" t="str">
        <x:f>SUM('逐日期数据'!F325:F328)&amp;"/"&amp;C58</x:f>
        <x:v>3/4</x:v>
      </x:c>
      <x:c r="E58" s="19" t="str">
        <x:f>SUM('逐日期数据'!G325:G328)&amp;"/"&amp;C58</x:f>
        <x:v>3/4</x:v>
      </x:c>
      <x:c r="F58" s="19" t="str">
        <x:f>MIN('逐日期数据'!E325:E328)&amp;"–"&amp;MAX('逐日期数据'!E325:E328)</x:f>
        <x:v>1901–2017</x:v>
      </x:c>
      <x:c r="G58" s="23" t="n">
        <x:f>IF(COUNT('逐日期数据'!I325:I328)=0,"未测",AVERAGE('逐日期数据'!I325:I328))</x:f>
        <x:v>-0.0016416675264010472</x:v>
      </x:c>
      <x:c r="H58" s="23" t="n">
        <x:f>IF(COUNT('逐日期数据'!I325:I328)=0,"未测",MAX('逐日期数据'!I325:I328))</x:f>
        <x:v>0.01374063269893866</x:v>
      </x:c>
      <x:c r="I58" s="24" t="n">
        <x:f>SUM('逐日期数据'!J325:J328)</x:f>
        <x:v>9491</x:v>
      </x:c>
      <x:c r="J58" s="26" t="n">
        <x:f>IF(COUNT('逐日期数据'!X325:X328)=0,"未测",AVERAGE('逐日期数据'!X325:X328))</x:f>
        <x:v>0.6033940525704359</x:v>
      </x:c>
      <x:c r="K58" s="25" t="n">
        <x:f>IF(COUNT('逐日期数据'!K325:K328)=0,"未测",AVERAGE('逐日期数据'!K325:K328))</x:f>
        <x:v>71.18273360000512</x:v>
      </x:c>
      <x:c r="L58" s="26" t="n">
        <x:f>IF(COUNT('逐日期数据'!Y325:Y328)=0,"未测",AVERAGE('逐日期数据'!Y325:Y328))</x:f>
        <x:v>0.14076098819296043</x:v>
      </x:c>
      <x:c r="M58" s="25" t="n">
        <x:f>IF(OR(COUNT('逐日期数据'!L325:L328)=0,COUNT('逐日期数据'!N325:N328)=0),"未测",AVERAGE('逐日期数据'!L325:L328)+AVERAGE('逐日期数据'!N325:N328))</x:f>
        <x:v>16.941737350075528</x:v>
      </x:c>
      <x:c r="N58" s="25" t="n">
        <x:f>IF(COUNT('逐日期数据'!L325:L328)=0,"未测",AVERAGE('逐日期数据'!L325:L328))</x:f>
        <x:v>16.25268677504664</x:v>
      </x:c>
      <x:c r="O58" s="25" t="n">
        <x:f>IF(COUNT('逐日期数据'!M325:M328)=0,"未测",AVERAGE('逐日期数据'!M325:M328))</x:f>
        <x:v>48.97150987500754</x:v>
      </x:c>
      <x:c r="P58" s="25" t="n">
        <x:f>IF(COUNT('逐日期数据'!N325:N328)=0,"未测",AVERAGE('逐日期数据'!N325:N328))</x:f>
        <x:v>0.6890505750288867</x:v>
      </x:c>
      <x:c r="Q58" s="25" t="n">
        <x:f>IF(COUNT('逐日期数据'!O325:O328)=0,"未测",AVERAGE('逐日期数据'!O325:O328))</x:f>
        <x:v>5.269486374922053</x:v>
      </x:c>
      <x:c r="R58" s="25" t="n">
        <x:f>IF(COUNT('逐日期数据'!P325:P328)=0,"未测",AVERAGE('逐日期数据'!P325:P328)*1000)</x:f>
        <x:v>35.310120000031006</x:v>
      </x:c>
      <x:c r="S58" s="25" t="n">
        <x:f>IF(COUNT('逐日期数据'!Q325:Q328)=0,"未测",AVERAGE('逐日期数据'!Q325:Q328)*1000)</x:f>
        <x:v>1102.256888999509</x:v>
      </x:c>
      <x:c r="T58" s="25" t="n">
        <x:f>IF(COUNT('逐日期数据'!R325:R328)=0,"未测",AVERAGE('逐日期数据'!R325:R328)*1000)</x:f>
        <x:v>3045.1845787486036</x:v>
      </x:c>
      <x:c r="U58" s="25" t="n">
        <x:f>IF(COUNT('逐日期数据'!S325:S328)=0,"未测",AVERAGE('逐日期数据'!S325:S328)*1000)</x:f>
        <x:v>3203.2824557482404</x:v>
      </x:c>
      <x:c r="V58" s="26" t="n">
        <x:f>IF(COUNT('逐日期数据'!Z325:Z328)=0,"未测",AVERAGE('逐日期数据'!Z325:Z328))</x:f>
        <x:v>0.0036193317820689963</x:v>
      </x:c>
      <x:c r="W58" s="26" t="n">
        <x:f>IF(COUNT('逐日期数据'!AA325:AA328)=0,"未测",AVERAGE('逐日期数据'!AA325:AA328))</x:f>
        <x:v>0.35197285372765236</x:v>
      </x:c>
      <x:c r="X58" s="19" t="str">
        <x:f>IF(COUNT('逐日期数据'!AB325:AB328)=0,"单次，未估计",TEXT(MIN('逐日期数据'!AB325:AB328),"0.00%")&amp;"～"&amp;TEXT(MAX('逐日期数据'!AB325:AB328),"0.00%"))</x:f>
        <x:v>单次，未估计</x:v>
      </x:c>
      <x:c r="Y58" s="19" t="str">
        <x:f>MIN('逐日期数据'!D325:D328)&amp;"～"&amp;MAX('逐日期数据'!D325:D328)</x:f>
        <x:v>1～1</x:v>
      </x:c>
      <x:c r="Z58" s="19" t="str">
        <x:v>FULL</x:v>
      </x:c>
      <x:c r="AA58" s="19" t="str">
        <x:v>质量/成本以冻结FULL为参照；速度方向为本行方法相对同批参照</x:v>
      </x:c>
      <x:c r="AB58" s="19" t="str">
        <x:v>GRID89 / per_date.csv</x:v>
      </x:c>
    </x:row>
    <x:row r="59" ht="54" customHeight="1">
      <x:c r="A59" s="19" t="str">
        <x:v>GRID89 参数</x:v>
      </x:c>
      <x:c r="B59" s="19" t="str">
        <x:v>FRAME_safe_0p95</x:v>
      </x:c>
      <x:c r="C59" s="19" t="n">
        <x:f>ROWS('逐日期数据'!A329:A332)</x:f>
        <x:v>4</x:v>
      </x:c>
      <x:c r="D59" s="19" t="str">
        <x:f>SUM('逐日期数据'!F329:F332)&amp;"/"&amp;C59</x:f>
        <x:v>3/4</x:v>
      </x:c>
      <x:c r="E59" s="19" t="str">
        <x:f>SUM('逐日期数据'!G329:G332)&amp;"/"&amp;C59</x:f>
        <x:v>3/4</x:v>
      </x:c>
      <x:c r="F59" s="19" t="str">
        <x:f>MIN('逐日期数据'!E329:E332)&amp;"–"&amp;MAX('逐日期数据'!E329:E332)</x:f>
        <x:v>1901–2017</x:v>
      </x:c>
      <x:c r="G59" s="23" t="n">
        <x:f>IF(COUNT('逐日期数据'!I329:I332)=0,"未测",AVERAGE('逐日期数据'!I329:I332))</x:f>
        <x:v>0.019396516159879845</x:v>
      </x:c>
      <x:c r="H59" s="23" t="n">
        <x:f>IF(COUNT('逐日期数据'!I329:I332)=0,"未测",MAX('逐日期数据'!I329:I332))</x:f>
        <x:v>0.07685518375778133</x:v>
      </x:c>
      <x:c r="I59" s="24" t="n">
        <x:f>SUM('逐日期数据'!J329:J332)</x:f>
        <x:v>9555</x:v>
      </x:c>
      <x:c r="J59" s="26" t="n">
        <x:f>IF(COUNT('逐日期数据'!X329:X332)=0,"未测",AVERAGE('逐日期数据'!X329:X332))</x:f>
        <x:v>0.6001052808852928</x:v>
      </x:c>
      <x:c r="K59" s="25" t="n">
        <x:f>IF(COUNT('逐日期数据'!K329:K332)=0,"未测",AVERAGE('逐日期数据'!K329:K332))</x:f>
        <x:v>70.6479568500472</x:v>
      </x:c>
      <x:c r="L59" s="26" t="n">
        <x:f>IF(COUNT('逐日期数据'!Y329:Y332)=0,"未测",AVERAGE('逐日期数据'!Y329:Y332))</x:f>
        <x:v>0.14513882573024606</x:v>
      </x:c>
      <x:c r="M59" s="25" t="n">
        <x:f>IF(OR(COUNT('逐日期数据'!L329:L332)=0,COUNT('逐日期数据'!N329:N332)=0),"未测",AVERAGE('逐日期数据'!L329:L332)+AVERAGE('逐日期数据'!N329:N332))</x:f>
        <x:v>17.068429175095844</x:v>
      </x:c>
      <x:c r="N59" s="25" t="n">
        <x:f>IF(COUNT('逐日期数据'!L329:L332)=0,"未测",AVERAGE('逐日期数据'!L329:L332))</x:f>
        <x:v>16.346929450107382</x:v>
      </x:c>
      <x:c r="O59" s="25" t="n">
        <x:f>IF(COUNT('逐日期数据'!M329:M332)=0,"未测",AVERAGE('逐日期数据'!M329:M332))</x:f>
        <x:v>48.50748054999167</x:v>
      </x:c>
      <x:c r="P59" s="25" t="n">
        <x:f>IF(COUNT('逐日期数据'!N329:N332)=0,"未测",AVERAGE('逐日期数据'!N329:N332))</x:f>
        <x:v>0.7214997249884618</x:v>
      </x:c>
      <x:c r="Q59" s="25" t="n">
        <x:f>IF(COUNT('逐日期数据'!O329:O332)=0,"未测",AVERAGE('逐日期数据'!O329:O332))</x:f>
        <x:v>5.072047124959681</x:v>
      </x:c>
      <x:c r="R59" s="25" t="n">
        <x:f>IF(COUNT('逐日期数据'!P329:P332)=0,"未测",AVERAGE('逐日期数据'!P329:P332)*1000)</x:f>
        <x:v>34.87433000063901</x:v>
      </x:c>
      <x:c r="S59" s="25" t="n">
        <x:f>IF(COUNT('逐日期数据'!Q329:Q332)=0,"未测",AVERAGE('逐日期数据'!Q329:Q332)*1000)</x:f>
        <x:v>1102.2872960015952</x:v>
      </x:c>
      <x:c r="T59" s="25" t="n">
        <x:f>IF(COUNT('逐日期数据'!R329:R332)=0,"未测",AVERAGE('逐日期数据'!R329:R332)*1000)</x:f>
        <x:v>2990.9050725003453</x:v>
      </x:c>
      <x:c r="U59" s="25" t="n">
        <x:f>IF(COUNT('逐日期数据'!S329:S332)=0,"未测",AVERAGE('逐日期数据'!S329:S332)*1000)</x:f>
        <x:v>3084.3023745001756</x:v>
      </x:c>
      <x:c r="V59" s="26" t="n">
        <x:f>IF(COUNT('逐日期数据'!Z329:Z332)=0,"未测",AVERAGE('逐日期数据'!Z329:Z332))</x:f>
        <x:v>0.015146486275496945</x:v>
      </x:c>
      <x:c r="W59" s="26" t="n">
        <x:f>IF(COUNT('逐日期数据'!AA329:AA332)=0,"未测",AVERAGE('逐日期数据'!AA329:AA332))</x:f>
        <x:v>0.3593247483438776</x:v>
      </x:c>
      <x:c r="X59" s="19" t="str">
        <x:f>IF(COUNT('逐日期数据'!AB329:AB332)=0,"单次，未估计",TEXT(MIN('逐日期数据'!AB329:AB332),"0.00%")&amp;"～"&amp;TEXT(MAX('逐日期数据'!AB329:AB332),"0.00%"))</x:f>
        <x:v>单次，未估计</x:v>
      </x:c>
      <x:c r="Y59" s="19" t="str">
        <x:f>MIN('逐日期数据'!D329:D332)&amp;"～"&amp;MAX('逐日期数据'!D329:D332)</x:f>
        <x:v>1～1</x:v>
      </x:c>
      <x:c r="Z59" s="19" t="str">
        <x:v>FULL</x:v>
      </x:c>
      <x:c r="AA59" s="19" t="str">
        <x:v>质量/成本以冻结FULL为参照；速度方向为本行方法相对同批参照</x:v>
      </x:c>
      <x:c r="AB59" s="19" t="str">
        <x:v>GRID89 / per_date.csv</x:v>
      </x:c>
    </x:row>
    <x:row r="60" ht="54" customHeight="1">
      <x:c r="A60" s="19" t="str">
        <x:v>GRID79</x:v>
      </x:c>
      <x:c r="B60" s="19" t="str">
        <x:v>FULL</x:v>
      </x:c>
      <x:c r="C60" s="19" t="n">
        <x:f>ROWS('逐日期数据'!A14:A20)</x:f>
        <x:v>7</x:v>
      </x:c>
      <x:c r="D60" s="19" t="str">
        <x:f>SUM('逐日期数据'!F14:F20)&amp;"/"&amp;C60</x:f>
        <x:v>7/7</x:v>
      </x:c>
      <x:c r="E60" s="19" t="str">
        <x:f>SUM('逐日期数据'!G14:G20)&amp;"/"&amp;C60</x:f>
        <x:v>5/7</x:v>
      </x:c>
      <x:c r="F60" s="19" t="str">
        <x:f>MIN('逐日期数据'!E14:E20)&amp;"–"&amp;MAX('逐日期数据'!E14:E20)</x:f>
        <x:v>747–2017</x:v>
      </x:c>
      <x:c r="G60" s="23" t="n">
        <x:f>IF(COUNT('逐日期数据'!I14:I20)=0,"未测",AVERAGE('逐日期数据'!I14:I20))</x:f>
        <x:v>0</x:v>
      </x:c>
      <x:c r="H60" s="23" t="n">
        <x:f>IF(COUNT('逐日期数据'!I14:I20)=0,"未测",MAX('逐日期数据'!I14:I20))</x:f>
        <x:v>0</x:v>
      </x:c>
      <x:c r="I60" s="24" t="n">
        <x:f>SUM('逐日期数据'!J14:J20)</x:f>
        <x:v>30722</x:v>
      </x:c>
      <x:c r="J60" s="26" t="n">
        <x:f>IF(COUNT('逐日期数据'!X14:X20)=0,"未测",AVERAGE('逐日期数据'!X14:X20))</x:f>
        <x:v>0</x:v>
      </x:c>
      <x:c r="K60" s="25" t="n">
        <x:f>IF(COUNT('逐日期数据'!K14:K20)=0,"未测",AVERAGE('逐日期数据'!K14:K20))</x:f>
        <x:v>65.64993393571827</x:v>
      </x:c>
      <x:c r="L60" s="26" t="n">
        <x:f>IF(COUNT('逐日期数据'!Y14:Y20)=0,"未测",AVERAGE('逐日期数据'!Y14:Y20))</x:f>
        <x:v>0</x:v>
      </x:c>
      <x:c r="M60" s="25" t="n">
        <x:f>IF(OR(COUNT('逐日期数据'!L14:L20)=0,COUNT('逐日期数据'!N14:N20)=0),"未测",AVERAGE('逐日期数据'!L14:L20)+AVERAGE('逐日期数据'!N14:N20))</x:f>
        <x:v>20.906215192866014</x:v>
      </x:c>
      <x:c r="N60" s="25" t="n">
        <x:f>IF(COUNT('逐日期数据'!L14:L20)=0,"未测",AVERAGE('逐日期数据'!L14:L20))</x:f>
        <x:v>20.25304837857494</x:v>
      </x:c>
      <x:c r="O60" s="25" t="n">
        <x:f>IF(COUNT('逐日期数据'!M14:M20)=0,"未测",AVERAGE('逐日期数据'!M14:M20))</x:f>
        <x:v>40.31283505715039</x:v>
      </x:c>
      <x:c r="P60" s="25" t="n">
        <x:f>IF(COUNT('逐日期数据'!N14:N20)=0,"未测",AVERAGE('逐日期数据'!N14:N20))</x:f>
        <x:v>0.653166814291077</x:v>
      </x:c>
      <x:c r="Q60" s="25" t="n">
        <x:f>IF(COUNT('逐日期数据'!O14:O20)=0,"未测",AVERAGE('逐日期数据'!O14:O20))</x:f>
        <x:v>4.430883685701864</x:v>
      </x:c>
      <x:c r="R60" s="25" t="n">
        <x:f>IF(COUNT('逐日期数据'!P14:P20)=0,"未测",AVERAGE('逐日期数据'!P14:P20)*1000)</x:f>
        <x:v>30.17526928599634</x:v>
      </x:c>
      <x:c r="S60" s="25" t="n">
        <x:f>IF(COUNT('逐日期数据'!Q14:Q20)=0,"未测",AVERAGE('逐日期数据'!Q14:Q20)*1000)</x:f>
        <x:v>886.6537747144206</x:v>
      </x:c>
      <x:c r="T60" s="25" t="n">
        <x:f>IF(COUNT('逐日期数据'!R14:R20)=0,"未测",AVERAGE('逐日期数据'!R14:R20)*1000)</x:f>
        <x:v>3693.84779916652</x:v>
      </x:c>
      <x:c r="U60" s="25" t="str">
        <x:f>IF(COUNT('逐日期数据'!S14:S20)=0,"未测",AVERAGE('逐日期数据'!S14:S20)*1000)</x:f>
        <x:v>未测</x:v>
      </x:c>
      <x:c r="V60" s="26" t="n">
        <x:f>IF(COUNT('逐日期数据'!Z14:Z20)=0,"未测",AVERAGE('逐日期数据'!Z14:Z20))</x:f>
        <x:v>0</x:v>
      </x:c>
      <x:c r="W60" s="26" t="n">
        <x:f>IF(COUNT('逐日期数据'!AA14:AA20)=0,"未测",AVERAGE('逐日期数据'!AA14:AA20))</x:f>
        <x:v>0</x:v>
      </x:c>
      <x:c r="X60" s="19" t="str">
        <x:f>IF(COUNT('逐日期数据'!AB14:AB20)=0,"单次，未估计",TEXT(MIN('逐日期数据'!AB14:AB20),"0.00%")&amp;"～"&amp;TEXT(MAX('逐日期数据'!AB14:AB20),"0.00%"))</x:f>
        <x:v>0.76%～8.32%</x:v>
      </x:c>
      <x:c r="Y60" s="19" t="str">
        <x:f>MIN('逐日期数据'!D14:D20)&amp;"～"&amp;MAX('逐日期数据'!D14:D20)</x:f>
        <x:v>2～2</x:v>
      </x:c>
      <x:c r="Z60" s="19" t="str">
        <x:v>FULL</x:v>
      </x:c>
      <x:c r="AA60" s="19" t="str">
        <x:v>质量/成本以冻结FULL为参照；速度方向为本行方法相对同批参照</x:v>
      </x:c>
      <x:c r="AB60" s="19" t="str">
        <x:v>GRID79 / per_date.csv</x:v>
      </x:c>
    </x:row>
    <x:row r="61" ht="54" customHeight="1">
      <x:c r="A61" s="19" t="str">
        <x:v>GRID79</x:v>
      </x:c>
      <x:c r="B61" s="19" t="str">
        <x:v>CONTEXT_GATE</x:v>
      </x:c>
      <x:c r="C61" s="19" t="n">
        <x:f>ROWS('逐日期数据'!A7:A13)</x:f>
        <x:v>7</x:v>
      </x:c>
      <x:c r="D61" s="19" t="str">
        <x:f>SUM('逐日期数据'!F7:F13)&amp;"/"&amp;C61</x:f>
        <x:v>7/7</x:v>
      </x:c>
      <x:c r="E61" s="19" t="str">
        <x:f>SUM('逐日期数据'!G7:G13)&amp;"/"&amp;C61</x:f>
        <x:v>5/7</x:v>
      </x:c>
      <x:c r="F61" s="19" t="str">
        <x:f>MIN('逐日期数据'!E7:E13)&amp;"–"&amp;MAX('逐日期数据'!E7:E13)</x:f>
        <x:v>747–2017</x:v>
      </x:c>
      <x:c r="G61" s="23" t="n">
        <x:f>IF(COUNT('逐日期数据'!I7:I13)=0,"未测",AVERAGE('逐日期数据'!I7:I13))</x:f>
        <x:v>-0.00561638646353464</x:v>
      </x:c>
      <x:c r="H61" s="23" t="n">
        <x:f>IF(COUNT('逐日期数据'!I7:I13)=0,"未测",MAX('逐日期数据'!I7:I13))</x:f>
        <x:v>0.003720046656812137</x:v>
      </x:c>
      <x:c r="I61" s="24" t="n">
        <x:f>SUM('逐日期数据'!J7:J13)</x:f>
        <x:v>10171</x:v>
      </x:c>
      <x:c r="J61" s="26" t="n">
        <x:f>IF(COUNT('逐日期数据'!X7:X13)=0,"未测",AVERAGE('逐日期数据'!X7:X13))</x:f>
        <x:v>0.7058315707443686</x:v>
      </x:c>
      <x:c r="K61" s="25" t="n">
        <x:f>IF(COUNT('逐日期数据'!K7:K13)=0,"未测",AVERAGE('逐日期数据'!K7:K13))</x:f>
        <x:v>56.79457209998187</x:v>
      </x:c>
      <x:c r="L61" s="26" t="n">
        <x:f>IF(COUNT('逐日期数据'!Y7:Y13)=0,"未测",AVERAGE('逐日期数据'!Y7:Y13))</x:f>
        <x:v>0.1205558557062872</x:v>
      </x:c>
      <x:c r="M61" s="25" t="n">
        <x:f>IF(OR(COUNT('逐日期数据'!L7:L13)=0,COUNT('逐日期数据'!N7:N13)=0),"未测",AVERAGE('逐日期数据'!L7:L13)+AVERAGE('逐日期数据'!N7:N13))</x:f>
        <x:v>12.772973185724181</x:v>
      </x:c>
      <x:c r="N61" s="25" t="n">
        <x:f>IF(COUNT('逐日期数据'!L7:L13)=0,"未测",AVERAGE('逐日期数据'!L7:L13))</x:f>
        <x:v>12.244634878580891</x:v>
      </x:c>
      <x:c r="O61" s="25" t="n">
        <x:f>IF(COUNT('逐日期数据'!M7:M13)=0,"未测",AVERAGE('逐日期数据'!M7:M13))</x:f>
        <x:v>39.86367665000356</x:v>
      </x:c>
      <x:c r="P61" s="25" t="n">
        <x:f>IF(COUNT('逐日期数据'!N7:N13)=0,"未测",AVERAGE('逐日期数据'!N7:N13))</x:f>
        <x:v>0.5283383071432907</x:v>
      </x:c>
      <x:c r="Q61" s="25" t="n">
        <x:f>IF(COUNT('逐日期数据'!O7:O13)=0,"未测",AVERAGE('逐日期数据'!O7:O13))</x:f>
        <x:v>4.157922264254138</x:v>
      </x:c>
      <x:c r="R61" s="25" t="n">
        <x:f>IF(COUNT('逐日期数据'!P7:P13)=0,"未测",AVERAGE('逐日期数据'!P7:P13)*1000)</x:f>
        <x:v>29.87024071444709</x:v>
      </x:c>
      <x:c r="S61" s="25" t="n">
        <x:f>IF(COUNT('逐日期数据'!Q7:Q13)=0,"未测",AVERAGE('逐日期数据'!Q7:Q13)*1000)</x:f>
        <x:v>866.6377629997909</x:v>
      </x:c>
      <x:c r="T61" s="25" t="n">
        <x:f>IF(COUNT('逐日期数据'!R7:R13)=0,"未测",AVERAGE('逐日期数据'!R7:R13)*1000)</x:f>
        <x:v>2508.139882499666</x:v>
      </x:c>
      <x:c r="U61" s="25" t="str">
        <x:f>IF(COUNT('逐日期数据'!S7:S13)=0,"未测",AVERAGE('逐日期数据'!S7:S13)*1000)</x:f>
        <x:v>未测</x:v>
      </x:c>
      <x:c r="V61" s="26" t="n">
        <x:f>IF(COUNT('逐日期数据'!Z7:Z13)=0,"未测",AVERAGE('逐日期数据'!Z7:Z13))</x:f>
        <x:v>0.009711277442703075</x:v>
      </x:c>
      <x:c r="W61" s="26" t="n">
        <x:f>IF(COUNT('逐日期数据'!AA7:AA13)=0,"未测",AVERAGE('逐日期数据'!AA7:AA13))</x:f>
        <x:v>0.34359526378407484</x:v>
      </x:c>
      <x:c r="X61" s="19" t="str">
        <x:f>IF(COUNT('逐日期数据'!AB7:AB13)=0,"单次，未估计",TEXT(MIN('逐日期数据'!AB7:AB13),"0.00%")&amp;"～"&amp;TEXT(MAX('逐日期数据'!AB7:AB13),"0.00%"))</x:f>
        <x:v>0.22%～8.80%</x:v>
      </x:c>
      <x:c r="Y61" s="19" t="str">
        <x:f>MIN('逐日期数据'!D7:D13)&amp;"～"&amp;MAX('逐日期数据'!D7:D13)</x:f>
        <x:v>2～2</x:v>
      </x:c>
      <x:c r="Z61" s="19" t="str">
        <x:v>FULL</x:v>
      </x:c>
      <x:c r="AA61" s="19" t="str">
        <x:v>质量/成本以冻结FULL为参照；速度方向为本行方法相对同批参照</x:v>
      </x:c>
      <x:c r="AB61" s="19" t="str">
        <x:v>GRID79 / per_date.csv</x:v>
      </x:c>
    </x:row>
    <x:row r="62" ht="54" customHeight="1">
      <x:c r="A62" s="19" t="str">
        <x:v>GRID79</x:v>
      </x:c>
      <x:c r="B62" s="19" t="str">
        <x:v>META_CONTEXT0</x:v>
      </x:c>
      <x:c r="C62" s="19" t="n">
        <x:f>ROWS('逐日期数据'!A21:A27)</x:f>
        <x:v>7</x:v>
      </x:c>
      <x:c r="D62" s="19" t="str">
        <x:f>SUM('逐日期数据'!F21:F27)&amp;"/"&amp;C62</x:f>
        <x:v>6/7</x:v>
      </x:c>
      <x:c r="E62" s="19" t="str">
        <x:f>SUM('逐日期数据'!G21:G27)&amp;"/"&amp;C62</x:f>
        <x:v>5/7</x:v>
      </x:c>
      <x:c r="F62" s="19" t="str">
        <x:f>MIN('逐日期数据'!E21:E27)&amp;"–"&amp;MAX('逐日期数据'!E21:E27)</x:f>
        <x:v>747–2017</x:v>
      </x:c>
      <x:c r="G62" s="23" t="n">
        <x:f>IF(COUNT('逐日期数据'!I21:I27)=0,"未测",AVERAGE('逐日期数据'!I21:I27))</x:f>
        <x:v>0.0007096942089065639</x:v>
      </x:c>
      <x:c r="H62" s="23" t="n">
        <x:f>IF(COUNT('逐日期数据'!I21:I27)=0,"未测",MAX('逐日期数据'!I21:I27))</x:f>
        <x:v>0.022445291343232254</x:v>
      </x:c>
      <x:c r="I62" s="24" t="n">
        <x:f>SUM('逐日期数据'!J21:J27)</x:f>
        <x:v>15937</x:v>
      </x:c>
      <x:c r="J62" s="26" t="n">
        <x:f>IF(COUNT('逐日期数据'!X21:X27)=0,"未测",AVERAGE('逐日期数据'!X21:X27))</x:f>
        <x:v>0.4542514943648448</x:v>
      </x:c>
      <x:c r="K62" s="25" t="n">
        <x:f>IF(COUNT('逐日期数据'!K21:K27)=0,"未测",AVERAGE('逐日期数据'!K21:K27))</x:f>
        <x:v>62.0544544785961</x:v>
      </x:c>
      <x:c r="L62" s="26" t="n">
        <x:f>IF(COUNT('逐日期数据'!Y21:Y27)=0,"未测",AVERAGE('逐日期数据'!Y21:Y27))</x:f>
        <x:v>0.04190443157526772</x:v>
      </x:c>
      <x:c r="M62" s="25" t="n">
        <x:f>IF(OR(COUNT('逐日期数据'!L21:L27)=0,COUNT('逐日期数据'!N21:N27)=0),"未测",AVERAGE('逐日期数据'!L21:L27)+AVERAGE('逐日期数据'!N21:N27))</x:f>
        <x:v>15.576188842900203</x:v>
      </x:c>
      <x:c r="N62" s="25" t="n">
        <x:f>IF(COUNT('逐日期数据'!L21:L27)=0,"未测",AVERAGE('逐日期数据'!L21:L27))</x:f>
        <x:v>14.972018700025217</x:v>
      </x:c>
      <x:c r="O62" s="25" t="n">
        <x:f>IF(COUNT('逐日期数据'!M21:M27)=0,"未测",AVERAGE('逐日期数据'!M21:M27))</x:f>
        <x:v>42.115922207143065</x:v>
      </x:c>
      <x:c r="P62" s="25" t="n">
        <x:f>IF(COUNT('逐日期数据'!N21:N27)=0,"未测",AVERAGE('逐日期数据'!N21:N27))</x:f>
        <x:v>0.6041701428749856</x:v>
      </x:c>
      <x:c r="Q62" s="25" t="n">
        <x:f>IF(COUNT('逐日期数据'!O21:O27)=0,"未测",AVERAGE('逐日期数据'!O21:O27))</x:f>
        <x:v>4.362343428552833</x:v>
      </x:c>
      <x:c r="R62" s="25" t="n">
        <x:f>IF(COUNT('逐日期数据'!P21:P27)=0,"未测",AVERAGE('逐日期数据'!P21:P27)*1000)</x:f>
        <x:v>31.52732428567006</x:v>
      </x:c>
      <x:c r="S62" s="25" t="n">
        <x:f>IF(COUNT('逐日期数据'!Q21:Q27)=0,"未测",AVERAGE('逐日期数据'!Q21:Q27)*1000)</x:f>
        <x:v>893.9334071425786</x:v>
      </x:c>
      <x:c r="T62" s="25" t="n">
        <x:f>IF(COUNT('逐日期数据'!R21:R27)=0,"未测",AVERAGE('逐日期数据'!R21:R27)*1000)</x:f>
        <x:v>2925.455869583516</x:v>
      </x:c>
      <x:c r="U62" s="25" t="str">
        <x:f>IF(COUNT('逐日期数据'!S21:S27)=0,"未测",AVERAGE('逐日期数据'!S21:S27)*1000)</x:f>
        <x:v>未测</x:v>
      </x:c>
      <x:c r="V62" s="26" t="n">
        <x:f>IF(COUNT('逐日期数据'!Z21:Z27)=0,"未测",AVERAGE('逐日期数据'!Z21:Z27))</x:f>
        <x:v>-0.04012604439581908</x:v>
      </x:c>
      <x:c r="W62" s="26" t="n">
        <x:f>IF(COUNT('逐日期数据'!AA21:AA27)=0,"未测",AVERAGE('逐日期数据'!AA21:AA27))</x:f>
        <x:v>0.18509059156748273</x:v>
      </x:c>
      <x:c r="X62" s="19" t="str">
        <x:f>IF(COUNT('逐日期数据'!AB21:AB27)=0,"单次，未估计",TEXT(MIN('逐日期数据'!AB21:AB27),"0.00%")&amp;"～"&amp;TEXT(MAX('逐日期数据'!AB21:AB27),"0.00%"))</x:f>
        <x:v>0.20%～35.76%</x:v>
      </x:c>
      <x:c r="Y62" s="19" t="str">
        <x:f>MIN('逐日期数据'!D21:D27)&amp;"～"&amp;MAX('逐日期数据'!D21:D27)</x:f>
        <x:v>2～2</x:v>
      </x:c>
      <x:c r="Z62" s="19" t="str">
        <x:v>FULL</x:v>
      </x:c>
      <x:c r="AA62" s="19" t="str">
        <x:v>质量/成本以冻结FULL为参照；速度方向为本行方法相对同批参照</x:v>
      </x:c>
      <x:c r="AB62" s="19" t="str">
        <x:v>GRID79 / per_date.csv</x:v>
      </x:c>
    </x:row>
    <x:row r="63" ht="54" customHeight="1">
      <x:c r="A63" s="19" t="str">
        <x:v>GRID79</x:v>
      </x:c>
      <x:c r="B63" s="19" t="str">
        <x:v>META_CONTEXT1</x:v>
      </x:c>
      <x:c r="C63" s="19" t="n">
        <x:f>ROWS('逐日期数据'!A28:A34)</x:f>
        <x:v>7</x:v>
      </x:c>
      <x:c r="D63" s="19" t="str">
        <x:f>SUM('逐日期数据'!F28:F34)&amp;"/"&amp;C63</x:f>
        <x:v>6/7</x:v>
      </x:c>
      <x:c r="E63" s="19" t="str">
        <x:f>SUM('逐日期数据'!G28:G34)&amp;"/"&amp;C63</x:f>
        <x:v>5/7</x:v>
      </x:c>
      <x:c r="F63" s="19" t="str">
        <x:f>MIN('逐日期数据'!E28:E34)&amp;"–"&amp;MAX('逐日期数据'!E28:E34)</x:f>
        <x:v>747–2017</x:v>
      </x:c>
      <x:c r="G63" s="23" t="n">
        <x:f>IF(COUNT('逐日期数据'!I28:I34)=0,"未测",AVERAGE('逐日期数据'!I28:I34))</x:f>
        <x:v>-0.0009639700744810797</x:v>
      </x:c>
      <x:c r="H63" s="23" t="n">
        <x:f>IF(COUNT('逐日期数据'!I28:I34)=0,"未测",MAX('逐日期数据'!I28:I34))</x:f>
        <x:v>0.027968133749663338</x:v>
      </x:c>
      <x:c r="I63" s="24" t="n">
        <x:f>SUM('逐日期数据'!J28:J34)</x:f>
        <x:v>11361</x:v>
      </x:c>
      <x:c r="J63" s="26" t="n">
        <x:f>IF(COUNT('逐日期数据'!X28:X34)=0,"未测",AVERAGE('逐日期数据'!X28:X34))</x:f>
        <x:v>0.6390499865633378</x:v>
      </x:c>
      <x:c r="K63" s="25" t="n">
        <x:f>IF(COUNT('逐日期数据'!K28:K34)=0,"未测",AVERAGE('逐日期数据'!K28:K34))</x:f>
        <x:v>59.61978266428181</x:v>
      </x:c>
      <x:c r="L63" s="26" t="n">
        <x:f>IF(COUNT('逐日期数据'!Y28:Y34)=0,"未测",AVERAGE('逐日期数据'!Y28:Y34))</x:f>
        <x:v>0.08308176598616536</x:v>
      </x:c>
      <x:c r="M63" s="25" t="n">
        <x:f>IF(OR(COUNT('逐日期数据'!L28:L34)=0,COUNT('逐日期数据'!N28:N34)=0),"未测",AVERAGE('逐日期数据'!L28:L34)+AVERAGE('逐日期数据'!N28:N34))</x:f>
        <x:v>13.670770171428703</x:v>
      </x:c>
      <x:c r="N63" s="25" t="n">
        <x:f>IF(COUNT('逐日期数据'!L28:L34)=0,"未测",AVERAGE('逐日期数据'!L28:L34))</x:f>
        <x:v>13.134621007137598</x:v>
      </x:c>
      <x:c r="O63" s="25" t="n">
        <x:f>IF(COUNT('逐日期数据'!M28:M34)=0,"未测",AVERAGE('逐日期数据'!M28:M34))</x:f>
        <x:v>41.62682630713037</x:v>
      </x:c>
      <x:c r="P63" s="25" t="n">
        <x:f>IF(COUNT('逐日期数据'!N28:N34)=0,"未测",AVERAGE('逐日期数据'!N28:N34))</x:f>
        <x:v>0.5361491642911054</x:v>
      </x:c>
      <x:c r="Q63" s="25" t="n">
        <x:f>IF(COUNT('逐日期数据'!O28:O34)=0,"未测",AVERAGE('逐日期数据'!O28:O34))</x:f>
        <x:v>4.322186185722733</x:v>
      </x:c>
      <x:c r="R63" s="25" t="n">
        <x:f>IF(COUNT('逐日期数据'!P28:P34)=0,"未测",AVERAGE('逐日期数据'!P28:P34)*1000)</x:f>
        <x:v>30.935807856951655</x:v>
      </x:c>
      <x:c r="S63" s="25" t="n">
        <x:f>IF(COUNT('逐日期数据'!Q28:Q34)=0,"未测",AVERAGE('逐日期数据'!Q28:Q34)*1000)</x:f>
        <x:v>903.3548611431683</x:v>
      </x:c>
      <x:c r="T63" s="25" t="n">
        <x:f>IF(COUNT('逐日期数据'!R28:R34)=0,"未测",AVERAGE('逐日期数据'!R28:R34)*1000)</x:f>
        <x:v>2751.051215833004</x:v>
      </x:c>
      <x:c r="U63" s="25" t="str">
        <x:f>IF(COUNT('逐日期数据'!S28:S34)=0,"未测",AVERAGE('逐日期数据'!S28:S34)*1000)</x:f>
        <x:v>未测</x:v>
      </x:c>
      <x:c r="V63" s="26" t="n">
        <x:f>IF(COUNT('逐日期数据'!Z28:Z34)=0,"未测",AVERAGE('逐日期数据'!Z28:Z34))</x:f>
        <x:v>-0.023319621806140778</x:v>
      </x:c>
      <x:c r="W63" s="26" t="n">
        <x:f>IF(COUNT('逐日期数据'!AA28:AA34)=0,"未测",AVERAGE('逐日期数据'!AA28:AA34))</x:f>
        <x:v>0.26769969826342316</x:v>
      </x:c>
      <x:c r="X63" s="19" t="str">
        <x:f>IF(COUNT('逐日期数据'!AB28:AB34)=0,"单次，未估计",TEXT(MIN('逐日期数据'!AB28:AB34),"0.00%")&amp;"～"&amp;TEXT(MAX('逐日期数据'!AB28:AB34),"0.00%"))</x:f>
        <x:v>0.33%～36.29%</x:v>
      </x:c>
      <x:c r="Y63" s="19" t="str">
        <x:f>MIN('逐日期数据'!D28:D34)&amp;"～"&amp;MAX('逐日期数据'!D28:D34)</x:f>
        <x:v>2～2</x:v>
      </x:c>
      <x:c r="Z63" s="19" t="str">
        <x:v>FULL</x:v>
      </x:c>
      <x:c r="AA63" s="19" t="str">
        <x:v>质量/成本以冻结FULL为参照；速度方向为本行方法相对同批参照</x:v>
      </x:c>
      <x:c r="AB63" s="19" t="str">
        <x:v>GRID79 / per_date.csv</x:v>
      </x:c>
    </x:row>
    <x:row r="64" ht="54" customHeight="1">
      <x:c r="A64" s="19" t="str">
        <x:v>GRID82</x:v>
      </x:c>
      <x:c r="B64" s="19" t="str">
        <x:v>FRAME_GUARD</x:v>
      </x:c>
      <x:c r="C64" s="19" t="n">
        <x:f>ROWS('逐日期数据'!A65:A70)</x:f>
        <x:v>6</x:v>
      </x:c>
      <x:c r="D64" s="19" t="str">
        <x:f>SUM('逐日期数据'!F65:F70)&amp;"/"&amp;C64</x:f>
        <x:v>6/6</x:v>
      </x:c>
      <x:c r="E64" s="19" t="str">
        <x:f>SUM('逐日期数据'!G65:G70)&amp;"/"&amp;C64</x:f>
        <x:v>4/6</x:v>
      </x:c>
      <x:c r="F64" s="19" t="str">
        <x:f>MIN('逐日期数据'!E65:E70)&amp;"–"&amp;MAX('逐日期数据'!E65:E70)</x:f>
        <x:v>519–2017</x:v>
      </x:c>
      <x:c r="G64" s="23" t="n">
        <x:f>IF(COUNT('逐日期数据'!I65:I70)=0,"未测",AVERAGE('逐日期数据'!I65:I70))</x:f>
        <x:v>-0.009191508531551151</x:v>
      </x:c>
      <x:c r="H64" s="23" t="n">
        <x:f>IF(COUNT('逐日期数据'!I65:I70)=0,"未测",MAX('逐日期数据'!I65:I70))</x:f>
        <x:v>0.0008663102138171119</x:v>
      </x:c>
      <x:c r="I64" s="24" t="n">
        <x:f>SUM('逐日期数据'!J65:J70)</x:f>
        <x:v>11526</x:v>
      </x:c>
      <x:c r="J64" s="26" t="n">
        <x:f>IF(COUNT('逐日期数据'!X65:X70)=0,"未测",AVERAGE('逐日期数据'!X65:X70))</x:f>
        <x:v>0</x:v>
      </x:c>
      <x:c r="K64" s="25" t="n">
        <x:f>IF(COUNT('逐日期数据'!K65:K70)=0,"未测",AVERAGE('逐日期数据'!K65:K70))</x:f>
        <x:v>47.033031533354006</x:v>
      </x:c>
      <x:c r="L64" s="26" t="n">
        <x:f>IF(COUNT('逐日期数据'!Y65:Y70)=0,"未测",AVERAGE('逐日期数据'!Y65:Y70))</x:f>
        <x:v>0</x:v>
      </x:c>
      <x:c r="M64" s="25" t="n">
        <x:f>IF(OR(COUNT('逐日期数据'!L65:L70)=0,COUNT('逐日期数据'!N65:N70)=0),"未测",AVERAGE('逐日期数据'!L65:L70)+AVERAGE('逐日期数据'!N65:N70))</x:f>
        <x:v>12.793370316696684</x:v>
      </x:c>
      <x:c r="N64" s="25" t="n">
        <x:f>IF(COUNT('逐日期数据'!L65:L70)=0,"未测",AVERAGE('逐日期数据'!L65:L70))</x:f>
        <x:v>12.197376641706493</x:v>
      </x:c>
      <x:c r="O64" s="25" t="n">
        <x:f>IF(COUNT('逐日期数据'!M65:M70)=0,"未测",AVERAGE('逐日期数据'!M65:M70))</x:f>
        <x:v>30.551169908341762</x:v>
      </x:c>
      <x:c r="P64" s="25" t="n">
        <x:f>IF(COUNT('逐日期数据'!N65:N70)=0,"未测",AVERAGE('逐日期数据'!N65:N70))</x:f>
        <x:v>0.5959936749901923</x:v>
      </x:c>
      <x:c r="Q64" s="25" t="n">
        <x:f>IF(COUNT('逐日期数据'!O65:O70)=0,"未测",AVERAGE('逐日期数据'!O65:O70))</x:f>
        <x:v>3.6884913083155575</x:v>
      </x:c>
      <x:c r="R64" s="25" t="n">
        <x:f>IF(COUNT('逐日期数据'!P65:P70)=0,"未测",AVERAGE('逐日期数据'!P65:P70)*1000)</x:f>
        <x:v>30.933336666294043</x:v>
      </x:c>
      <x:c r="S64" s="25" t="n">
        <x:f>IF(COUNT('逐日期数据'!Q65:Q70)=0,"未测",AVERAGE('逐日期数据'!Q65:Q70)*1000)</x:f>
        <x:v>756.8790612498141</x:v>
      </x:c>
      <x:c r="T64" s="25" t="n">
        <x:f>IF(COUNT('逐日期数据'!R65:R70)=0,"未测",AVERAGE('逐日期数据'!R65:R70)*1000)</x:f>
        <x:v>3039.1265235001442</x:v>
      </x:c>
      <x:c r="U64" s="25" t="str">
        <x:f>IF(COUNT('逐日期数据'!S65:S70)=0,"未测",AVERAGE('逐日期数据'!S65:S70)*1000)</x:f>
        <x:v>未测</x:v>
      </x:c>
      <x:c r="V64" s="26" t="n">
        <x:f>IF(COUNT('逐日期数据'!Z65:Z70)=0,"未测",AVERAGE('逐日期数据'!Z65:Z70))</x:f>
        <x:v>0</x:v>
      </x:c>
      <x:c r="W64" s="26" t="n">
        <x:f>IF(COUNT('逐日期数据'!AA65:AA70)=0,"未测",AVERAGE('逐日期数据'!AA65:AA70))</x:f>
        <x:v>0</x:v>
      </x:c>
      <x:c r="X64" s="19" t="str">
        <x:f>IF(COUNT('逐日期数据'!AB65:AB70)=0,"单次，未估计",TEXT(MIN('逐日期数据'!AB65:AB70),"0.00%")&amp;"～"&amp;TEXT(MAX('逐日期数据'!AB65:AB70),"0.00%"))</x:f>
        <x:v>0.00%～0.88%</x:v>
      </x:c>
      <x:c r="Y64" s="19" t="str">
        <x:f>MIN('逐日期数据'!D65:D70)&amp;"～"&amp;MAX('逐日期数据'!D65:D70)</x:f>
        <x:v>2～2</x:v>
      </x:c>
      <x:c r="Z64" s="19" t="str">
        <x:v>FRAME_GUARD</x:v>
      </x:c>
      <x:c r="AA64" s="19" t="str">
        <x:v>质量/成本以冻结FULL为参照；速度方向为本行方法相对同批参照</x:v>
      </x:c>
      <x:c r="AB64" s="19" t="str">
        <x:v>GRID82 / per_date.csv</x:v>
      </x:c>
    </x:row>
    <x:row r="65" ht="54" customHeight="1">
      <x:c r="A65" s="19" t="str">
        <x:v>GRID82</x:v>
      </x:c>
      <x:c r="B65" s="19" t="str">
        <x:v>META_CONTEXT0</x:v>
      </x:c>
      <x:c r="C65" s="19" t="n">
        <x:f>ROWS('逐日期数据'!A71:A76)</x:f>
        <x:v>6</x:v>
      </x:c>
      <x:c r="D65" s="19" t="str">
        <x:f>SUM('逐日期数据'!F71:F76)&amp;"/"&amp;C65</x:f>
        <x:v>6/6</x:v>
      </x:c>
      <x:c r="E65" s="19" t="str">
        <x:f>SUM('逐日期数据'!G71:G76)&amp;"/"&amp;C65</x:f>
        <x:v>4/6</x:v>
      </x:c>
      <x:c r="F65" s="19" t="str">
        <x:f>MIN('逐日期数据'!E71:E76)&amp;"–"&amp;MAX('逐日期数据'!E71:E76)</x:f>
        <x:v>519–2017</x:v>
      </x:c>
      <x:c r="G65" s="23" t="n">
        <x:f>IF(COUNT('逐日期数据'!I71:I76)=0,"未测",AVERAGE('逐日期数据'!I71:I76))</x:f>
        <x:v>0.001084927348461051</x:v>
      </x:c>
      <x:c r="H65" s="23" t="n">
        <x:f>IF(COUNT('逐日期数据'!I71:I76)=0,"未测",MAX('逐日期数据'!I71:I76))</x:f>
        <x:v>0.0037755148170666164</x:v>
      </x:c>
      <x:c r="I65" s="24" t="n">
        <x:f>SUM('逐日期数据'!J71:J76)</x:f>
        <x:v>16473</x:v>
      </x:c>
      <x:c r="J65" s="26" t="n">
        <x:f>IF(COUNT('逐日期数据'!X71:X76)=0,"未测",AVERAGE('逐日期数据'!X71:X76))</x:f>
        <x:v>-0.8602979466951224</x:v>
      </x:c>
      <x:c r="K65" s="25" t="n">
        <x:f>IF(COUNT('逐日期数据'!K71:K76)=0,"未测",AVERAGE('逐日期数据'!K71:K76))</x:f>
        <x:v>50.219030950018954</x:v>
      </x:c>
      <x:c r="L65" s="26" t="n">
        <x:f>IF(COUNT('逐日期数据'!Y71:Y76)=0,"未测",AVERAGE('逐日期数据'!Y71:Y76))</x:f>
        <x:v>-0.07620533418197528</x:v>
      </x:c>
      <x:c r="M65" s="25" t="n">
        <x:f>IF(OR(COUNT('逐日期数据'!L71:L76)=0,COUNT('逐日期数据'!N71:N76)=0),"未测",AVERAGE('逐日期数据'!L71:L76)+AVERAGE('逐日期数据'!N71:N76))</x:f>
        <x:v>14.713319591670674</x:v>
      </x:c>
      <x:c r="N65" s="25" t="n">
        <x:f>IF(COUNT('逐日期数据'!L71:L76)=0,"未测",AVERAGE('逐日期数据'!L71:L76))</x:f>
        <x:v>14.087399883342187</x:v>
      </x:c>
      <x:c r="O65" s="25" t="n">
        <x:f>IF(COUNT('逐日期数据'!M71:M76)=0,"未测",AVERAGE('逐日期数据'!M71:M76))</x:f>
        <x:v>31.72592639166093</x:v>
      </x:c>
      <x:c r="P65" s="25" t="n">
        <x:f>IF(COUNT('逐日期数据'!N71:N76)=0,"未测",AVERAGE('逐日期数据'!N71:N76))</x:f>
        <x:v>0.6259197083284865</x:v>
      </x:c>
      <x:c r="Q65" s="25" t="n">
        <x:f>IF(COUNT('逐日期数据'!O71:O76)=0,"未测",AVERAGE('逐日期数据'!O71:O76))</x:f>
        <x:v>3.779784966687354</x:v>
      </x:c>
      <x:c r="R65" s="25" t="n">
        <x:f>IF(COUNT('逐日期数据'!P71:P76)=0,"未测",AVERAGE('逐日期数据'!P71:P76)*1000)</x:f>
        <x:v>30.695298333436444</x:v>
      </x:c>
      <x:c r="S65" s="25" t="n">
        <x:f>IF(COUNT('逐日期数据'!Q71:Q76)=0,"未测",AVERAGE('逐日期数据'!Q71:Q76)*1000)</x:f>
        <x:v>807.7707841670286</x:v>
      </x:c>
      <x:c r="T65" s="25" t="n">
        <x:f>IF(COUNT('逐日期数据'!R71:R76)=0,"未测",AVERAGE('逐日期数据'!R71:R76)*1000)</x:f>
        <x:v>3345.868354000249</x:v>
      </x:c>
      <x:c r="U65" s="25" t="str">
        <x:f>IF(COUNT('逐日期数据'!S71:S76)=0,"未测",AVERAGE('逐日期数据'!S71:S76)*1000)</x:f>
        <x:v>未测</x:v>
      </x:c>
      <x:c r="V65" s="26" t="n">
        <x:f>IF(COUNT('逐日期数据'!Z71:Z76)=0,"未测",AVERAGE('逐日期数据'!Z71:Z76))</x:f>
        <x:v>0.003851335357929068</x:v>
      </x:c>
      <x:c r="W65" s="26" t="n">
        <x:f>IF(COUNT('逐日期数据'!AA71:AA76)=0,"未测",AVERAGE('逐日期数据'!AA71:AA76))</x:f>
        <x:v>-0.2331189009428245</x:v>
      </x:c>
      <x:c r="X65" s="19" t="str">
        <x:f>IF(COUNT('逐日期数据'!AB71:AB76)=0,"单次，未估计",TEXT(MIN('逐日期数据'!AB71:AB76),"0.00%")&amp;"～"&amp;TEXT(MAX('逐日期数据'!AB71:AB76),"0.00%"))</x:f>
        <x:v>0.10%～1.17%</x:v>
      </x:c>
      <x:c r="Y65" s="19" t="str">
        <x:f>MIN('逐日期数据'!D71:D76)&amp;"～"&amp;MAX('逐日期数据'!D71:D76)</x:f>
        <x:v>2～2</x:v>
      </x:c>
      <x:c r="Z65" s="19" t="str">
        <x:v>FRAME_GUARD</x:v>
      </x:c>
      <x:c r="AA65" s="19" t="str">
        <x:v>质量/成本以冻结FULL为参照；速度方向为本行方法相对同批参照</x:v>
      </x:c>
      <x:c r="AB65" s="19" t="str">
        <x:v>GRID82 / per_date.csv</x:v>
      </x:c>
    </x:row>
    <x:row r="66" ht="54" customHeight="1">
      <x:c r="A66" s="19" t="str">
        <x:v>GRID82</x:v>
      </x:c>
      <x:c r="B66" s="19" t="str">
        <x:v>META_CONTEXT1</x:v>
      </x:c>
      <x:c r="C66" s="19" t="n">
        <x:f>ROWS('逐日期数据'!A77:A82)</x:f>
        <x:v>6</x:v>
      </x:c>
      <x:c r="D66" s="19" t="str">
        <x:f>SUM('逐日期数据'!F77:F82)&amp;"/"&amp;C66</x:f>
        <x:v>6/6</x:v>
      </x:c>
      <x:c r="E66" s="19" t="str">
        <x:f>SUM('逐日期数据'!G77:G82)&amp;"/"&amp;C66</x:f>
        <x:v>4/6</x:v>
      </x:c>
      <x:c r="F66" s="19" t="str">
        <x:f>MIN('逐日期数据'!E77:E82)&amp;"–"&amp;MAX('逐日期数据'!E77:E82)</x:f>
        <x:v>519–2017</x:v>
      </x:c>
      <x:c r="G66" s="23" t="n">
        <x:f>IF(COUNT('逐日期数据'!I77:I82)=0,"未测",AVERAGE('逐日期数据'!I77:I82))</x:f>
        <x:v>-0.009191508531551151</x:v>
      </x:c>
      <x:c r="H66" s="23" t="n">
        <x:f>IF(COUNT('逐日期数据'!I77:I82)=0,"未测",MAX('逐日期数据'!I77:I82))</x:f>
        <x:v>0.0008663102138171119</x:v>
      </x:c>
      <x:c r="I66" s="24" t="n">
        <x:f>SUM('逐日期数据'!J77:J82)</x:f>
        <x:v>11526</x:v>
      </x:c>
      <x:c r="J66" s="26" t="n">
        <x:f>IF(COUNT('逐日期数据'!X77:X82)=0,"未测",AVERAGE('逐日期数据'!X77:X82))</x:f>
        <x:v>0</x:v>
      </x:c>
      <x:c r="K66" s="25" t="n">
        <x:f>IF(COUNT('逐日期数据'!K77:K82)=0,"未测",AVERAGE('逐日期数据'!K77:K82))</x:f>
        <x:v>47.034861574986884</x:v>
      </x:c>
      <x:c r="L66" s="26" t="n">
        <x:f>IF(COUNT('逐日期数据'!Y77:Y82)=0,"未测",AVERAGE('逐日期数据'!Y77:Y82))</x:f>
        <x:v>-0.00018439511971409436</x:v>
      </x:c>
      <x:c r="M66" s="25" t="n">
        <x:f>IF(OR(COUNT('逐日期数据'!L77:L82)=0,COUNT('逐日期数据'!N77:N82)=0),"未测",AVERAGE('逐日期数据'!L77:L82)+AVERAGE('逐日期数据'!N77:N82))</x:f>
        <x:v>12.640042425014144</x:v>
      </x:c>
      <x:c r="N66" s="25" t="n">
        <x:f>IF(COUNT('逐日期数据'!L77:L82)=0,"未测",AVERAGE('逐日期数据'!L77:L82))</x:f>
        <x:v>12.112230574982883</x:v>
      </x:c>
      <x:c r="O66" s="25" t="n">
        <x:f>IF(COUNT('逐日期数据'!M77:M82)=0,"未测",AVERAGE('逐日期数据'!M77:M82))</x:f>
        <x:v>30.698488916661518</x:v>
      </x:c>
      <x:c r="P66" s="25" t="n">
        <x:f>IF(COUNT('逐日期数据'!N77:N82)=0,"未测",AVERAGE('逐日期数据'!N77:N82))</x:f>
        <x:v>0.5278118500312606</x:v>
      </x:c>
      <x:c r="Q66" s="25" t="n">
        <x:f>IF(COUNT('逐日期数据'!O77:O82)=0,"未测",AVERAGE('逐日期数据'!O77:O82))</x:f>
        <x:v>3.6963302333112247</x:v>
      </x:c>
      <x:c r="R66" s="25" t="n">
        <x:f>IF(COUNT('逐日期数据'!P77:P82)=0,"未测",AVERAGE('逐日期数据'!P77:P82)*1000)</x:f>
        <x:v>30.930222499955548</x:v>
      </x:c>
      <x:c r="S66" s="25" t="n">
        <x:f>IF(COUNT('逐日期数据'!Q77:Q82)=0,"未测",AVERAGE('逐日期数据'!Q77:Q82)*1000)</x:f>
        <x:v>732.6283825002001</x:v>
      </x:c>
      <x:c r="T66" s="25" t="n">
        <x:f>IF(COUNT('逐日期数据'!R77:R82)=0,"未测",AVERAGE('逐日期数据'!R77:R82)*1000)</x:f>
        <x:v>3060.9918840010314</x:v>
      </x:c>
      <x:c r="U66" s="25" t="str">
        <x:f>IF(COUNT('逐日期数据'!S77:S82)=0,"未测",AVERAGE('逐日期数据'!S77:S82)*1000)</x:f>
        <x:v>未测</x:v>
      </x:c>
      <x:c r="V66" s="26" t="n">
        <x:f>IF(COUNT('逐日期数据'!Z77:Z82)=0,"未测",AVERAGE('逐日期数据'!Z77:Z82))</x:f>
        <x:v>-0.0002757165170273283</x:v>
      </x:c>
      <x:c r="W66" s="26" t="n">
        <x:f>IF(COUNT('逐日期数据'!AA77:AA82)=0,"未测",AVERAGE('逐日期数据'!AA77:AA82))</x:f>
        <x:v>-0.007981187944148616</x:v>
      </x:c>
      <x:c r="X66" s="19" t="str">
        <x:f>IF(COUNT('逐日期数据'!AB77:AB82)=0,"单次，未估计",TEXT(MIN('逐日期数据'!AB77:AB82),"0.00%")&amp;"～"&amp;TEXT(MAX('逐日期数据'!AB77:AB82),"0.00%"))</x:f>
        <x:v>0.08%～0.83%</x:v>
      </x:c>
      <x:c r="Y66" s="19" t="str">
        <x:f>MIN('逐日期数据'!D77:D82)&amp;"～"&amp;MAX('逐日期数据'!D77:D82)</x:f>
        <x:v>2～2</x:v>
      </x:c>
      <x:c r="Z66" s="19" t="str">
        <x:v>FRAME_GUARD</x:v>
      </x:c>
      <x:c r="AA66" s="19" t="str">
        <x:v>质量/成本以冻结FULL为参照；速度方向为本行方法相对同批参照</x:v>
      </x:c>
      <x:c r="AB66" s="19" t="str">
        <x:v>GRID82 / per_date.csv</x:v>
      </x:c>
    </x:row>
  </x:sheetData>
  <x:conditionalFormatting sqref="H7:H66">
    <x:cfRule type="cellIs" dxfId="2" priority="1" operator="greaterThan">
      <x:formula>0.005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5e6873065e447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35.630001068115234" hidden="0" customWidth="1"/>
    <x:col min="4" max="4" width="11.25" hidden="0" customWidth="1"/>
    <x:col min="5" max="5" width="12.5" hidden="0" customWidth="1"/>
    <x:col min="6" max="6" width="13.75" hidden="0" customWidth="1"/>
    <x:col min="7" max="7" width="13.75" hidden="0" customWidth="1"/>
    <x:col min="8" max="8" width="20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9.3799991607666" hidden="0" customWidth="1"/>
    <x:col min="17" max="17" width="19.3799991607666" hidden="0" customWidth="1"/>
    <x:col min="18" max="18" width="19.3799991607666" hidden="0" customWidth="1"/>
    <x:col min="19" max="19" width="19.3799991607666" hidden="0" customWidth="1"/>
    <x:col min="20" max="20" width="20" hidden="0" customWidth="1"/>
    <x:col min="21" max="21" width="20" hidden="0" customWidth="1"/>
    <x:col min="22" max="22" width="20" hidden="0" customWidth="1"/>
    <x:col min="23" max="23" width="31.25" hidden="0" customWidth="1"/>
    <x:col min="24" max="24" width="18.1299991607666" hidden="0" customWidth="1"/>
    <x:col min="25" max="25" width="20" hidden="0" customWidth="1"/>
    <x:col min="26" max="26" width="20.6299991607666" hidden="0" customWidth="1"/>
    <x:col min="27" max="27" width="20.6299991607666" hidden="0" customWidth="1"/>
    <x:col min="28" max="28" width="16.25" hidden="0" customWidth="1"/>
    <x:col min="29" max="29" width="75" hidden="0" customWidth="1"/>
  </x:cols>
  <x:sheetData>
    <x:row r="2" ht="30" customHeight="1">
      <x:c r="A2" s="1" t="str">
        <x:v>逐日期质量、速度与重复波动</x:v>
      </x:c>
    </x:row>
    <x:row r="4" ht="22.5" customHeight="1">
      <x:c r="A4" s="2" t="str">
        <x:v>质量/成本相对冻结FULL。搜索P95/P99没有搜索时留空。成本变化只在可比完整周填值；单次计时的标准差/CV留空。</x:v>
      </x:c>
    </x:row>
    <x:row r="6" ht="33" customHeight="1">
      <x:c r="A6" s="8" t="str">
        <x:v>批次</x:v>
      </x:c>
      <x:c r="B6" s="8" t="str">
        <x:v>日期/场景</x:v>
      </x:c>
      <x:c r="C6" s="8" t="str">
        <x:v>方法</x:v>
      </x:c>
      <x:c r="D6" s="8" t="str">
        <x:v>计时重复数</x:v>
      </x:c>
      <x:c r="E6" s="8" t="str">
        <x:v>运行步数</x:v>
      </x:c>
      <x:c r="F6" s="8" t="str">
        <x:v>质量达标(1/0)</x:v>
      </x:c>
      <x:c r="G6" s="8" t="str">
        <x:v>完整周(1/0)</x:v>
      </x:c>
      <x:c r="H6" s="8" t="str">
        <x:v>累计运行成本</x:v>
      </x:c>
      <x:c r="I6" s="8" t="str">
        <x:v>完整周成本变化/FULL</x:v>
      </x:c>
      <x:c r="J6" s="8" t="str">
        <x:v>查询数(日期计一次)</x:v>
      </x:c>
      <x:c r="K6" s="8" t="str">
        <x:v>完整控制(s)</x:v>
      </x:c>
      <x:c r="L6" s="8" t="str">
        <x:v>预测仿真(s)</x:v>
      </x:c>
      <x:c r="M6" s="8" t="str">
        <x:v>连续优化(s)</x:v>
      </x:c>
      <x:c r="N6" s="8" t="str">
        <x:v>搜索其他(s)</x:v>
      </x:c>
      <x:c r="O6" s="8" t="str">
        <x:v>其余控制(s)</x:v>
      </x:c>
      <x:c r="P6" s="8" t="str">
        <x:v>全步骤P95(s)</x:v>
      </x:c>
      <x:c r="Q6" s="8" t="str">
        <x:v>全步骤P99(s)</x:v>
      </x:c>
      <x:c r="R6" s="8" t="str">
        <x:v>搜索步P95(s)</x:v>
      </x:c>
      <x:c r="S6" s="8" t="str">
        <x:v>搜索步P99(s)</x:v>
      </x:c>
      <x:c r="T6" s="8" t="str">
        <x:v>重复最小控制(s)</x:v>
      </x:c>
      <x:c r="U6" s="8" t="str">
        <x:v>重复最大控制(s)</x:v>
      </x:c>
      <x:c r="V6" s="8" t="str">
        <x:v>重复标准差(s)</x:v>
      </x:c>
      <x:c r="W6" s="8" t="str">
        <x:v>同批速度参照</x:v>
      </x:c>
      <x:c r="X6" s="8" t="str">
        <x:v>查询减少比</x:v>
      </x:c>
      <x:c r="Y6" s="8" t="str">
        <x:v>控制时间减少比</x:v>
      </x:c>
      <x:c r="Z6" s="8" t="str">
        <x:v>全步骤P95减少比</x:v>
      </x:c>
      <x:c r="AA6" s="8" t="str">
        <x:v>搜索步P95减少比</x:v>
      </x:c>
      <x:c r="AB6" s="8" t="str">
        <x:v>重复CV</x:v>
      </x:c>
      <x:c r="AC6" s="8" t="str">
        <x:v>数据来源</x:v>
      </x:c>
    </x:row>
    <x:row r="7" ht="36" customHeight="1">
      <x:c r="A7" s="19" t="str">
        <x:v>GRID79</x:v>
      </x:c>
      <x:c r="B7" s="19" t="str">
        <x:v>2035-03-05_0</x:v>
      </x:c>
      <x:c r="C7" s="19" t="str">
        <x:v>CONTEXT_GATE</x:v>
      </x:c>
      <x:c r="D7" s="21" t="n">
        <x:v>2</x:v>
      </x:c>
      <x:c r="E7" s="21" t="n">
        <x:v>2017</x:v>
      </x:c>
      <x:c r="F7" s="21" t="n">
        <x:v>1</x:v>
      </x:c>
      <x:c r="G7" s="21" t="n">
        <x:v>1</x:v>
      </x:c>
      <x:c r="H7" s="22" t="n">
        <x:v>2975141.026245117</x:v>
      </x:c>
      <x:c r="I7" s="23" t="n">
        <x:v>0.003720046656812137</x:v>
      </x:c>
      <x:c r="J7" s="24" t="n">
        <x:v>3592</x:v>
      </x:c>
      <x:c r="K7" s="25" t="n">
        <x:v>130.86062024997426</x:v>
      </x:c>
      <x:c r="L7" s="25" t="n">
        <x:v>22.411446350000915</x:v>
      </x:c>
      <x:c r="M7" s="25" t="n">
        <x:v>102.50331494999432</x:v>
      </x:c>
      <x:c r="N7" s="25" t="n">
        <x:v>1.0290213499623064</x:v>
      </x:c>
      <x:c r="O7" s="25" t="n">
        <x:v>4.91683760001672</x:v>
      </x:c>
      <x:c r="P7" s="25" t="n">
        <x:v>0.040778409999870674</x:v>
      </x:c>
      <x:c r="Q7" s="25" t="n">
        <x:v>2.4756490959993025</x:v>
      </x:c>
      <x:c r="R7" s="25" t="n">
        <x:v>4.4958432450000485</x:v>
      </x:c>
      <x:c r="S7" s="25"/>
      <x:c r="T7" s="25" t="n">
        <x:v>122.84855589995277</x:v>
      </x:c>
      <x:c r="U7" s="25" t="n">
        <x:v>138.87268459999575</x:v>
      </x:c>
      <x:c r="V7" s="25" t="n">
        <x:v>11.330770066406368</x:v>
      </x:c>
      <x:c r="W7" s="19" t="str">
        <x:v>FULL</x:v>
      </x:c>
      <x:c r="X7" s="26" t="n">
        <x:f>IF(AND(J14&gt;0,E7=E14),1-J7/J14,"")</x:f>
        <x:v>0.6249738985174358</x:v>
      </x:c>
      <x:c r="Y7" s="26" t="n">
        <x:f>IF(AND(K14&gt;0,E7=E14),1-K7/K14,"")</x:f>
        <x:v>0.12098553233803899</x:v>
      </x:c>
      <x:c r="Z7" s="26" t="n">
        <x:f>IF(AND(ISNUMBER(P14),P14&gt;0,E7=E14),1-P7/P14,"")</x:f>
        <x:v>0.028341694885524626</x:v>
      </x:c>
      <x:c r="AA7" s="26" t="n">
        <x:f>IF(AND(ISNUMBER(R7),ISNUMBER(R14),R14&gt;0,E7=E14),1-R7/R14,"")</x:f>
        <x:v>0.27622563703893643</x:v>
      </x:c>
      <x:c r="AB7" s="26" t="n">
        <x:v>0.08658655327142695</x:v>
      </x:c>
      <x:c r="AC7" s="19" t="str">
        <x:v>D:/Codex/GRL研究/outputs/grid79/per_date.csv</x:v>
      </x:c>
    </x:row>
    <x:row r="8" ht="36" customHeight="1">
      <x:c r="A8" s="19" t="str">
        <x:v>GRID79</x:v>
      </x:c>
      <x:c r="B8" s="19" t="str">
        <x:v>2035-04-09_3</x:v>
      </x:c>
      <x:c r="C8" s="19" t="str">
        <x:v>CONTEXT_GATE</x:v>
      </x:c>
      <x:c r="D8" s="21" t="n">
        <x:v>2</x:v>
      </x:c>
      <x:c r="E8" s="21" t="n">
        <x:v>2017</x:v>
      </x:c>
      <x:c r="F8" s="21" t="n">
        <x:v>1</x:v>
      </x:c>
      <x:c r="G8" s="21" t="n">
        <x:v>1</x:v>
      </x:c>
      <x:c r="H8" s="22" t="n">
        <x:v>1882254.7607421875</x:v>
      </x:c>
      <x:c r="I8" s="23" t="n">
        <x:v>-0.013275051787672631</x:v>
      </x:c>
      <x:c r="J8" s="24" t="n">
        <x:v>1396</x:v>
      </x:c>
      <x:c r="K8" s="25" t="n">
        <x:v>43.421009950049665</x:v>
      </x:c>
      <x:c r="L8" s="25" t="n">
        <x:v>10.104194050042679</x:v>
      </x:c>
      <x:c r="M8" s="25" t="n">
        <x:v>29.18297460001031</x:v>
      </x:c>
      <x:c r="N8" s="25" t="n">
        <x:v>0.5942488500659238</x:v>
      </x:c>
      <x:c r="O8" s="25" t="n">
        <x:v>3.539592449930751</x:v>
      </x:c>
      <x:c r="P8" s="25" t="n">
        <x:v>0.02721238000049197</x:v>
      </x:c>
      <x:c r="Q8" s="25" t="n">
        <x:v>0.6563045600015537</x:v>
      </x:c>
      <x:c r="R8" s="25" t="n">
        <x:v>2.7294267124993894</x:v>
      </x:c>
      <x:c r="S8" s="25"/>
      <x:c r="T8" s="25" t="n">
        <x:v>43.12375840003915</x:v>
      </x:c>
      <x:c r="U8" s="25" t="n">
        <x:v>43.71826150006018</x:v>
      </x:c>
      <x:c r="V8" s="25" t="n">
        <x:v>0.4203771734612941</x:v>
      </x:c>
      <x:c r="W8" s="19" t="str">
        <x:v>FULL</x:v>
      </x:c>
      <x:c r="X8" s="26" t="n">
        <x:f>IF(AND(J15&gt;0,E8=E15),1-J8/J15,"")</x:f>
        <x:v>0.7436179981634528</x:v>
      </x:c>
      <x:c r="Y8" s="26" t="n">
        <x:f>IF(AND(K15&gt;0,E8=E15),1-K8/K15,"")</x:f>
        <x:v>0.2680671837127785</x:v>
      </x:c>
      <x:c r="Z8" s="26" t="n">
        <x:f>IF(AND(ISNUMBER(P15),P15&gt;0,E8=E15),1-P8/P15,"")</x:f>
        <x:v>0.0971951467041755</x:v>
      </x:c>
      <x:c r="AA8" s="26" t="n">
        <x:f>IF(AND(ISNUMBER(R8),ISNUMBER(R15),R15&gt;0,E8=E15),1-R8/R15,"")</x:f>
        <x:v>0.0027758977835329324</x:v>
      </x:c>
      <x:c r="AB8" s="26" t="n">
        <x:v>0.009681423208370428</x:v>
      </x:c>
      <x:c r="AC8" s="19" t="str">
        <x:v>D:/Codex/GRL研究/outputs/grid79/per_date.csv</x:v>
      </x:c>
    </x:row>
    <x:row r="9" ht="36" customHeight="1">
      <x:c r="A9" s="19" t="str">
        <x:v>GRID79</x:v>
      </x:c>
      <x:c r="B9" s="19" t="str">
        <x:v>2035-05-14_14</x:v>
      </x:c>
      <x:c r="C9" s="19" t="str">
        <x:v>CONTEXT_GATE</x:v>
      </x:c>
      <x:c r="D9" s="21" t="n">
        <x:v>2</x:v>
      </x:c>
      <x:c r="E9" s="21" t="n">
        <x:v>747</x:v>
      </x:c>
      <x:c r="F9" s="21" t="n">
        <x:v>1</x:v>
      </x:c>
      <x:c r="G9" s="21" t="n">
        <x:v>0</x:v>
      </x:c>
      <x:c r="H9" s="22" t="n">
        <x:v>729154.2595214844</x:v>
      </x:c>
      <x:c r="I9" s="23"/>
      <x:c r="J9" s="24" t="n">
        <x:v>0</x:v>
      </x:c>
      <x:c r="K9" s="25" t="n">
        <x:v>6.524751199997809</x:v>
      </x:c>
      <x:c r="L9" s="25" t="n">
        <x:v>2.2070305500565155</x:v>
      </x:c>
      <x:c r="M9" s="25" t="n">
        <x:v>3.432981549998658</x:v>
      </x:c>
      <x:c r="N9" s="25" t="n">
        <x:v>0</x:v>
      </x:c>
      <x:c r="O9" s="25" t="n">
        <x:v>0.8847390999426352</x:v>
      </x:c>
      <x:c r="P9" s="25" t="n">
        <x:v>0.00777053500032707</x:v>
      </x:c>
      <x:c r="Q9" s="25" t="n">
        <x:v>0.03268110499911925</x:v>
      </x:c>
      <x:c r="R9" s="25"/>
      <x:c r="S9" s="25"/>
      <x:c r="T9" s="25" t="n">
        <x:v>6.445978299978378</x:v>
      </x:c>
      <x:c r="U9" s="25" t="n">
        <x:v>6.603524100017239</x:v>
      </x:c>
      <x:c r="V9" s="25" t="n">
        <x:v>0.11140170355493828</x:v>
      </x:c>
      <x:c r="W9" s="19" t="str">
        <x:v>FULL</x:v>
      </x:c>
      <x:c r="X9" s="26" t="str">
        <x:f>IF(AND(J16&gt;0,E9=E16),1-J9/J16,"")</x:f>
      </x:c>
      <x:c r="Y9" s="26" t="n">
        <x:f>IF(AND(K16&gt;0,E9=E16),1-K9/K16,"")</x:f>
        <x:v>0.004431729441362053</x:v>
      </x:c>
      <x:c r="Z9" s="26" t="n">
        <x:f>IF(AND(ISNUMBER(P16),P16&gt;0,E9=E16),1-P9/P16,"")</x:f>
        <x:v>0.00501555431121925</x:v>
      </x:c>
      <x:c r="AA9" s="26" t="str">
        <x:f>IF(AND(ISNUMBER(R9),ISNUMBER(R16),R16&gt;0,E9=E16),1-R9/R16,"")</x:f>
      </x:c>
      <x:c r="AB9" s="26" t="n">
        <x:v>0.017073709041193125</x:v>
      </x:c>
      <x:c r="AC9" s="19" t="str">
        <x:v>D:/Codex/GRL研究/outputs/grid79/per_date.csv</x:v>
      </x:c>
    </x:row>
    <x:row r="10" ht="36" customHeight="1">
      <x:c r="A10" s="19" t="str">
        <x:v>GRID79</x:v>
      </x:c>
      <x:c r="B10" s="19" t="str">
        <x:v>2035-06-25_8</x:v>
      </x:c>
      <x:c r="C10" s="19" t="str">
        <x:v>CONTEXT_GATE</x:v>
      </x:c>
      <x:c r="D10" s="21" t="n">
        <x:v>2</x:v>
      </x:c>
      <x:c r="E10" s="21" t="n">
        <x:v>1901</x:v>
      </x:c>
      <x:c r="F10" s="21" t="n">
        <x:v>1</x:v>
      </x:c>
      <x:c r="G10" s="21" t="n">
        <x:v>0</x:v>
      </x:c>
      <x:c r="H10" s="22" t="n">
        <x:v>1158032.2856445312</x:v>
      </x:c>
      <x:c r="I10" s="23"/>
      <x:c r="J10" s="24" t="n">
        <x:v>1428</x:v>
      </x:c>
      <x:c r="K10" s="25" t="n">
        <x:v>52.38740010000774</x:v>
      </x:c>
      <x:c r="L10" s="25" t="n">
        <x:v>12.084563299989725</x:v>
      </x:c>
      <x:c r="M10" s="25" t="n">
        <x:v>34.78755375001083</x:v>
      </x:c>
      <x:c r="N10" s="25" t="n">
        <x:v>0.7238106500012123</x:v>
      </x:c>
      <x:c r="O10" s="25" t="n">
        <x:v>4.791472400005972</x:v>
      </x:c>
      <x:c r="P10" s="25" t="n">
        <x:v>0.03451140000001374</x:v>
      </x:c>
      <x:c r="Q10" s="25" t="n">
        <x:v>0.7144420999997294</x:v>
      </x:c>
      <x:c r="R10" s="25" t="n">
        <x:v>2.8874347000000284</x:v>
      </x:c>
      <x:c r="S10" s="25"/>
      <x:c r="T10" s="25" t="n">
        <x:v>49.12757150001562</x:v>
      </x:c>
      <x:c r="U10" s="25" t="n">
        <x:v>55.64722869999986</x:v>
      </x:c>
      <x:c r="V10" s="25" t="n">
        <x:v>4.610093817120553</x:v>
      </x:c>
      <x:c r="W10" s="19" t="str">
        <x:v>FULL</x:v>
      </x:c>
      <x:c r="X10" s="26" t="n">
        <x:f>IF(AND(J17&gt;0,E10=E17),1-J10/J17,"")</x:f>
        <x:v>0.6431784107946027</x:v>
      </x:c>
      <x:c r="Y10" s="26" t="n">
        <x:f>IF(AND(K17&gt;0,E10=E17),1-K10/K17,"")</x:f>
        <x:v>0.08478047802745192</x:v>
      </x:c>
      <x:c r="Z10" s="26" t="n">
        <x:f>IF(AND(ISNUMBER(P17),P17&gt;0,E10=E17),1-P10/P17,"")</x:f>
        <x:v>-0.05446256978751607</x:v>
      </x:c>
      <x:c r="AA10" s="26" t="n">
        <x:f>IF(AND(ISNUMBER(R10),ISNUMBER(R17),R17&gt;0,E10=E17),1-R10/R17,"")</x:f>
        <x:v>0.026843977647799444</x:v>
      </x:c>
      <x:c r="AB10" s="26" t="n">
        <x:v>0.08800004978906889</x:v>
      </x:c>
      <x:c r="AC10" s="19" t="str">
        <x:v>D:/Codex/GRL研究/outputs/grid79/per_date.csv</x:v>
      </x:c>
    </x:row>
    <x:row r="11" ht="36" customHeight="1">
      <x:c r="A11" s="19" t="str">
        <x:v>GRID79</x:v>
      </x:c>
      <x:c r="B11" s="19" t="str">
        <x:v>2035-09-03_4</x:v>
      </x:c>
      <x:c r="C11" s="19" t="str">
        <x:v>CONTEXT_GATE</x:v>
      </x:c>
      <x:c r="D11" s="21" t="n">
        <x:v>2</x:v>
      </x:c>
      <x:c r="E11" s="21" t="n">
        <x:v>2017</x:v>
      </x:c>
      <x:c r="F11" s="21" t="n">
        <x:v>1</x:v>
      </x:c>
      <x:c r="G11" s="21" t="n">
        <x:v>1</x:v>
      </x:c>
      <x:c r="H11" s="22" t="n">
        <x:v>1265835.7439422607</x:v>
      </x:c>
      <x:c r="I11" s="23" t="n">
        <x:v>-0.0186656352781418</x:v>
      </x:c>
      <x:c r="J11" s="24" t="n">
        <x:v>2859</x:v>
      </x:c>
      <x:c r="K11" s="25" t="n">
        <x:v>49.793966899952466</x:v>
      </x:c>
      <x:c r="L11" s="25" t="n">
        <x:v>16.998940399954336</x:v>
      </x:c>
      <x:c r="M11" s="25" t="n">
        <x:v>27.040047299992693</x:v>
      </x:c>
      <x:c r="N11" s="25" t="n">
        <x:v>0.8012165999816716</x:v>
      </x:c>
      <x:c r="O11" s="25" t="n">
        <x:v>4.953762600023765</x:v>
      </x:c>
      <x:c r="P11" s="25" t="n">
        <x:v>0.031281130000206755</x:v>
      </x:c>
      <x:c r="Q11" s="25" t="n">
        <x:v>0.6705040899989398</x:v>
      </x:c>
      <x:c r="R11" s="25" t="n">
        <x:v>3.525715564998654</x:v>
      </x:c>
      <x:c r="S11" s="25"/>
      <x:c r="T11" s="25" t="n">
        <x:v>49.716912200025035</x:v>
      </x:c>
      <x:c r="U11" s="25" t="n">
        <x:v>49.871021599879896</x:v>
      </x:c>
      <x:c r="V11" s="25" t="n">
        <x:v>0.10897180168196093</x:v>
      </x:c>
      <x:c r="W11" s="19" t="str">
        <x:v>FULL</x:v>
      </x:c>
      <x:c r="X11" s="26" t="n">
        <x:f>IF(AND(J18&gt;0,E11=E18),1-J11/J18,"")</x:f>
        <x:v>0.6029166666666667</x:v>
      </x:c>
      <x:c r="Y11" s="26" t="n">
        <x:f>IF(AND(K18&gt;0,E11=E18),1-K11/K18,"")</x:f>
        <x:v>0.2241117317067648</x:v>
      </x:c>
      <x:c r="Z11" s="26" t="n">
        <x:f>IF(AND(ISNUMBER(P18),P18&gt;0,E11=E18),1-P11/P18,"")</x:f>
        <x:v>0.016664235676850825</x:v>
      </x:c>
      <x:c r="AA11" s="26" t="n">
        <x:f>IF(AND(ISNUMBER(R11),ISNUMBER(R18),R18&gt;0,E11=E18),1-R11/R18,"")</x:f>
        <x:v>0.2701222848179696</x:v>
      </x:c>
      <x:c r="AB11" s="26" t="n">
        <x:v>0.0021884539125173606</x:v>
      </x:c>
      <x:c r="AC11" s="19" t="str">
        <x:v>D:/Codex/GRL研究/outputs/grid79/per_date.csv</x:v>
      </x:c>
    </x:row>
    <x:row r="12" ht="36" customHeight="1">
      <x:c r="A12" s="19" t="str">
        <x:v>GRID79</x:v>
      </x:c>
      <x:c r="B12" s="19" t="str">
        <x:v>2035-10-01_5</x:v>
      </x:c>
      <x:c r="C12" s="19" t="str">
        <x:v>CONTEXT_GATE</x:v>
      </x:c>
      <x:c r="D12" s="21" t="n">
        <x:v>2</x:v>
      </x:c>
      <x:c r="E12" s="21" t="n">
        <x:v>2017</x:v>
      </x:c>
      <x:c r="F12" s="21" t="n">
        <x:v>1</x:v>
      </x:c>
      <x:c r="G12" s="21" t="n">
        <x:v>1</x:v>
      </x:c>
      <x:c r="H12" s="22" t="n">
        <x:v>1544822.9655151367</x:v>
      </x:c>
      <x:c r="I12" s="23" t="n">
        <x:v>0</x:v>
      </x:c>
      <x:c r="J12" s="24" t="n">
        <x:v>256</x:v>
      </x:c>
      <x:c r="K12" s="25" t="n">
        <x:v>43.6092415999201</x:v>
      </x:c>
      <x:c r="L12" s="25" t="n">
        <x:v>8.02368970002044</x:v>
      </x:c>
      <x:c r="M12" s="25" t="n">
        <x:v>30.422094050015403</x:v>
      </x:c>
      <x:c r="N12" s="25" t="n">
        <x:v>0.2088388500178553</x:v>
      </x:c>
      <x:c r="O12" s="25" t="n">
        <x:v>4.954618999866398</x:v>
      </x:c>
      <x:c r="P12" s="25" t="n">
        <x:v>0.029703900000640715</x:v>
      </x:c>
      <x:c r="Q12" s="25" t="n">
        <x:v>0.6814907639990246</x:v>
      </x:c>
      <x:c r="R12" s="25" t="n">
        <x:v>0.4728778075000719</x:v>
      </x:c>
      <x:c r="S12" s="25"/>
      <x:c r="T12" s="25" t="n">
        <x:v>42.02829259983264</x:v>
      </x:c>
      <x:c r="U12" s="25" t="n">
        <x:v>45.190190600007554</x:v>
      </x:c>
      <x:c r="V12" s="25" t="n">
        <x:v>2.235799517343866</x:v>
      </x:c>
      <x:c r="W12" s="19" t="str">
        <x:v>FULL</x:v>
      </x:c>
      <x:c r="X12" s="26" t="n">
        <x:f>IF(AND(J19&gt;0,E12=E19),1-J12/J19,"")</x:f>
        <x:v>0.8591084204733077</x:v>
      </x:c>
      <x:c r="Y12" s="26" t="n">
        <x:f>IF(AND(K19&gt;0,E12=E19),1-K12/K19,"")</x:f>
        <x:v>0.06812086061323097</x:v>
      </x:c>
      <x:c r="Z12" s="26" t="n">
        <x:f>IF(AND(ISNUMBER(P19),P19&gt;0,E12=E19),1-P12/P19,"")</x:f>
        <x:v>-0.019046812018942427</x:v>
      </x:c>
      <x:c r="AA12" s="26" t="n">
        <x:f>IF(AND(ISNUMBER(R12),ISNUMBER(R19),R19&gt;0,E12=E19),1-R12/R19,"")</x:f>
        <x:v>0.817648176206997</x:v>
      </x:c>
      <x:c r="AB12" s="26" t="n">
        <x:v>0.05126893831026776</x:v>
      </x:c>
      <x:c r="AC12" s="19" t="str">
        <x:v>D:/Codex/GRL研究/outputs/grid79/per_date.csv</x:v>
      </x:c>
    </x:row>
    <x:row r="13" ht="36" customHeight="1">
      <x:c r="A13" s="19" t="str">
        <x:v>GRID79</x:v>
      </x:c>
      <x:c r="B13" s="19" t="str">
        <x:v>2035-11-19_0</x:v>
      </x:c>
      <x:c r="C13" s="19" t="str">
        <x:v>CONTEXT_GATE</x:v>
      </x:c>
      <x:c r="D13" s="21" t="n">
        <x:v>2</x:v>
      </x:c>
      <x:c r="E13" s="21" t="n">
        <x:v>2017</x:v>
      </x:c>
      <x:c r="F13" s="21" t="n">
        <x:v>1</x:v>
      </x:c>
      <x:c r="G13" s="21" t="n">
        <x:v>1</x:v>
      </x:c>
      <x:c r="H13" s="22" t="n">
        <x:v>1914270.897277832</x:v>
      </x:c>
      <x:c r="I13" s="23" t="n">
        <x:v>0.00013870809132909834</x:v>
      </x:c>
      <x:c r="J13" s="24" t="n">
        <x:v>640</x:v>
      </x:c>
      <x:c r="K13" s="25" t="n">
        <x:v>70.9650146999711</x:v>
      </x:c>
      <x:c r="L13" s="25" t="n">
        <x:v>13.882579800001622</x:v>
      </x:c>
      <x:c r="M13" s="25" t="n">
        <x:v>51.6767703500027</x:v>
      </x:c>
      <x:c r="N13" s="25" t="n">
        <x:v>0.34123184997406497</x:v>
      </x:c>
      <x:c r="O13" s="25" t="n">
        <x:v>5.064432699992722</x:v>
      </x:c>
      <x:c r="P13" s="25" t="n">
        <x:v>0.03783392999957867</x:v>
      </x:c>
      <x:c r="Q13" s="25" t="n">
        <x:v>0.8353926260008664</x:v>
      </x:c>
      <x:c r="R13" s="25" t="n">
        <x:v>0.9375412649997997</x:v>
      </x:c>
      <x:c r="S13" s="25"/>
      <x:c r="T13" s="25" t="n">
        <x:v>69.21576489995095</x:v>
      </x:c>
      <x:c r="U13" s="25" t="n">
        <x:v>72.71426449999126</x:v>
      </x:c>
      <x:c r="V13" s="25" t="n">
        <x:v>2.4738127911669237</x:v>
      </x:c>
      <x:c r="W13" s="19" t="str">
        <x:v>FULL</x:v>
      </x:c>
      <x:c r="X13" s="26" t="n">
        <x:f>IF(AND(J20&gt;0,E13=E20),1-J13/J20,"")</x:f>
        <x:v>0.7611940298507462</x:v>
      </x:c>
      <x:c r="Y13" s="26" t="n">
        <x:f>IF(AND(K20&gt;0,E13=E20),1-K13/K20,"")</x:f>
        <x:v>0.07339347410438313</x:v>
      </x:c>
      <x:c r="Z13" s="26" t="n">
        <x:f>IF(AND(ISNUMBER(P20),P20&gt;0,E13=E20),1-P13/P20,"")</x:f>
        <x:v>-0.005728307672390187</x:v>
      </x:c>
      <x:c r="AA13" s="26" t="n">
        <x:f>IF(AND(ISNUMBER(R13),ISNUMBER(R20),R20&gt;0,E13=E20),1-R13/R20,"")</x:f>
        <x:v>0.6679556092092132</x:v>
      </x:c>
      <x:c r="AB13" s="26" t="n">
        <x:v>0.03485961077618054</x:v>
      </x:c>
      <x:c r="AC13" s="19" t="str">
        <x:v>D:/Codex/GRL研究/outputs/grid79/per_date.csv</x:v>
      </x:c>
    </x:row>
    <x:row r="14" ht="36" customHeight="1">
      <x:c r="A14" s="19" t="str">
        <x:v>GRID79</x:v>
      </x:c>
      <x:c r="B14" s="19" t="str">
        <x:v>2035-03-05_0</x:v>
      </x:c>
      <x:c r="C14" s="19" t="str">
        <x:v>FULL</x:v>
      </x:c>
      <x:c r="D14" s="21" t="n">
        <x:v>2</x:v>
      </x:c>
      <x:c r="E14" s="21" t="n">
        <x:v>2017</x:v>
      </x:c>
      <x:c r="F14" s="21" t="n">
        <x:v>1</x:v>
      </x:c>
      <x:c r="G14" s="21" t="n">
        <x:v>1</x:v>
      </x:c>
      <x:c r="H14" s="22" t="n">
        <x:v>2964114.382446289</x:v>
      </x:c>
      <x:c r="I14" s="23" t="n">
        <x:v>0</x:v>
      </x:c>
      <x:c r="J14" s="24" t="n">
        <x:v>9578</x:v>
      </x:c>
      <x:c r="K14" s="25" t="n">
        <x:v>148.87197545000907</x:v>
      </x:c>
      <x:c r="L14" s="25" t="n">
        <x:v>39.999158949973264</x:v>
      </x:c>
      <x:c r="M14" s="25" t="n">
        <x:v>101.29901735001545</x:v>
      </x:c>
      <x:c r="N14" s="25" t="n">
        <x:v>2.072088149986598</x:v>
      </x:c>
      <x:c r="O14" s="25" t="n">
        <x:v>5.501711000033765</x:v>
      </x:c>
      <x:c r="P14" s="25" t="n">
        <x:v>0.04196784999955966</x:v>
      </x:c>
      <x:c r="Q14" s="25" t="n">
        <x:v>2.701492846000268</x:v>
      </x:c>
      <x:c r="R14" s="25" t="n">
        <x:v>6.211664125000112</x:v>
      </x:c>
      <x:c r="S14" s="25"/>
      <x:c r="T14" s="25" t="n">
        <x:v>140.11801830001605</x:v>
      </x:c>
      <x:c r="U14" s="25" t="n">
        <x:v>157.6259326000021</x:v>
      </x:c>
      <x:c r="V14" s="25" t="n">
        <x:v>12.379964925953066</x:v>
      </x:c>
      <x:c r="W14" s="19" t="str">
        <x:v>FULL</x:v>
      </x:c>
      <x:c r="X14" s="26" t="n">
        <x:f>IF(AND(J14&gt;0,E14=E14),1-J14/J14,"")</x:f>
        <x:v>0</x:v>
      </x:c>
      <x:c r="Y14" s="26" t="n">
        <x:f>IF(AND(K14&gt;0,E14=E14),1-K14/K14,"")</x:f>
        <x:v>0</x:v>
      </x:c>
      <x:c r="Z14" s="26" t="n">
        <x:f>IF(AND(ISNUMBER(P14),P14&gt;0,E14=E14),1-P14/P14,"")</x:f>
        <x:v>0</x:v>
      </x:c>
      <x:c r="AA14" s="26" t="n">
        <x:f>IF(AND(ISNUMBER(R14),ISNUMBER(R14),R14&gt;0,E14=E14),1-R14/R14,"")</x:f>
        <x:v>0</x:v>
      </x:c>
      <x:c r="AB14" s="26" t="n">
        <x:v>0.08315846477170066</x:v>
      </x:c>
      <x:c r="AC14" s="19" t="str">
        <x:v>D:/Codex/GRL研究/outputs/grid79/per_date.csv</x:v>
      </x:c>
    </x:row>
    <x:row r="15" ht="36" customHeight="1">
      <x:c r="A15" s="19" t="str">
        <x:v>GRID79</x:v>
      </x:c>
      <x:c r="B15" s="19" t="str">
        <x:v>2035-04-09_3</x:v>
      </x:c>
      <x:c r="C15" s="19" t="str">
        <x:v>FULL</x:v>
      </x:c>
      <x:c r="D15" s="21" t="n">
        <x:v>2</x:v>
      </x:c>
      <x:c r="E15" s="21" t="n">
        <x:v>2017</x:v>
      </x:c>
      <x:c r="F15" s="21" t="n">
        <x:v>1</x:v>
      </x:c>
      <x:c r="G15" s="21" t="n">
        <x:v>1</x:v>
      </x:c>
      <x:c r="H15" s="22" t="n">
        <x:v>1907577.9569091797</x:v>
      </x:c>
      <x:c r="I15" s="23" t="n">
        <x:v>0</x:v>
      </x:c>
      <x:c r="J15" s="24" t="n">
        <x:v>5445</x:v>
      </x:c>
      <x:c r="K15" s="25" t="n">
        <x:v>59.323764399997344</x:v>
      </x:c>
      <x:c r="L15" s="25" t="n">
        <x:v>21.328808250090333</x:v>
      </x:c>
      <x:c r="M15" s="25" t="n">
        <x:v>33.16496654998991</x:v>
      </x:c>
      <x:c r="N15" s="25" t="n">
        <x:v>0.6400141999965854</x:v>
      </x:c>
      <x:c r="O15" s="25" t="n">
        <x:v>4.189975399920513</x:v>
      </x:c>
      <x:c r="P15" s="25" t="n">
        <x:v>0.030142040000282557</x:v>
      </x:c>
      <x:c r="Q15" s="25" t="n">
        <x:v>0.6784100579996439</x:v>
      </x:c>
      <x:c r="R15" s="25" t="n">
        <x:v>2.7370244124995224</x:v>
      </x:c>
      <x:c r="S15" s="25"/>
      <x:c r="T15" s="25" t="n">
        <x:v>59.00547810004173</x:v>
      </x:c>
      <x:c r="U15" s="25" t="n">
        <x:v>59.64205069995296</x:v>
      </x:c>
      <x:c r="V15" s="25" t="n">
        <x:v>0.4501248021147838</x:v>
      </x:c>
      <x:c r="W15" s="19" t="str">
        <x:v>FULL</x:v>
      </x:c>
      <x:c r="X15" s="26" t="n">
        <x:f>IF(AND(J15&gt;0,E15=E15),1-J15/J15,"")</x:f>
        <x:v>0</x:v>
      </x:c>
      <x:c r="Y15" s="26" t="n">
        <x:f>IF(AND(K15&gt;0,E15=E15),1-K15/K15,"")</x:f>
        <x:v>0</x:v>
      </x:c>
      <x:c r="Z15" s="26" t="n">
        <x:f>IF(AND(ISNUMBER(P15),P15&gt;0,E15=E15),1-P15/P15,"")</x:f>
        <x:v>0</x:v>
      </x:c>
      <x:c r="AA15" s="26" t="n">
        <x:f>IF(AND(ISNUMBER(R15),ISNUMBER(R15),R15&gt;0,E15=E15),1-R15/R15,"")</x:f>
        <x:v>0</x:v>
      </x:c>
      <x:c r="AB15" s="26" t="n">
        <x:v>0.007587596752622865</x:v>
      </x:c>
      <x:c r="AC15" s="19" t="str">
        <x:v>D:/Codex/GRL研究/outputs/grid79/per_date.csv</x:v>
      </x:c>
    </x:row>
    <x:row r="16" ht="36" customHeight="1">
      <x:c r="A16" s="19" t="str">
        <x:v>GRID79</x:v>
      </x:c>
      <x:c r="B16" s="19" t="str">
        <x:v>2035-05-14_14</x:v>
      </x:c>
      <x:c r="C16" s="19" t="str">
        <x:v>FULL</x:v>
      </x:c>
      <x:c r="D16" s="21" t="n">
        <x:v>2</x:v>
      </x:c>
      <x:c r="E16" s="21" t="n">
        <x:v>747</x:v>
      </x:c>
      <x:c r="F16" s="21" t="n">
        <x:v>1</x:v>
      </x:c>
      <x:c r="G16" s="21" t="n">
        <x:v>0</x:v>
      </x:c>
      <x:c r="H16" s="22" t="n">
        <x:v>729154.2595214844</x:v>
      </x:c>
      <x:c r="I16" s="23"/>
      <x:c r="J16" s="24" t="n">
        <x:v>0</x:v>
      </x:c>
      <x:c r="K16" s="25" t="n">
        <x:v>6.553795850019014</x:v>
      </x:c>
      <x:c r="L16" s="25" t="n">
        <x:v>2.234315550008432</x:v>
      </x:c>
      <x:c r="M16" s="25" t="n">
        <x:v>3.4213070000023436</x:v>
      </x:c>
      <x:c r="N16" s="25" t="n">
        <x:v>0</x:v>
      </x:c>
      <x:c r="O16" s="25" t="n">
        <x:v>0.8981733000082386</x:v>
      </x:c>
      <x:c r="P16" s="25" t="n">
        <x:v>0.007809704999908713</x:v>
      </x:c>
      <x:c r="Q16" s="25" t="n">
        <x:v>0.03355298299999046</x:v>
      </x:c>
      <x:c r="R16" s="25"/>
      <x:c r="S16" s="25"/>
      <x:c r="T16" s="25" t="n">
        <x:v>6.497847200007527</x:v>
      </x:c>
      <x:c r="U16" s="25" t="n">
        <x:v>6.6097445000305015</x:v>
      </x:c>
      <x:c r="V16" s="25" t="n">
        <x:v>0.0791233396427108</x:v>
      </x:c>
      <x:c r="W16" s="19" t="str">
        <x:v>FULL</x:v>
      </x:c>
      <x:c r="X16" s="26" t="str">
        <x:f>IF(AND(J16&gt;0,E16=E16),1-J16/J16,"")</x:f>
      </x:c>
      <x:c r="Y16" s="26" t="n">
        <x:f>IF(AND(K16&gt;0,E16=E16),1-K16/K16,"")</x:f>
        <x:v>0</x:v>
      </x:c>
      <x:c r="Z16" s="26" t="n">
        <x:f>IF(AND(ISNUMBER(P16),P16&gt;0,E16=E16),1-P16/P16,"")</x:f>
        <x:v>0</x:v>
      </x:c>
      <x:c r="AA16" s="26" t="str">
        <x:f>IF(AND(ISNUMBER(R16),ISNUMBER(R16),R16&gt;0,E16=E16),1-R16/R16,"")</x:f>
      </x:c>
      <x:c r="AB16" s="26" t="n">
        <x:v>0.012072902704542017</x:v>
      </x:c>
      <x:c r="AC16" s="19" t="str">
        <x:v>D:/Codex/GRL研究/outputs/grid79/per_date.csv</x:v>
      </x:c>
    </x:row>
    <x:row r="17" ht="36" customHeight="1">
      <x:c r="A17" s="19" t="str">
        <x:v>GRID79</x:v>
      </x:c>
      <x:c r="B17" s="19" t="str">
        <x:v>2035-06-25_8</x:v>
      </x:c>
      <x:c r="C17" s="19" t="str">
        <x:v>FULL</x:v>
      </x:c>
      <x:c r="D17" s="21" t="n">
        <x:v>2</x:v>
      </x:c>
      <x:c r="E17" s="21" t="n">
        <x:v>1901</x:v>
      </x:c>
      <x:c r="F17" s="21" t="n">
        <x:v>1</x:v>
      </x:c>
      <x:c r="G17" s="21" t="n">
        <x:v>0</x:v>
      </x:c>
      <x:c r="H17" s="22" t="n">
        <x:v>1156085.3905029297</x:v>
      </x:c>
      <x:c r="I17" s="23"/>
      <x:c r="J17" s="24" t="n">
        <x:v>4002</x:v>
      </x:c>
      <x:c r="K17" s="25" t="n">
        <x:v>57.240256400014914</x:v>
      </x:c>
      <x:c r="L17" s="25" t="n">
        <x:v>18.07086889997845</x:v>
      </x:c>
      <x:c r="M17" s="25" t="n">
        <x:v>33.86853200002133</x:v>
      </x:c>
      <x:c r="N17" s="25" t="n">
        <x:v>0.47208384996156383</x:v>
      </x:c>
      <x:c r="O17" s="25" t="n">
        <x:v>4.828771650053568</x:v>
      </x:c>
      <x:c r="P17" s="25" t="n">
        <x:v>0.03272889999971085</x:v>
      </x:c>
      <x:c r="Q17" s="25" t="n">
        <x:v>0.688884400000461</x:v>
      </x:c>
      <x:c r="R17" s="25" t="n">
        <x:v>2.967083009999624</x:v>
      </x:c>
      <x:c r="S17" s="25"/>
      <x:c r="T17" s="25" t="n">
        <x:v>56.62895629994455</x:v>
      </x:c>
      <x:c r="U17" s="25" t="n">
        <x:v>57.85155650008528</x:v>
      </x:c>
      <x:c r="V17" s="25" t="n">
        <x:v>0.8645088921995421</x:v>
      </x:c>
      <x:c r="W17" s="19" t="str">
        <x:v>FULL</x:v>
      </x:c>
      <x:c r="X17" s="26" t="n">
        <x:f>IF(AND(J17&gt;0,E17=E17),1-J17/J17,"")</x:f>
        <x:v>0</x:v>
      </x:c>
      <x:c r="Y17" s="26" t="n">
        <x:f>IF(AND(K17&gt;0,E17=E17),1-K17/K17,"")</x:f>
        <x:v>0</x:v>
      </x:c>
      <x:c r="Z17" s="26" t="n">
        <x:f>IF(AND(ISNUMBER(P17),P17&gt;0,E17=E17),1-P17/P17,"")</x:f>
        <x:v>0</x:v>
      </x:c>
      <x:c r="AA17" s="26" t="n">
        <x:f>IF(AND(ISNUMBER(R17),ISNUMBER(R17),R17&gt;0,E17=E17),1-R17/R17,"")</x:f>
        <x:v>0</x:v>
      </x:c>
      <x:c r="AB17" s="26" t="n">
        <x:v>0.015103162469400064</x:v>
      </x:c>
      <x:c r="AC17" s="19" t="str">
        <x:v>D:/Codex/GRL研究/outputs/grid79/per_date.csv</x:v>
      </x:c>
    </x:row>
    <x:row r="18" ht="36" customHeight="1">
      <x:c r="A18" s="19" t="str">
        <x:v>GRID79</x:v>
      </x:c>
      <x:c r="B18" s="19" t="str">
        <x:v>2035-09-03_4</x:v>
      </x:c>
      <x:c r="C18" s="19" t="str">
        <x:v>FULL</x:v>
      </x:c>
      <x:c r="D18" s="21" t="n">
        <x:v>2</x:v>
      </x:c>
      <x:c r="E18" s="21" t="n">
        <x:v>2017</x:v>
      </x:c>
      <x:c r="F18" s="21" t="n">
        <x:v>1</x:v>
      </x:c>
      <x:c r="G18" s="21" t="n">
        <x:v>1</x:v>
      </x:c>
      <x:c r="H18" s="22" t="n">
        <x:v>1289912.7855377197</x:v>
      </x:c>
      <x:c r="I18" s="23" t="n">
        <x:v>0</x:v>
      </x:c>
      <x:c r="J18" s="24" t="n">
        <x:v>7200</x:v>
      </x:c>
      <x:c r="K18" s="25" t="n">
        <x:v>64.17672355001196</x:v>
      </x:c>
      <x:c r="L18" s="25" t="n">
        <x:v>28.862289100016824</x:v>
      </x:c>
      <x:c r="M18" s="25" t="n">
        <x:v>29.034570000008898</x:v>
      </x:c>
      <x:c r="N18" s="25" t="n">
        <x:v>0.8334698000853678</x:v>
      </x:c>
      <x:c r="O18" s="25" t="n">
        <x:v>5.446394649900867</x:v>
      </x:c>
      <x:c r="P18" s="25" t="n">
        <x:v>0.03181124000075215</x:v>
      </x:c>
      <x:c r="Q18" s="25" t="n">
        <x:v>0.6763394960010554</x:v>
      </x:c>
      <x:c r="R18" s="25" t="n">
        <x:v>4.8305565324998945</x:v>
      </x:c>
      <x:c r="S18" s="25"/>
      <x:c r="T18" s="25" t="n">
        <x:v>63.467379500041716</x:v>
      </x:c>
      <x:c r="U18" s="25" t="n">
        <x:v>64.8860675999822</x:v>
      </x:c>
      <x:c r="V18" s="25" t="n">
        <x:v>1.0031639758565734</x:v>
      </x:c>
      <x:c r="W18" s="19" t="str">
        <x:v>FULL</x:v>
      </x:c>
      <x:c r="X18" s="26" t="n">
        <x:f>IF(AND(J18&gt;0,E18=E18),1-J18/J18,"")</x:f>
        <x:v>0</x:v>
      </x:c>
      <x:c r="Y18" s="26" t="n">
        <x:f>IF(AND(K18&gt;0,E18=E18),1-K18/K18,"")</x:f>
        <x:v>0</x:v>
      </x:c>
      <x:c r="Z18" s="26" t="n">
        <x:f>IF(AND(ISNUMBER(P18),P18&gt;0,E18=E18),1-P18/P18,"")</x:f>
        <x:v>0</x:v>
      </x:c>
      <x:c r="AA18" s="26" t="n">
        <x:f>IF(AND(ISNUMBER(R18),ISNUMBER(R18),R18&gt;0,E18=E18),1-R18/R18,"")</x:f>
        <x:v>0</x:v>
      </x:c>
      <x:c r="AB18" s="26" t="n">
        <x:v>0.01563127439927379</x:v>
      </x:c>
      <x:c r="AC18" s="19" t="str">
        <x:v>D:/Codex/GRL研究/outputs/grid79/per_date.csv</x:v>
      </x:c>
    </x:row>
    <x:row r="19" ht="36" customHeight="1">
      <x:c r="A19" s="19" t="str">
        <x:v>GRID79</x:v>
      </x:c>
      <x:c r="B19" s="19" t="str">
        <x:v>2035-10-01_5</x:v>
      </x:c>
      <x:c r="C19" s="19" t="str">
        <x:v>FULL</x:v>
      </x:c>
      <x:c r="D19" s="21" t="n">
        <x:v>2</x:v>
      </x:c>
      <x:c r="E19" s="21" t="n">
        <x:v>2017</x:v>
      </x:c>
      <x:c r="F19" s="21" t="n">
        <x:v>1</x:v>
      </x:c>
      <x:c r="G19" s="21" t="n">
        <x:v>1</x:v>
      </x:c>
      <x:c r="H19" s="22" t="n">
        <x:v>1544822.9655151367</x:v>
      </x:c>
      <x:c r="I19" s="23" t="n">
        <x:v>0</x:v>
      </x:c>
      <x:c r="J19" s="24" t="n">
        <x:v>1817</x:v>
      </x:c>
      <x:c r="K19" s="25" t="n">
        <x:v>46.79710034996333</x:v>
      </x:c>
      <x:c r="L19" s="25" t="n">
        <x:v>11.851631849945989</x:v>
      </x:c>
      <x:c r="M19" s="25" t="n">
        <x:v>29.835870450012408</x:v>
      </x:c>
      <x:c r="N19" s="25" t="n">
        <x:v>0.21179090001260192</x:v>
      </x:c>
      <x:c r="O19" s="25" t="n">
        <x:v>4.897807149992332</x:v>
      </x:c>
      <x:c r="P19" s="25" t="n">
        <x:v>0.02914871000066341</x:v>
      </x:c>
      <x:c r="Q19" s="25" t="n">
        <x:v>0.64924181999977</x:v>
      </x:c>
      <x:c r="R19" s="25" t="n">
        <x:v>2.5932167699998443</x:v>
      </x:c>
      <x:c r="S19" s="25"/>
      <x:c r="T19" s="25" t="n">
        <x:v>46.457388199909474</x:v>
      </x:c>
      <x:c r="U19" s="25" t="n">
        <x:v>47.136812500017186</x:v>
      </x:c>
      <x:c r="V19" s="25" t="n">
        <x:v>0.48042552990908716</x:v>
      </x:c>
      <x:c r="W19" s="19" t="str">
        <x:v>FULL</x:v>
      </x:c>
      <x:c r="X19" s="26" t="n">
        <x:f>IF(AND(J19&gt;0,E19=E19),1-J19/J19,"")</x:f>
        <x:v>0</x:v>
      </x:c>
      <x:c r="Y19" s="26" t="n">
        <x:f>IF(AND(K19&gt;0,E19=E19),1-K19/K19,"")</x:f>
        <x:v>0</x:v>
      </x:c>
      <x:c r="Z19" s="26" t="n">
        <x:f>IF(AND(ISNUMBER(P19),P19&gt;0,E19=E19),1-P19/P19,"")</x:f>
        <x:v>0</x:v>
      </x:c>
      <x:c r="AA19" s="26" t="n">
        <x:f>IF(AND(ISNUMBER(R19),ISNUMBER(R19),R19&gt;0,E19=E19),1-R19/R19,"")</x:f>
        <x:v>0</x:v>
      </x:c>
      <x:c r="AB19" s="26" t="n">
        <x:v>0.010266138848696073</x:v>
      </x:c>
      <x:c r="AC19" s="19" t="str">
        <x:v>D:/Codex/GRL研究/outputs/grid79/per_date.csv</x:v>
      </x:c>
    </x:row>
    <x:row r="20" ht="36" customHeight="1">
      <x:c r="A20" s="19" t="str">
        <x:v>GRID79</x:v>
      </x:c>
      <x:c r="B20" s="19" t="str">
        <x:v>2035-11-19_0</x:v>
      </x:c>
      <x:c r="C20" s="19" t="str">
        <x:v>FULL</x:v>
      </x:c>
      <x:c r="D20" s="21" t="n">
        <x:v>2</x:v>
      </x:c>
      <x:c r="E20" s="21" t="n">
        <x:v>2017</x:v>
      </x:c>
      <x:c r="F20" s="21" t="n">
        <x:v>1</x:v>
      </x:c>
      <x:c r="G20" s="21" t="n">
        <x:v>1</x:v>
      </x:c>
      <x:c r="H20" s="22" t="n">
        <x:v>1914005.4092407227</x:v>
      </x:c>
      <x:c r="I20" s="23" t="n">
        <x:v>0</x:v>
      </x:c>
      <x:c r="J20" s="24" t="n">
        <x:v>2680</x:v>
      </x:c>
      <x:c r="K20" s="25" t="n">
        <x:v>76.58592155001224</x:v>
      </x:c>
      <x:c r="L20" s="25" t="n">
        <x:v>19.424266050011283</x:v>
      </x:c>
      <x:c r="M20" s="25" t="n">
        <x:v>51.56558205000238</x:v>
      </x:c>
      <x:c r="N20" s="25" t="n">
        <x:v>0.3427207999948223</x:v>
      </x:c>
      <x:c r="O20" s="25" t="n">
        <x:v>5.253352650003762</x:v>
      </x:c>
      <x:c r="P20" s="25" t="n">
        <x:v>0.03761844000109704</x:v>
      </x:c>
      <x:c r="Q20" s="25" t="n">
        <x:v>0.7786548199997556</x:v>
      </x:c>
      <x:c r="R20" s="25" t="n">
        <x:v>2.8235419450001245</x:v>
      </x:c>
      <x:c r="S20" s="25"/>
      <x:c r="T20" s="25" t="n">
        <x:v>74.84862659998362</x:v>
      </x:c>
      <x:c r="U20" s="25" t="n">
        <x:v>78.32321650004087</x:v>
      </x:c>
      <x:c r="V20" s="25" t="n">
        <x:v>2.4569060801727725</x:v>
      </x:c>
      <x:c r="W20" s="19" t="str">
        <x:v>FULL</x:v>
      </x:c>
      <x:c r="X20" s="26" t="n">
        <x:f>IF(AND(J20&gt;0,E20=E20),1-J20/J20,"")</x:f>
        <x:v>0</x:v>
      </x:c>
      <x:c r="Y20" s="26" t="n">
        <x:f>IF(AND(K20&gt;0,E20=E20),1-K20/K20,"")</x:f>
        <x:v>0</x:v>
      </x:c>
      <x:c r="Z20" s="26" t="n">
        <x:f>IF(AND(ISNUMBER(P20),P20&gt;0,E20=E20),1-P20/P20,"")</x:f>
        <x:v>0</x:v>
      </x:c>
      <x:c r="AA20" s="26" t="n">
        <x:f>IF(AND(ISNUMBER(R20),ISNUMBER(R20),R20&gt;0,E20=E20),1-R20/R20,"")</x:f>
        <x:v>0</x:v>
      </x:c>
      <x:c r="AB20" s="26" t="n">
        <x:v>0.0320803880197271</x:v>
      </x:c>
      <x:c r="AC20" s="19" t="str">
        <x:v>D:/Codex/GRL研究/outputs/grid79/per_date.csv</x:v>
      </x:c>
    </x:row>
    <x:row r="21" ht="36" customHeight="1">
      <x:c r="A21" s="19" t="str">
        <x:v>GRID79</x:v>
      </x:c>
      <x:c r="B21" s="19" t="str">
        <x:v>2035-03-05_0</x:v>
      </x:c>
      <x:c r="C21" s="19" t="str">
        <x:v>META_CONTEXT0</x:v>
      </x:c>
      <x:c r="D21" s="21" t="n">
        <x:v>2</x:v>
      </x:c>
      <x:c r="E21" s="21" t="n">
        <x:v>2017</x:v>
      </x:c>
      <x:c r="F21" s="21" t="n">
        <x:v>0</x:v>
      </x:c>
      <x:c r="G21" s="21" t="n">
        <x:v>1</x:v>
      </x:c>
      <x:c r="H21" s="22" t="n">
        <x:v>3030644.793334961</x:v>
      </x:c>
      <x:c r="I21" s="23" t="n">
        <x:v>0.022445291343232254</x:v>
      </x:c>
      <x:c r="J21" s="24" t="n">
        <x:v>4160</x:v>
      </x:c>
      <x:c r="K21" s="25" t="n">
        <x:v>141.47164345000806</x:v>
      </x:c>
      <x:c r="L21" s="25" t="n">
        <x:v>24.669557600061182</x:v>
      </x:c>
      <x:c r="M21" s="25" t="n">
        <x:v>110.34233955000019</x:v>
      </x:c>
      <x:c r="N21" s="25" t="n">
        <x:v>1.3410402999942903</x:v>
      </x:c>
      <x:c r="O21" s="25" t="n">
        <x:v>5.118705999952397</x:v>
      </x:c>
      <x:c r="P21" s="25" t="n">
        <x:v>0.04508991000003559</x:v>
      </x:c>
      <x:c r="Q21" s="25" t="n">
        <x:v>2.590598885999805</x:v>
      </x:c>
      <x:c r="R21" s="25" t="n">
        <x:v>4.406879554999977</x:v>
      </x:c>
      <x:c r="S21" s="25"/>
      <x:c r="T21" s="25" t="n">
        <x:v>129.27472570001555</x:v>
      </x:c>
      <x:c r="U21" s="25" t="n">
        <x:v>153.66856120000057</x:v>
      </x:c>
      <x:c r="V21" s="25" t="n">
        <x:v>17.24904650118854</x:v>
      </x:c>
      <x:c r="W21" s="19" t="str">
        <x:v>FULL</x:v>
      </x:c>
      <x:c r="X21" s="26" t="n">
        <x:f>IF(AND(J14&gt;0,E21=E14),1-J21/J14,"")</x:f>
        <x:v>0.5656713301315515</x:v>
      </x:c>
      <x:c r="Y21" s="26" t="n">
        <x:f>IF(AND(K14&gt;0,E21=E14),1-K21/K14,"")</x:f>
        <x:v>0.049709369259266833</x:v>
      </x:c>
      <x:c r="Z21" s="26" t="n">
        <x:f>IF(AND(ISNUMBER(P14),P14&gt;0,E21=E14),1-P21/P14,"")</x:f>
        <x:v>-0.07439170699734898</x:v>
      </x:c>
      <x:c r="AA21" s="26" t="n">
        <x:f>IF(AND(ISNUMBER(R21),ISNUMBER(R14),R14&gt;0,E21=E14),1-R21/R14,"")</x:f>
        <x:v>0.2905476750966639</x:v>
      </x:c>
      <x:c r="AB21" s="26" t="n">
        <x:v>0.1219258225927364</x:v>
      </x:c>
      <x:c r="AC21" s="19" t="str">
        <x:v>D:/Codex/GRL研究/outputs/grid79/per_date.csv</x:v>
      </x:c>
    </x:row>
    <x:row r="22" ht="36" customHeight="1">
      <x:c r="A22" s="19" t="str">
        <x:v>GRID79</x:v>
      </x:c>
      <x:c r="B22" s="19" t="str">
        <x:v>2035-04-09_3</x:v>
      </x:c>
      <x:c r="C22" s="19" t="str">
        <x:v>META_CONTEXT0</x:v>
      </x:c>
      <x:c r="D22" s="21" t="n">
        <x:v>2</x:v>
      </x:c>
      <x:c r="E22" s="21" t="n">
        <x:v>2017</x:v>
      </x:c>
      <x:c r="F22" s="21" t="n">
        <x:v>1</x:v>
      </x:c>
      <x:c r="G22" s="21" t="n">
        <x:v>1</x:v>
      </x:c>
      <x:c r="H22" s="22" t="n">
        <x:v>1907577.9569091797</x:v>
      </x:c>
      <x:c r="I22" s="23" t="n">
        <x:v>0</x:v>
      </x:c>
      <x:c r="J22" s="24" t="n">
        <x:v>3776</x:v>
      </x:c>
      <x:c r="K22" s="25" t="n">
        <x:v>55.372779250034</x:v>
      </x:c>
      <x:c r="L22" s="25" t="n">
        <x:v>17.393133949952244</x:v>
      </x:c>
      <x:c r="M22" s="25" t="n">
        <x:v>33.21740644998863</x:v>
      </x:c>
      <x:c r="N22" s="25" t="n">
        <x:v>0.7292212500169626</x:v>
      </x:c>
      <x:c r="O22" s="25" t="n">
        <x:v>4.033017600076164</x:v>
      </x:c>
      <x:c r="P22" s="25" t="n">
        <x:v>0.03008546999844828</x:v>
      </x:c>
      <x:c r="Q22" s="25" t="n">
        <x:v>0.6754423499995024</x:v>
      </x:c>
      <x:c r="R22" s="25" t="n">
        <x:v>2.3016267125005925</x:v>
      </x:c>
      <x:c r="S22" s="25"/>
      <x:c r="T22" s="25" t="n">
        <x:v>54.93010920001689</x:v>
      </x:c>
      <x:c r="U22" s="25" t="n">
        <x:v>55.815449300051114</x:v>
      </x:c>
      <x:c r="V22" s="25" t="n">
        <x:v>0.6260299883905786</x:v>
      </x:c>
      <x:c r="W22" s="19" t="str">
        <x:v>FULL</x:v>
      </x:c>
      <x:c r="X22" s="26" t="n">
        <x:f>IF(AND(J15&gt;0,E22=E15),1-J22/J15,"")</x:f>
        <x:v>0.30651974288337924</x:v>
      </x:c>
      <x:c r="Y22" s="26" t="n">
        <x:f>IF(AND(K15&gt;0,E22=E15),1-K22/K15,"")</x:f>
        <x:v>0.0666003782788187</x:v>
      </x:c>
      <x:c r="Z22" s="26" t="n">
        <x:f>IF(AND(ISNUMBER(P15),P15&gt;0,E22=E15),1-P22/P15,"")</x:f>
        <x:v>0.0018767807963145922</x:v>
      </x:c>
      <x:c r="AA22" s="26" t="n">
        <x:f>IF(AND(ISNUMBER(R22),ISNUMBER(R15),R15&gt;0,E22=E15),1-R22/R15,"")</x:f>
        <x:v>0.15907702467341656</x:v>
      </x:c>
      <x:c r="AB22" s="26" t="n">
        <x:v>0.011305735360758403</x:v>
      </x:c>
      <x:c r="AC22" s="19" t="str">
        <x:v>D:/Codex/GRL研究/outputs/grid79/per_date.csv</x:v>
      </x:c>
    </x:row>
    <x:row r="23" ht="36" customHeight="1">
      <x:c r="A23" s="19" t="str">
        <x:v>GRID79</x:v>
      </x:c>
      <x:c r="B23" s="19" t="str">
        <x:v>2035-05-14_14</x:v>
      </x:c>
      <x:c r="C23" s="19" t="str">
        <x:v>META_CONTEXT0</x:v>
      </x:c>
      <x:c r="D23" s="21" t="n">
        <x:v>2</x:v>
      </x:c>
      <x:c r="E23" s="21" t="n">
        <x:v>747</x:v>
      </x:c>
      <x:c r="F23" s="21" t="n">
        <x:v>1</x:v>
      </x:c>
      <x:c r="G23" s="21" t="n">
        <x:v>0</x:v>
      </x:c>
      <x:c r="H23" s="22" t="n">
        <x:v>729154.2595214844</x:v>
      </x:c>
      <x:c r="I23" s="23"/>
      <x:c r="J23" s="24" t="n">
        <x:v>0</x:v>
      </x:c>
      <x:c r="K23" s="25" t="n">
        <x:v>6.545121300017854</x:v>
      </x:c>
      <x:c r="L23" s="25" t="n">
        <x:v>2.226481700052318</x:v>
      </x:c>
      <x:c r="M23" s="25" t="n">
        <x:v>3.4221393999987413</x:v>
      </x:c>
      <x:c r="N23" s="25" t="n">
        <x:v>0</x:v>
      </x:c>
      <x:c r="O23" s="25" t="n">
        <x:v>0.8965001999667948</x:v>
      </x:c>
      <x:c r="P23" s="25" t="n">
        <x:v>0.007817870000599206</x:v>
      </x:c>
      <x:c r="Q23" s="25" t="n">
        <x:v>0.0324734219993115</x:v>
      </x:c>
      <x:c r="R23" s="25"/>
      <x:c r="S23" s="25"/>
      <x:c r="T23" s="25" t="n">
        <x:v>6.519607200007158</x:v>
      </x:c>
      <x:c r="U23" s="25" t="n">
        <x:v>6.57063540002855</x:v>
      </x:c>
      <x:c r="V23" s="25" t="n">
        <x:v>0.03608238626686979</x:v>
      </x:c>
      <x:c r="W23" s="19" t="str">
        <x:v>FULL</x:v>
      </x:c>
      <x:c r="X23" s="26" t="str">
        <x:f>IF(AND(J16&gt;0,E23=E16),1-J23/J16,"")</x:f>
      </x:c>
      <x:c r="Y23" s="26" t="n">
        <x:f>IF(AND(K16&gt;0,E23=E16),1-K23/K16,"")</x:f>
        <x:v>0.0013235917321311463</x:v>
      </x:c>
      <x:c r="Z23" s="26" t="n">
        <x:f>IF(AND(ISNUMBER(P16),P16&gt;0,E23=E16),1-P23/P16,"")</x:f>
        <x:v>-0.0010454941243731586</x:v>
      </x:c>
      <x:c r="AA23" s="26" t="str">
        <x:f>IF(AND(ISNUMBER(R23),ISNUMBER(R16),R16&gt;0,E23=E16),1-R23/R16,"")</x:f>
      </x:c>
      <x:c r="AB23" s="26" t="n">
        <x:v>0.005512867464621529</x:v>
      </x:c>
      <x:c r="AC23" s="19" t="str">
        <x:v>D:/Codex/GRL研究/outputs/grid79/per_date.csv</x:v>
      </x:c>
    </x:row>
    <x:row r="24" ht="36" customHeight="1">
      <x:c r="A24" s="19" t="str">
        <x:v>GRID79</x:v>
      </x:c>
      <x:c r="B24" s="19" t="str">
        <x:v>2035-06-25_8</x:v>
      </x:c>
      <x:c r="C24" s="19" t="str">
        <x:v>META_CONTEXT0</x:v>
      </x:c>
      <x:c r="D24" s="21" t="n">
        <x:v>2</x:v>
      </x:c>
      <x:c r="E24" s="21" t="n">
        <x:v>1901</x:v>
      </x:c>
      <x:c r="F24" s="21" t="n">
        <x:v>1</x:v>
      </x:c>
      <x:c r="G24" s="21" t="n">
        <x:v>0</x:v>
      </x:c>
      <x:c r="H24" s="22" t="n">
        <x:v>1156085.3905029297</x:v>
      </x:c>
      <x:c r="I24" s="23"/>
      <x:c r="J24" s="24" t="n">
        <x:v>2492</x:v>
      </x:c>
      <x:c r="K24" s="25" t="n">
        <x:v>69.7775134999838</x:v>
      </x:c>
      <x:c r="L24" s="25" t="n">
        <x:v>18.768906600011178</x:v>
      </x:c>
      <x:c r="M24" s="25" t="n">
        <x:v>44.2274811499974</x:v>
      </x:c>
      <x:c r="N24" s="25" t="n">
        <x:v>0.7060065500536439</x:v>
      </x:c>
      <x:c r="O24" s="25" t="n">
        <x:v>6.0751191999215735</x:v>
      </x:c>
      <x:c r="P24" s="25" t="n">
        <x:v>0.04324859999996988</x:v>
      </x:c>
      <x:c r="Q24" s="25" t="n">
        <x:v>0.9480132500002583</x:v>
      </x:c>
      <x:c r="R24" s="25" t="n">
        <x:v>3.681590250001136</x:v>
      </x:c>
      <x:c r="S24" s="25"/>
      <x:c r="T24" s="25" t="n">
        <x:v>52.133665100014696</x:v>
      </x:c>
      <x:c r="U24" s="25" t="n">
        <x:v>87.4213618999529</x:v>
      </x:c>
      <x:c r="V24" s="25" t="n">
        <x:v>24.952169699691137</x:v>
      </x:c>
      <x:c r="W24" s="19" t="str">
        <x:v>FULL</x:v>
      </x:c>
      <x:c r="X24" s="26" t="n">
        <x:f>IF(AND(J17&gt;0,E24=E17),1-J24/J17,"")</x:f>
        <x:v>0.3773113443278361</x:v>
      </x:c>
      <x:c r="Y24" s="26" t="n">
        <x:f>IF(AND(K17&gt;0,E24=E17),1-K24/K17,"")</x:f>
        <x:v>-0.21902866773262075</x:v>
      </x:c>
      <x:c r="Z24" s="26" t="n">
        <x:f>IF(AND(ISNUMBER(P17),P17&gt;0,E24=E17),1-P24/P17,"")</x:f>
        <x:v>-0.3214192961068649</x:v>
      </x:c>
      <x:c r="AA24" s="26" t="n">
        <x:f>IF(AND(ISNUMBER(R24),ISNUMBER(R17),R17&gt;0,E24=E17),1-R24/R17,"")</x:f>
        <x:v>-0.240811341507295</x:v>
      </x:c>
      <x:c r="AB24" s="26" t="n">
        <x:v>0.35759614305684495</x:v>
      </x:c>
      <x:c r="AC24" s="19" t="str">
        <x:v>D:/Codex/GRL研究/outputs/grid79/per_date.csv</x:v>
      </x:c>
    </x:row>
    <x:row r="25" ht="36" customHeight="1">
      <x:c r="A25" s="19" t="str">
        <x:v>GRID79</x:v>
      </x:c>
      <x:c r="B25" s="19" t="str">
        <x:v>2035-09-03_4</x:v>
      </x:c>
      <x:c r="C25" s="19" t="str">
        <x:v>META_CONTEXT0</x:v>
      </x:c>
      <x:c r="D25" s="21" t="n">
        <x:v>2</x:v>
      </x:c>
      <x:c r="E25" s="21" t="n">
        <x:v>2017</x:v>
      </x:c>
      <x:c r="F25" s="21" t="n">
        <x:v>1</x:v>
      </x:c>
      <x:c r="G25" s="21" t="n">
        <x:v>1</x:v>
      </x:c>
      <x:c r="H25" s="22" t="n">
        <x:v>1265835.7439422607</x:v>
      </x:c>
      <x:c r="I25" s="23" t="n">
        <x:v>-0.0186656352781418</x:v>
      </x:c>
      <x:c r="J25" s="24" t="n">
        <x:v>3141</x:v>
      </x:c>
      <x:c r="K25" s="25" t="n">
        <x:v>50.205922150089464</x:v>
      </x:c>
      <x:c r="L25" s="25" t="n">
        <x:v>17.514613850054957</x:v>
      </x:c>
      <x:c r="M25" s="25" t="n">
        <x:v>26.91848334998849</x:v>
      </x:c>
      <x:c r="N25" s="25" t="n">
        <x:v>0.8467410000121163</x:v>
      </x:c>
      <x:c r="O25" s="25" t="n">
        <x:v>4.926083950033899</x:v>
      </x:c>
      <x:c r="P25" s="25" t="n">
        <x:v>0.031354859999919424</x:v>
      </x:c>
      <x:c r="Q25" s="25" t="n">
        <x:v>0.6722427040000547</x:v>
      </x:c>
      <x:c r="R25" s="25" t="n">
        <x:v>3.3814959325001377</x:v>
      </x:c>
      <x:c r="S25" s="25"/>
      <x:c r="T25" s="25" t="n">
        <x:v>49.98118860001341</x:v>
      </x:c>
      <x:c r="U25" s="25" t="n">
        <x:v>50.43065570016552</x:v>
      </x:c>
      <x:c r="V25" s="25" t="n">
        <x:v>0.31782123443780697</x:v>
      </x:c>
      <x:c r="W25" s="19" t="str">
        <x:v>FULL</x:v>
      </x:c>
      <x:c r="X25" s="26" t="n">
        <x:f>IF(AND(J18&gt;0,E25=E18),1-J25/J18,"")</x:f>
        <x:v>0.56375</x:v>
      </x:c>
      <x:c r="Y25" s="26" t="n">
        <x:f>IF(AND(K18&gt;0,E25=E18),1-K25/K18,"")</x:f>
        <x:v>0.21769265595236031</x:v>
      </x:c>
      <x:c r="Z25" s="26" t="n">
        <x:f>IF(AND(ISNUMBER(P18),P18&gt;0,E25=E18),1-P25/P18,"")</x:f>
        <x:v>0.014346501451120375</x:v>
      </x:c>
      <x:c r="AA25" s="26" t="n">
        <x:f>IF(AND(ISNUMBER(R25),ISNUMBER(R18),R18&gt;0,E25=E18),1-R25/R18,"")</x:f>
        <x:v>0.2999779818848002</x:v>
      </x:c>
      <x:c r="AB25" s="26" t="n">
        <x:v>0.006330353488731621</x:v>
      </x:c>
      <x:c r="AC25" s="19" t="str">
        <x:v>D:/Codex/GRL研究/outputs/grid79/per_date.csv</x:v>
      </x:c>
    </x:row>
    <x:row r="26" ht="36" customHeight="1">
      <x:c r="A26" s="19" t="str">
        <x:v>GRID79</x:v>
      </x:c>
      <x:c r="B26" s="19" t="str">
        <x:v>2035-10-01_5</x:v>
      </x:c>
      <x:c r="C26" s="19" t="str">
        <x:v>META_CONTEXT0</x:v>
      </x:c>
      <x:c r="D26" s="21" t="n">
        <x:v>2</x:v>
      </x:c>
      <x:c r="E26" s="21" t="n">
        <x:v>2017</x:v>
      </x:c>
      <x:c r="F26" s="21" t="n">
        <x:v>1</x:v>
      </x:c>
      <x:c r="G26" s="21" t="n">
        <x:v>1</x:v>
      </x:c>
      <x:c r="H26" s="22" t="n">
        <x:v>1544822.9655151367</x:v>
      </x:c>
      <x:c r="I26" s="23" t="n">
        <x:v>0</x:v>
      </x:c>
      <x:c r="J26" s="24" t="n">
        <x:v>1152</x:v>
      </x:c>
      <x:c r="K26" s="25" t="n">
        <x:v>44.937916749995566</x:v>
      </x:c>
      <x:c r="L26" s="25" t="n">
        <x:v>10.149877200041374</x:v>
      </x:c>
      <x:c r="M26" s="25" t="n">
        <x:v>29.705221550015267</x:v>
      </x:c>
      <x:c r="N26" s="25" t="n">
        <x:v>0.2604916000400408</x:v>
      </x:c>
      <x:c r="O26" s="25" t="n">
        <x:v>4.822326399898884</x:v>
      </x:c>
      <x:c r="P26" s="25" t="n">
        <x:v>0.028873789999852302</x:v>
      </x:c>
      <x:c r="Q26" s="25" t="n">
        <x:v>0.6562100059993825</x:v>
      </x:c>
      <x:c r="R26" s="25" t="n">
        <x:v>1.8787622424993515</x:v>
      </x:c>
      <x:c r="S26" s="25"/>
      <x:c r="T26" s="25" t="n">
        <x:v>44.540092499999446</x:v>
      </x:c>
      <x:c r="U26" s="25" t="n">
        <x:v>45.335740999991685</x:v>
      </x:c>
      <x:c r="V26" s="25" t="n">
        <x:v>0.5626084497854172</x:v>
      </x:c>
      <x:c r="W26" s="19" t="str">
        <x:v>FULL</x:v>
      </x:c>
      <x:c r="X26" s="26" t="n">
        <x:f>IF(AND(J19&gt;0,E26=E19),1-J26/J19,"")</x:f>
        <x:v>0.3659878921298845</x:v>
      </x:c>
      <x:c r="Y26" s="26" t="n">
        <x:f>IF(AND(K19&gt;0,E26=E19),1-K26/K19,"")</x:f>
        <x:v>0.03972860681675161</x:v>
      </x:c>
      <x:c r="Z26" s="26" t="n">
        <x:f>IF(AND(ISNUMBER(P19),P19&gt;0,E26=E19),1-P26/P19,"")</x:f>
        <x:v>0.009431635252635573</x:v>
      </x:c>
      <x:c r="AA26" s="26" t="n">
        <x:f>IF(AND(ISNUMBER(R26),ISNUMBER(R19),R19&gt;0,E26=E19),1-R26/R19,"")</x:f>
        <x:v>0.27550898781999456</x:v>
      </x:c>
      <x:c r="AB26" s="26" t="n">
        <x:v>0.012519682496974513</x:v>
      </x:c>
      <x:c r="AC26" s="19" t="str">
        <x:v>D:/Codex/GRL研究/outputs/grid79/per_date.csv</x:v>
      </x:c>
    </x:row>
    <x:row r="27" ht="36" customHeight="1">
      <x:c r="A27" s="19" t="str">
        <x:v>GRID79</x:v>
      </x:c>
      <x:c r="B27" s="19" t="str">
        <x:v>2035-11-19_0</x:v>
      </x:c>
      <x:c r="C27" s="19" t="str">
        <x:v>META_CONTEXT0</x:v>
      </x:c>
      <x:c r="D27" s="21" t="n">
        <x:v>2</x:v>
      </x:c>
      <x:c r="E27" s="21" t="n">
        <x:v>2017</x:v>
      </x:c>
      <x:c r="F27" s="21" t="n">
        <x:v>1</x:v>
      </x:c>
      <x:c r="G27" s="21" t="n">
        <x:v>1</x:v>
      </x:c>
      <x:c r="H27" s="22" t="n">
        <x:v>1913562.9198608398</x:v>
      </x:c>
      <x:c r="I27" s="23" t="n">
        <x:v>-0.0002311850205576338</x:v>
      </x:c>
      <x:c r="J27" s="24" t="n">
        <x:v>1216</x:v>
      </x:c>
      <x:c r="K27" s="25" t="n">
        <x:v>66.07028495004397</x:v>
      </x:c>
      <x:c r="L27" s="25" t="n">
        <x:v>14.081560000003265</x:v>
      </x:c>
      <x:c r="M27" s="25" t="n">
        <x:v>46.97838400001274</x:v>
      </x:c>
      <x:c r="N27" s="25" t="n">
        <x:v>0.3456903000078455</x:v>
      </x:c>
      <x:c r="O27" s="25" t="n">
        <x:v>4.664650650020121</x:v>
      </x:c>
      <x:c r="P27" s="25" t="n">
        <x:v>0.034220770000865736</x:v>
      </x:c>
      <x:c r="Q27" s="25" t="n">
        <x:v>0.6825532319997363</x:v>
      </x:c>
      <x:c r="R27" s="25" t="n">
        <x:v>1.9023805249998986</x:v>
      </x:c>
      <x:c r="S27" s="25"/>
      <x:c r="T27" s="25" t="n">
        <x:v>65.97903910002606</x:v>
      </x:c>
      <x:c r="U27" s="25" t="n">
        <x:v>66.16153080006188</x:v>
      </x:c>
      <x:c r="V27" s="25" t="n">
        <x:v>0.12904111860559353</x:v>
      </x:c>
      <x:c r="W27" s="19" t="str">
        <x:v>FULL</x:v>
      </x:c>
      <x:c r="X27" s="26" t="n">
        <x:f>IF(AND(J20&gt;0,E27=E20),1-J27/J20,"")</x:f>
        <x:v>0.5462686567164179</x:v>
      </x:c>
      <x:c r="Y27" s="26" t="n">
        <x:f>IF(AND(K20&gt;0,E27=E20),1-K27/K20,"")</x:f>
        <x:v>0.13730508672016617</x:v>
      </x:c>
      <x:c r="Z27" s="26" t="n">
        <x:f>IF(AND(ISNUMBER(P20),P20&gt;0,E27=E20),1-P27/P20,"")</x:f>
        <x:v>0.09031926895778297</x:v>
      </x:c>
      <x:c r="AA27" s="26" t="n">
        <x:f>IF(AND(ISNUMBER(R27),ISNUMBER(R20),R20&gt;0,E27=E20),1-R27/R20,"")</x:f>
        <x:v>0.3262432214373161</x:v>
      </x:c>
      <x:c r="AB27" s="26" t="n">
        <x:v>0.0019530885738295526</x:v>
      </x:c>
      <x:c r="AC27" s="19" t="str">
        <x:v>D:/Codex/GRL研究/outputs/grid79/per_date.csv</x:v>
      </x:c>
    </x:row>
    <x:row r="28" ht="36" customHeight="1">
      <x:c r="A28" s="19" t="str">
        <x:v>GRID79</x:v>
      </x:c>
      <x:c r="B28" s="19" t="str">
        <x:v>2035-03-05_0</x:v>
      </x:c>
      <x:c r="C28" s="19" t="str">
        <x:v>META_CONTEXT1</x:v>
      </x:c>
      <x:c r="D28" s="21" t="n">
        <x:v>2</x:v>
      </x:c>
      <x:c r="E28" s="21" t="n">
        <x:v>2017</x:v>
      </x:c>
      <x:c r="F28" s="21" t="n">
        <x:v>0</x:v>
      </x:c>
      <x:c r="G28" s="21" t="n">
        <x:v>1</x:v>
      </x:c>
      <x:c r="H28" s="22" t="n">
        <x:v>3047015.1299438477</x:v>
      </x:c>
      <x:c r="I28" s="23" t="n">
        <x:v>0.027968133749663338</x:v>
      </x:c>
      <x:c r="J28" s="24" t="n">
        <x:v>3463</x:v>
      </x:c>
      <x:c r="K28" s="25" t="n">
        <x:v>140.50116425001295</x:v>
      </x:c>
      <x:c r="L28" s="25" t="n">
        <x:v>23.32902994999216</x:v>
      </x:c>
      <x:c r="M28" s="25" t="n">
        <x:v>110.82823324998495</x:v>
      </x:c>
      <x:c r="N28" s="25" t="n">
        <x:v>1.206942649995824</x:v>
      </x:c>
      <x:c r="O28" s="25" t="n">
        <x:v>5.136958400040015</x:v>
      </x:c>
      <x:c r="P28" s="25" t="n">
        <x:v>0.043992160000050205</x:v>
      </x:c>
      <x:c r="Q28" s="25" t="n">
        <x:v>2.651422383999407</x:v>
      </x:c>
      <x:c r="R28" s="25" t="n">
        <x:v>4.830617872499845</x:v>
      </x:c>
      <x:c r="S28" s="25"/>
      <x:c r="T28" s="25" t="n">
        <x:v>123.52474180002537</x:v>
      </x:c>
      <x:c r="U28" s="25" t="n">
        <x:v>157.47758670000053</x:v>
      </x:c>
      <x:c r="V28" s="25" t="n">
        <x:v>24.008286869347522</x:v>
      </x:c>
      <x:c r="W28" s="19" t="str">
        <x:v>FULL</x:v>
      </x:c>
      <x:c r="X28" s="26" t="n">
        <x:f>IF(AND(J14&gt;0,E28=E14),1-J28/J14,"")</x:f>
        <x:v>0.638442263520568</x:v>
      </x:c>
      <x:c r="Y28" s="26" t="n">
        <x:f>IF(AND(K14&gt;0,E28=E14),1-K28/K14,"")</x:f>
        <x:v>0.05622825367026196</x:v>
      </x:c>
      <x:c r="Z28" s="26" t="n">
        <x:f>IF(AND(ISNUMBER(P14),P14&gt;0,E28=E14),1-P28/P14,"")</x:f>
        <x:v>-0.04823477973047918</x:v>
      </x:c>
      <x:c r="AA28" s="26" t="n">
        <x:f>IF(AND(ISNUMBER(R28),ISNUMBER(R14),R14&gt;0,E28=E14),1-R28/R14,"")</x:f>
        <x:v>0.2223311216944207</x:v>
      </x:c>
      <x:c r="AB28" s="26" t="n">
        <x:v>0.17087607065395055</x:v>
      </x:c>
      <x:c r="AC28" s="19" t="str">
        <x:v>D:/Codex/GRL研究/outputs/grid79/per_date.csv</x:v>
      </x:c>
    </x:row>
    <x:row r="29" ht="36" customHeight="1">
      <x:c r="A29" s="19" t="str">
        <x:v>GRID79</x:v>
      </x:c>
      <x:c r="B29" s="19" t="str">
        <x:v>2035-04-09_3</x:v>
      </x:c>
      <x:c r="C29" s="19" t="str">
        <x:v>META_CONTEXT1</x:v>
      </x:c>
      <x:c r="D29" s="21" t="n">
        <x:v>2</x:v>
      </x:c>
      <x:c r="E29" s="21" t="n">
        <x:v>2017</x:v>
      </x:c>
      <x:c r="F29" s="21" t="n">
        <x:v>1</x:v>
      </x:c>
      <x:c r="G29" s="21" t="n">
        <x:v>1</x:v>
      </x:c>
      <x:c r="H29" s="22" t="n">
        <x:v>1881079.4790039062</x:v>
      </x:c>
      <x:c r="I29" s="23" t="n">
        <x:v>-0.013891163823369301</x:v>
      </x:c>
      <x:c r="J29" s="24" t="n">
        <x:v>1589</x:v>
      </x:c>
      <x:c r="K29" s="25" t="n">
        <x:v>43.787981899986335</x:v>
      </x:c>
      <x:c r="L29" s="25" t="n">
        <x:v>10.428887699931693</x:v>
      </x:c>
      <x:c r="M29" s="25" t="n">
        <x:v>29.205875699996795</x:v>
      </x:c>
      <x:c r="N29" s="25" t="n">
        <x:v>0.5950309999452656</x:v>
      </x:c>
      <x:c r="O29" s="25" t="n">
        <x:v>3.558187500112581</x:v>
      </x:c>
      <x:c r="P29" s="25" t="n">
        <x:v>0.027058909998595473</x:v>
      </x:c>
      <x:c r="Q29" s="25" t="n">
        <x:v>0.6582370919996173</x:v>
      </x:c>
      <x:c r="R29" s="25" t="n">
        <x:v>2.718769449999627</x:v>
      </x:c>
      <x:c r="S29" s="25"/>
      <x:c r="T29" s="25" t="n">
        <x:v>43.68711630001417</x:v>
      </x:c>
      <x:c r="U29" s="25" t="n">
        <x:v>43.8888474999585</x:v>
      </x:c>
      <x:c r="V29" s="25" t="n">
        <x:v>0.1426454994575376</x:v>
      </x:c>
      <x:c r="W29" s="19" t="str">
        <x:v>FULL</x:v>
      </x:c>
      <x:c r="X29" s="26" t="n">
        <x:f>IF(AND(J15&gt;0,E29=E15),1-J29/J15,"")</x:f>
        <x:v>0.7081726354453628</x:v>
      </x:c>
      <x:c r="Y29" s="26" t="n">
        <x:f>IF(AND(K15&gt;0,E29=E15),1-K29/K15,"")</x:f>
        <x:v>0.26188126557949354</x:v>
      </x:c>
      <x:c r="Z29" s="26" t="n">
        <x:f>IF(AND(ISNUMBER(P15),P15&gt;0,E29=E15),1-P29/P15,"")</x:f>
        <x:v>0.10228670659511374</x:v>
      </x:c>
      <x:c r="AA29" s="26" t="n">
        <x:f>IF(AND(ISNUMBER(R29),ISNUMBER(R15),R15&gt;0,E29=E15),1-R29/R15,"")</x:f>
        <x:v>0.006669638172216663</x:v>
      </x:c>
      <x:c r="AB29" s="26" t="n">
        <x:v>0.0032576404133752078</x:v>
      </x:c>
      <x:c r="AC29" s="19" t="str">
        <x:v>D:/Codex/GRL研究/outputs/grid79/per_date.csv</x:v>
      </x:c>
    </x:row>
    <x:row r="30" ht="36" customHeight="1">
      <x:c r="A30" s="19" t="str">
        <x:v>GRID79</x:v>
      </x:c>
      <x:c r="B30" s="19" t="str">
        <x:v>2035-05-14_14</x:v>
      </x:c>
      <x:c r="C30" s="19" t="str">
        <x:v>META_CONTEXT1</x:v>
      </x:c>
      <x:c r="D30" s="21" t="n">
        <x:v>2</x:v>
      </x:c>
      <x:c r="E30" s="21" t="n">
        <x:v>747</x:v>
      </x:c>
      <x:c r="F30" s="21" t="n">
        <x:v>1</x:v>
      </x:c>
      <x:c r="G30" s="21" t="n">
        <x:v>0</x:v>
      </x:c>
      <x:c r="H30" s="22" t="n">
        <x:v>729154.2595214844</x:v>
      </x:c>
      <x:c r="I30" s="23"/>
      <x:c r="J30" s="24" t="n">
        <x:v>0</x:v>
      </x:c>
      <x:c r="K30" s="25" t="n">
        <x:v>6.518861500033381</x:v>
      </x:c>
      <x:c r="L30" s="25" t="n">
        <x:v>2.233868450020964</x:v>
      </x:c>
      <x:c r="M30" s="25" t="n">
        <x:v>3.3881430499977796</x:v>
      </x:c>
      <x:c r="N30" s="25" t="n">
        <x:v>0</x:v>
      </x:c>
      <x:c r="O30" s="25" t="n">
        <x:v>0.8968500000146378</x:v>
      </x:c>
      <x:c r="P30" s="25" t="n">
        <x:v>0.007945415000449423</x:v>
      </x:c>
      <x:c r="Q30" s="25" t="n">
        <x:v>0.03335679599991634</x:v>
      </x:c>
      <x:c r="R30" s="25"/>
      <x:c r="S30" s="25"/>
      <x:c r="T30" s="25" t="n">
        <x:v>6.46455620001143</x:v>
      </x:c>
      <x:c r="U30" s="25" t="n">
        <x:v>6.573166800055333</x:v>
      </x:c>
      <x:c r="V30" s="25" t="n">
        <x:v>0.07679929179978383</x:v>
      </x:c>
      <x:c r="W30" s="19" t="str">
        <x:v>FULL</x:v>
      </x:c>
      <x:c r="X30" s="26" t="str">
        <x:f>IF(AND(J16&gt;0,E30=E16),1-J30/J16,"")</x:f>
      </x:c>
      <x:c r="Y30" s="26" t="n">
        <x:f>IF(AND(K16&gt;0,E30=E16),1-K30/K16,"")</x:f>
        <x:v>0.005330399479186121</x:v>
      </x:c>
      <x:c r="Z30" s="26" t="n">
        <x:f>IF(AND(ISNUMBER(P16),P16&gt;0,E30=E16),1-P30/P16,"")</x:f>
        <x:v>-0.017377096899600764</x:v>
      </x:c>
      <x:c r="AA30" s="26" t="str">
        <x:f>IF(AND(ISNUMBER(R30),ISNUMBER(R16),R16&gt;0,E30=E16),1-R30/R16,"")</x:f>
      </x:c>
      <x:c r="AB30" s="26" t="n">
        <x:v>0.01178108965797027</x:v>
      </x:c>
      <x:c r="AC30" s="19" t="str">
        <x:v>D:/Codex/GRL研究/outputs/grid79/per_date.csv</x:v>
      </x:c>
    </x:row>
    <x:row r="31" ht="36" customHeight="1">
      <x:c r="A31" s="19" t="str">
        <x:v>GRID79</x:v>
      </x:c>
      <x:c r="B31" s="19" t="str">
        <x:v>2035-06-25_8</x:v>
      </x:c>
      <x:c r="C31" s="19" t="str">
        <x:v>META_CONTEXT1</x:v>
      </x:c>
      <x:c r="D31" s="21" t="n">
        <x:v>2</x:v>
      </x:c>
      <x:c r="E31" s="21" t="n">
        <x:v>1901</x:v>
      </x:c>
      <x:c r="F31" s="21" t="n">
        <x:v>1</x:v>
      </x:c>
      <x:c r="G31" s="21" t="n">
        <x:v>0</x:v>
      </x:c>
      <x:c r="H31" s="22" t="n">
        <x:v>1156085.3905029297</x:v>
      </x:c>
      <x:c r="I31" s="23"/>
      <x:c r="J31" s="24" t="n">
        <x:v>1889</x:v>
      </x:c>
      <x:c r="K31" s="25" t="n">
        <x:v>68.46766574995036</x:v>
      </x:c>
      <x:c r="L31" s="25" t="n">
        <x:v>16.72274240002389</x:v>
      </x:c>
      <x:c r="M31" s="25" t="n">
        <x:v>44.70811484997739</x:v>
      </x:c>
      <x:c r="N31" s="25" t="n">
        <x:v>0.6274166000393961</x:v>
      </x:c>
      <x:c r="O31" s="25" t="n">
        <x:v>6.409391899909679</x:v>
      </x:c>
      <x:c r="P31" s="25" t="n">
        <x:v>0.04347509999934118</x:v>
      </x:c>
      <x:c r="Q31" s="25" t="n">
        <x:v>0.9805111000014222</x:v>
      </x:c>
      <x:c r="R31" s="25" t="n">
        <x:v>3.4818198399991154</x:v>
      </x:c>
      <x:c r="S31" s="25"/>
      <x:c r="T31" s="25" t="n">
        <x:v>50.89889179997226</x:v>
      </x:c>
      <x:c r="U31" s="25" t="n">
        <x:v>86.03643969992845</x:v>
      </x:c>
      <x:c r="V31" s="25" t="n">
        <x:v>24.845998394326152</x:v>
      </x:c>
      <x:c r="W31" s="19" t="str">
        <x:v>FULL</x:v>
      </x:c>
      <x:c r="X31" s="26" t="n">
        <x:f>IF(AND(J17&gt;0,E31=E17),1-J31/J17,"")</x:f>
        <x:v>0.5279860069965017</x:v>
      </x:c>
      <x:c r="Y31" s="26" t="n">
        <x:f>IF(AND(K17&gt;0,E31=E17),1-K31/K17,"")</x:f>
        <x:v>-0.19614533644773324</x:v>
      </x:c>
      <x:c r="Z31" s="26" t="n">
        <x:f>IF(AND(ISNUMBER(P17),P17&gt;0,E31=E17),1-P31/P17,"")</x:f>
        <x:v>-0.3283397853189467</x:v>
      </x:c>
      <x:c r="AA31" s="26" t="n">
        <x:f>IF(AND(ISNUMBER(R31),ISNUMBER(R17),R17&gt;0,E31=E17),1-R31/R17,"")</x:f>
        <x:v>-0.17348245002405793</x:v>
      </x:c>
      <x:c r="AB31" s="26" t="n">
        <x:v>0.36288659942148194</x:v>
      </x:c>
      <x:c r="AC31" s="19" t="str">
        <x:v>D:/Codex/GRL研究/outputs/grid79/per_date.csv</x:v>
      </x:c>
    </x:row>
    <x:row r="32" ht="36" customHeight="1">
      <x:c r="A32" s="19" t="str">
        <x:v>GRID79</x:v>
      </x:c>
      <x:c r="B32" s="19" t="str">
        <x:v>2035-09-03_4</x:v>
      </x:c>
      <x:c r="C32" s="19" t="str">
        <x:v>META_CONTEXT1</x:v>
      </x:c>
      <x:c r="D32" s="21" t="n">
        <x:v>2</x:v>
      </x:c>
      <x:c r="E32" s="21" t="n">
        <x:v>2017</x:v>
      </x:c>
      <x:c r="F32" s="21" t="n">
        <x:v>1</x:v>
      </x:c>
      <x:c r="G32" s="21" t="n">
        <x:v>1</x:v>
      </x:c>
      <x:c r="H32" s="22" t="n">
        <x:v>1265835.7439422607</x:v>
      </x:c>
      <x:c r="I32" s="23" t="n">
        <x:v>-0.0186656352781418</x:v>
      </x:c>
      <x:c r="J32" s="24" t="n">
        <x:v>2987</x:v>
      </x:c>
      <x:c r="K32" s="25" t="n">
        <x:v>49.682022799983315</x:v>
      </x:c>
      <x:c r="L32" s="25" t="n">
        <x:v>17.4380478500334</x:v>
      </x:c>
      <x:c r="M32" s="25" t="n">
        <x:v>26.537088249965564</x:v>
      </x:c>
      <x:c r="N32" s="25" t="n">
        <x:v>0.8090183000313118</x:v>
      </x:c>
      <x:c r="O32" s="25" t="n">
        <x:v>4.89786839995304</x:v>
      </x:c>
      <x:c r="P32" s="25" t="n">
        <x:v>0.030974049999713316</x:v>
      </x:c>
      <x:c r="Q32" s="25" t="n">
        <x:v>0.6627361840001321</x:v>
      </x:c>
      <x:c r="R32" s="25" t="n">
        <x:v>3.501363412500177</x:v>
      </x:c>
      <x:c r="S32" s="25"/>
      <x:c r="T32" s="25" t="n">
        <x:v>49.53054910000719</x:v>
      </x:c>
      <x:c r="U32" s="25" t="n">
        <x:v>49.83349649995944</x:v>
      </x:c>
      <x:c r="V32" s="25" t="n">
        <x:v>0.21421616084906572</x:v>
      </x:c>
      <x:c r="W32" s="19" t="str">
        <x:v>FULL</x:v>
      </x:c>
      <x:c r="X32" s="26" t="n">
        <x:f>IF(AND(J18&gt;0,E32=E18),1-J32/J18,"")</x:f>
        <x:v>0.5851388888888889</x:v>
      </x:c>
      <x:c r="Y32" s="26" t="n">
        <x:f>IF(AND(K18&gt;0,E32=E18),1-K32/K18,"")</x:f>
        <x:v>0.22585604169606976</x:v>
      </x:c>
      <x:c r="Z32" s="26" t="n">
        <x:f>IF(AND(ISNUMBER(P18),P18&gt;0,E32=E18),1-P32/P18,"")</x:f>
        <x:v>0.02631742745705734</x:v>
      </x:c>
      <x:c r="AA32" s="26" t="n">
        <x:f>IF(AND(ISNUMBER(R32),ISNUMBER(R18),R18&gt;0,E32=E18),1-R32/R18,"")</x:f>
        <x:v>0.27516355746111876</x:v>
      </x:c>
      <x:c r="AB32" s="26" t="n">
        <x:v>0.004311743942300547</x:v>
      </x:c>
      <x:c r="AC32" s="19" t="str">
        <x:v>D:/Codex/GRL研究/outputs/grid79/per_date.csv</x:v>
      </x:c>
    </x:row>
    <x:row r="33" ht="36" customHeight="1">
      <x:c r="A33" s="19" t="str">
        <x:v>GRID79</x:v>
      </x:c>
      <x:c r="B33" s="19" t="str">
        <x:v>2035-10-01_5</x:v>
      </x:c>
      <x:c r="C33" s="19" t="str">
        <x:v>META_CONTEXT1</x:v>
      </x:c>
      <x:c r="D33" s="21" t="n">
        <x:v>2</x:v>
      </x:c>
      <x:c r="E33" s="21" t="n">
        <x:v>2017</x:v>
      </x:c>
      <x:c r="F33" s="21" t="n">
        <x:v>1</x:v>
      </x:c>
      <x:c r="G33" s="21" t="n">
        <x:v>1</x:v>
      </x:c>
      <x:c r="H33" s="22" t="n">
        <x:v>1544822.9655151367</x:v>
      </x:c>
      <x:c r="I33" s="23" t="n">
        <x:v>0</x:v>
      </x:c>
      <x:c r="J33" s="24" t="n">
        <x:v>512</x:v>
      </x:c>
      <x:c r="K33" s="25" t="n">
        <x:v>42.88281359998746</x:v>
      </x:c>
      <x:c r="L33" s="25" t="n">
        <x:v>8.392574499973307</x:v>
      </x:c>
      <x:c r="M33" s="25" t="n">
        <x:v>29.57508794999103</x:v>
      </x:c>
      <x:c r="N33" s="25" t="n">
        <x:v>0.2067607000035423</x:v>
      </x:c>
      <x:c r="O33" s="25" t="n">
        <x:v>4.708390450019579</x:v>
      </x:c>
      <x:c r="P33" s="25" t="n">
        <x:v>0.028532349999477444</x:v>
      </x:c>
      <x:c r="Q33" s="25" t="n">
        <x:v>0.6477172120009345</x:v>
      </x:c>
      <x:c r="R33" s="25" t="n">
        <x:v>0.8092173649992673</x:v>
      </x:c>
      <x:c r="S33" s="25"/>
      <x:c r="T33" s="25" t="n">
        <x:v>42.757220500019685</x:v>
      </x:c>
      <x:c r="U33" s="25" t="n">
        <x:v>43.00840669995523</x:v>
      </x:c>
      <x:c r="V33" s="25" t="n">
        <x:v>0.17761546531490452</x:v>
      </x:c>
      <x:c r="W33" s="19" t="str">
        <x:v>FULL</x:v>
      </x:c>
      <x:c r="X33" s="26" t="n">
        <x:f>IF(AND(J19&gt;0,E33=E19),1-J33/J19,"")</x:f>
        <x:v>0.7182168409466153</x:v>
      </x:c>
      <x:c r="Y33" s="26" t="n">
        <x:f>IF(AND(K19&gt;0,E33=E19),1-K33/K19,"")</x:f>
        <x:v>0.08364378819849128</x:v>
      </x:c>
      <x:c r="Z33" s="26" t="n">
        <x:f>IF(AND(ISNUMBER(P19),P19&gt;0,E33=E19),1-P33/P19,"")</x:f>
        <x:v>0.021145361189978562</x:v>
      </x:c>
      <x:c r="AA33" s="26" t="n">
        <x:f>IF(AND(ISNUMBER(R33),ISNUMBER(R19),R19&gt;0,E33=E19),1-R33/R19,"")</x:f>
        <x:v>0.687948429780008</x:v>
      </x:c>
      <x:c r="AB33" s="26" t="n">
        <x:v>0.004141879937536479</x:v>
      </x:c>
      <x:c r="AC33" s="19" t="str">
        <x:v>D:/Codex/GRL研究/outputs/grid79/per_date.csv</x:v>
      </x:c>
    </x:row>
    <x:row r="34" ht="36" customHeight="1">
      <x:c r="A34" s="19" t="str">
        <x:v>GRID79</x:v>
      </x:c>
      <x:c r="B34" s="19" t="str">
        <x:v>2035-11-19_0</x:v>
      </x:c>
      <x:c r="C34" s="19" t="str">
        <x:v>META_CONTEXT1</x:v>
      </x:c>
      <x:c r="D34" s="21" t="n">
        <x:v>2</x:v>
      </x:c>
      <x:c r="E34" s="21" t="n">
        <x:v>2017</x:v>
      </x:c>
      <x:c r="F34" s="21" t="n">
        <x:v>1</x:v>
      </x:c>
      <x:c r="G34" s="21" t="n">
        <x:v>1</x:v>
      </x:c>
      <x:c r="H34" s="22" t="n">
        <x:v>1913562.9198608398</x:v>
      </x:c>
      <x:c r="I34" s="23" t="n">
        <x:v>-0.0002311850205576338</x:v>
      </x:c>
      <x:c r="J34" s="24" t="n">
        <x:v>921</x:v>
      </x:c>
      <x:c r="K34" s="25" t="n">
        <x:v>65.49796885001888</x:v>
      </x:c>
      <x:c r="L34" s="25" t="n">
        <x:v>13.397196199987775</x:v>
      </x:c>
      <x:c r="M34" s="25" t="n">
        <x:v>47.14524109999911</x:v>
      </x:c>
      <x:c r="N34" s="25" t="n">
        <x:v>0.3078749000223979</x:v>
      </x:c>
      <x:c r="O34" s="25" t="n">
        <x:v>4.647656650009594</x:v>
      </x:c>
      <x:c r="P34" s="25" t="n">
        <x:v>0.03457267000103456</x:v>
      </x:c>
      <x:c r="Q34" s="25" t="n">
        <x:v>0.6895032600007469</x:v>
      </x:c>
      <x:c r="R34" s="25" t="n">
        <x:v>1.164519354999993</x:v>
      </x:c>
      <x:c r="S34" s="25"/>
      <x:c r="T34" s="25" t="n">
        <x:v>65.15368920000401</x:v>
      </x:c>
      <x:c r="U34" s="25" t="n">
        <x:v>65.84224850003375</x:v>
      </x:c>
      <x:c r="V34" s="25" t="n">
        <x:v>0.48688495030009005</x:v>
      </x:c>
      <x:c r="W34" s="19" t="str">
        <x:v>FULL</x:v>
      </x:c>
      <x:c r="X34" s="26" t="n">
        <x:f>IF(AND(J20&gt;0,E34=E20),1-J34/J20,"")</x:f>
        <x:v>0.6563432835820895</x:v>
      </x:c>
      <x:c r="Y34" s="26" t="n">
        <x:f>IF(AND(K20&gt;0,E34=E20),1-K34/K20,"")</x:f>
        <x:v>0.1447779497273881</x:v>
      </x:c>
      <x:c r="Z34" s="26" t="n">
        <x:f>IF(AND(ISNUMBER(P20),P20&gt;0,E34=E20),1-P34/P20,"")</x:f>
        <x:v>0.08096481406389155</x:v>
      </x:c>
      <x:c r="AA34" s="26" t="n">
        <x:f>IF(AND(ISNUMBER(R34),ISNUMBER(R20),R20&gt;0,E34=E20),1-R34/R20,"")</x:f>
        <x:v>0.5875678924968328</x:v>
      </x:c>
      <x:c r="AB34" s="26" t="n">
        <x:v>0.007433588534859577</x:v>
      </x:c>
      <x:c r="AC34" s="19" t="str">
        <x:v>D:/Codex/GRL研究/outputs/grid79/per_date.csv</x:v>
      </x:c>
    </x:row>
    <x:row r="35" ht="36" customHeight="1">
      <x:c r="A35" s="19" t="str">
        <x:v>GRID81</x:v>
      </x:c>
      <x:c r="B35" s="19" t="str">
        <x:v>2036-01-07_9</x:v>
      </x:c>
      <x:c r="C35" s="19" t="str">
        <x:v>CONTEXT_GATE</x:v>
      </x:c>
      <x:c r="D35" s="21" t="n">
        <x:v>2</x:v>
      </x:c>
      <x:c r="E35" s="21" t="n">
        <x:v>2017</x:v>
      </x:c>
      <x:c r="F35" s="21" t="n">
        <x:v>1</x:v>
      </x:c>
      <x:c r="G35" s="21" t="n">
        <x:v>1</x:v>
      </x:c>
      <x:c r="H35" s="22" t="n">
        <x:v>2412707.07421875</x:v>
      </x:c>
      <x:c r="I35" s="23" t="n">
        <x:v>0.0008663102138171119</x:v>
      </x:c>
      <x:c r="J35" s="24" t="n">
        <x:v>1432</x:v>
      </x:c>
      <x:c r="K35" s="25" t="n">
        <x:v>81.98089204998723</x:v>
      </x:c>
      <x:c r="L35" s="25" t="n">
        <x:v>15.107792650011106</x:v>
      </x:c>
      <x:c r="M35" s="25" t="n">
        <x:v>61.36228584999935</x:v>
      </x:c>
      <x:c r="N35" s="25" t="n">
        <x:v>0.870308550001937</x:v>
      </x:c>
      <x:c r="O35" s="25" t="n">
        <x:v>4.640504999974837</x:v>
      </x:c>
      <x:c r="P35" s="25" t="n">
        <x:v>0.0347656199999619</x:v>
      </x:c>
      <x:c r="Q35" s="25" t="n">
        <x:v>0.8949250980006338</x:v>
      </x:c>
      <x:c r="R35" s="25" t="n">
        <x:v>3.1710073500002176</x:v>
      </x:c>
      <x:c r="S35" s="25" t="n">
        <x:v>3.4417977900004915</x:v>
      </x:c>
      <x:c r="T35" s="25" t="n">
        <x:v>81.00726350000878</x:v>
      </x:c>
      <x:c r="U35" s="25" t="n">
        <x:v>82.95452059996569</x:v>
      </x:c>
      <x:c r="V35" s="25" t="n">
        <x:v>1.3769187000931848</x:v>
      </x:c>
      <x:c r="W35" s="19" t="str">
        <x:v>FULL</x:v>
      </x:c>
      <x:c r="X35" s="26" t="n">
        <x:f>IF(AND(J47&gt;0,E35=E47),1-J35/J47,"")</x:f>
        <x:v>0.7370064279155188</x:v>
      </x:c>
      <x:c r="Y35" s="26" t="n">
        <x:f>IF(AND(K47&gt;0,E35=E47),1-K35/K47,"")</x:f>
        <x:v>0.0963403924627737</x:v>
      </x:c>
      <x:c r="Z35" s="26" t="n">
        <x:f>IF(AND(ISNUMBER(P47),P47&gt;0,E35=E47),1-P35/P47,"")</x:f>
        <x:v>-0.03960164213294748</x:v>
      </x:c>
      <x:c r="AA35" s="26" t="n">
        <x:f>IF(AND(ISNUMBER(R35),ISNUMBER(R47),R47&gt;0,E35=E47),1-R35/R47,"")</x:f>
        <x:v>0.3178462599841486</x:v>
      </x:c>
      <x:c r="AB35" s="26" t="n">
        <x:v>0.01679560523998225</x:v>
      </x:c>
      <x:c r="AC35" s="19" t="str">
        <x:v>D:/Codex/GRL研究/outputs/grid81/per_date.csv</x:v>
      </x:c>
    </x:row>
    <x:row r="36" ht="36" customHeight="1">
      <x:c r="A36" s="19" t="str">
        <x:v>GRID81</x:v>
      </x:c>
      <x:c r="B36" s="19" t="str">
        <x:v>2036-03-03_9</x:v>
      </x:c>
      <x:c r="C36" s="19" t="str">
        <x:v>CONTEXT_GATE</x:v>
      </x:c>
      <x:c r="D36" s="21" t="n">
        <x:v>2</x:v>
      </x:c>
      <x:c r="E36" s="21" t="n">
        <x:v>1720</x:v>
      </x:c>
      <x:c r="F36" s="21" t="n">
        <x:v>1</x:v>
      </x:c>
      <x:c r="G36" s="21" t="n">
        <x:v>0</x:v>
      </x:c>
      <x:c r="H36" s="22" t="n">
        <x:v>2300386.2553100586</x:v>
      </x:c>
      <x:c r="I36" s="23"/>
      <x:c r="J36" s="24" t="n">
        <x:v>4981</x:v>
      </x:c>
      <x:c r="K36" s="25" t="n">
        <x:v>69.67648324998754</x:v>
      </x:c>
      <x:c r="L36" s="25" t="n">
        <x:v>23.53448814998501</x:v>
      </x:c>
      <x:c r="M36" s="25" t="n">
        <x:v>40.39504340001895</x:v>
      </x:c>
      <x:c r="N36" s="25" t="n">
        <x:v>1.3044611999539484</x:v>
      </x:c>
      <x:c r="O36" s="25" t="n">
        <x:v>4.442490500029635</x:v>
      </x:c>
      <x:c r="P36" s="25" t="n">
        <x:v>0.03524972999971396</x:v>
      </x:c>
      <x:c r="Q36" s="25" t="n">
        <x:v>0.9607981444998988</x:v>
      </x:c>
      <x:c r="R36" s="25" t="n">
        <x:v>3.997752332500111</x:v>
      </x:c>
      <x:c r="S36" s="25" t="n">
        <x:v>4.596793106500355</x:v>
      </x:c>
      <x:c r="T36" s="25" t="n">
        <x:v>69.47346620002827</x:v>
      </x:c>
      <x:c r="U36" s="25" t="n">
        <x:v>69.87950029994681</x:v>
      </x:c>
      <x:c r="V36" s="25" t="n">
        <x:v>0.2871094654453778</x:v>
      </x:c>
      <x:c r="W36" s="19" t="str">
        <x:v>FULL</x:v>
      </x:c>
      <x:c r="X36" s="26" t="n">
        <x:f>IF(AND(J48&gt;0,E36=E48),1-J36/J48,"")</x:f>
        <x:v>0.39055426404013216</x:v>
      </x:c>
      <x:c r="Y36" s="26" t="n">
        <x:f>IF(AND(K48&gt;0,E36=E48),1-K36/K48,"")</x:f>
        <x:v>0.1401352096659675</x:v>
      </x:c>
      <x:c r="Z36" s="26" t="n">
        <x:f>IF(AND(ISNUMBER(P48),P48&gt;0,E36=E48),1-P36/P48,"")</x:f>
        <x:v>0.03850037641989057</x:v>
      </x:c>
      <x:c r="AA36" s="26" t="n">
        <x:f>IF(AND(ISNUMBER(R36),ISNUMBER(R48),R48&gt;0,E36=E48),1-R36/R48,"")</x:f>
        <x:v>0.13333673064852625</x:v>
      </x:c>
      <x:c r="AB36" s="26" t="n">
        <x:v>0.0041206078730362606</x:v>
      </x:c>
      <x:c r="AC36" s="19" t="str">
        <x:v>D:/Codex/GRL研究/outputs/grid81/per_date.csv</x:v>
      </x:c>
    </x:row>
    <x:row r="37" ht="36" customHeight="1">
      <x:c r="A37" s="19" t="str">
        <x:v>GRID81</x:v>
      </x:c>
      <x:c r="B37" s="19" t="str">
        <x:v>2036-05-05_9</x:v>
      </x:c>
      <x:c r="C37" s="19" t="str">
        <x:v>CONTEXT_GATE</x:v>
      </x:c>
      <x:c r="D37" s="21" t="n">
        <x:v>2</x:v>
      </x:c>
      <x:c r="E37" s="21" t="n">
        <x:v>2017</x:v>
      </x:c>
      <x:c r="F37" s="21" t="n">
        <x:v>1</x:v>
      </x:c>
      <x:c r="G37" s="21" t="n">
        <x:v>1</x:v>
      </x:c>
      <x:c r="H37" s="22" t="n">
        <x:v>1732291.8922729492</x:v>
      </x:c>
      <x:c r="I37" s="23" t="n">
        <x:v>-0.02651757674074451</x:v>
      </x:c>
      <x:c r="J37" s="24" t="n">
        <x:v>454</x:v>
      </x:c>
      <x:c r="K37" s="25" t="n">
        <x:v>36.80953914998918</x:v>
      </x:c>
      <x:c r="L37" s="25" t="n">
        <x:v>8.04749835007351</x:v>
      </x:c>
      <x:c r="M37" s="25" t="n">
        <x:v>24.423297799997272</x:v>
      </x:c>
      <x:c r="N37" s="25" t="n">
        <x:v>0.10724234999634064</x:v>
      </x:c>
      <x:c r="O37" s="25" t="n">
        <x:v>4.231500649922054</x:v>
      </x:c>
      <x:c r="P37" s="25" t="n">
        <x:v>0.028640979999909177</x:v>
      </x:c>
      <x:c r="Q37" s="25" t="n">
        <x:v>0.5580949300002414</x:v>
      </x:c>
      <x:c r="R37" s="25" t="n">
        <x:v>4.088724400000501</x:v>
      </x:c>
      <x:c r="S37" s="25" t="n">
        <x:v>4.088724400000501</x:v>
      </x:c>
      <x:c r="T37" s="25" t="n">
        <x:v>35.787251299969284</x:v>
      </x:c>
      <x:c r="U37" s="25" t="n">
        <x:v>37.83182700000907</x:v>
      </x:c>
      <x:c r="V37" s="25" t="n">
        <x:v>1.4457333421473653</x:v>
      </x:c>
      <x:c r="W37" s="19" t="str">
        <x:v>FULL</x:v>
      </x:c>
      <x:c r="X37" s="26" t="n">
        <x:f>IF(AND(J49&gt;0,E37=E49),1-J37/J49,"")</x:f>
        <x:v>0.8237577639751552</x:v>
      </x:c>
      <x:c r="Y37" s="26" t="n">
        <x:f>IF(AND(K49&gt;0,E37=E49),1-K37/K49,"")</x:f>
        <x:v>0.2599620631821604</x:v>
      </x:c>
      <x:c r="Z37" s="26" t="n">
        <x:f>IF(AND(ISNUMBER(P49),P49&gt;0,E37=E49),1-P37/P49,"")</x:f>
        <x:v>0.10774568007984786</x:v>
      </x:c>
      <x:c r="AA37" s="26" t="n">
        <x:f>IF(AND(ISNUMBER(R37),ISNUMBER(R49),R49&gt;0,E37=E49),1-R37/R49,"")</x:f>
        <x:v>0.03926884958692156</x:v>
      </x:c>
      <x:c r="AB37" s="26" t="n">
        <x:v>0.03927605114142784</x:v>
      </x:c>
      <x:c r="AC37" s="19" t="str">
        <x:v>D:/Codex/GRL研究/outputs/grid81/per_date.csv</x:v>
      </x:c>
    </x:row>
    <x:row r="38" ht="36" customHeight="1">
      <x:c r="A38" s="19" t="str">
        <x:v>GRID81</x:v>
      </x:c>
      <x:c r="B38" s="19" t="str">
        <x:v>2036-07-07_9</x:v>
      </x:c>
      <x:c r="C38" s="19" t="str">
        <x:v>CONTEXT_GATE</x:v>
      </x:c>
      <x:c r="D38" s="21" t="n">
        <x:v>2</x:v>
      </x:c>
      <x:c r="E38" s="21" t="n">
        <x:v>2017</x:v>
      </x:c>
      <x:c r="F38" s="21" t="n">
        <x:v>1</x:v>
      </x:c>
      <x:c r="G38" s="21" t="n">
        <x:v>1</x:v>
      </x:c>
      <x:c r="H38" s="22" t="n">
        <x:v>1396410.2720947266</x:v>
      </x:c>
      <x:c r="I38" s="23" t="n">
        <x:v>-0.007282270640677879</x:v>
      </x:c>
      <x:c r="J38" s="24" t="n">
        <x:v>3121</x:v>
      </x:c>
      <x:c r="K38" s="25" t="n">
        <x:v>46.111519050036804</x:v>
      </x:c>
      <x:c r="L38" s="25" t="n">
        <x:v>16.103320699996402</x:v>
      </x:c>
      <x:c r="M38" s="25" t="n">
        <x:v>24.622039199995015</x:v>
      </x:c>
      <x:c r="N38" s="25" t="n">
        <x:v>1.2656115499567022</x:v>
      </x:c>
      <x:c r="O38" s="25" t="n">
        <x:v>4.120547600088685</x:v>
      </x:c>
      <x:c r="P38" s="25" t="n">
        <x:v>0.03534014999986537</x:v>
      </x:c>
      <x:c r="Q38" s="25" t="n">
        <x:v>0.7047746100002403</x:v>
      </x:c>
      <x:c r="R38" s="25" t="n">
        <x:v>3.5806714800004533</x:v>
      </x:c>
      <x:c r="S38" s="25" t="n">
        <x:v>4.293103416000377</x:v>
      </x:c>
      <x:c r="T38" s="25" t="n">
        <x:v>46.10564020007223</x:v>
      </x:c>
      <x:c r="U38" s="25" t="n">
        <x:v>46.11739790000138</x:v>
      </x:c>
      <x:c r="V38" s="25" t="n">
        <x:v>0.008313949351057604</x:v>
      </x:c>
      <x:c r="W38" s="19" t="str">
        <x:v>FULL</x:v>
      </x:c>
      <x:c r="X38" s="26" t="n">
        <x:f>IF(AND(J50&gt;0,E38=E50),1-J38/J50,"")</x:f>
        <x:v>0.6540678341831079</x:v>
      </x:c>
      <x:c r="Y38" s="26" t="n">
        <x:f>IF(AND(K50&gt;0,E38=E50),1-K38/K50,"")</x:f>
        <x:v>0.27347468302873423</x:v>
      </x:c>
      <x:c r="Z38" s="26" t="n">
        <x:f>IF(AND(ISNUMBER(P50),P50&gt;0,E38=E50),1-P38/P50,"")</x:f>
        <x:v>-0.11194333454083649</x:v>
      </x:c>
      <x:c r="AA38" s="26" t="n">
        <x:f>IF(AND(ISNUMBER(R38),ISNUMBER(R50),R50&gt;0,E38=E50),1-R38/R50,"")</x:f>
        <x:v>0.27196607393028116</x:v>
      </x:c>
      <x:c r="AB38" s="26" t="n">
        <x:v>0.00018030092094853615</x:v>
      </x:c>
      <x:c r="AC38" s="19" t="str">
        <x:v>D:/Codex/GRL研究/outputs/grid81/per_date.csv</x:v>
      </x:c>
    </x:row>
    <x:row r="39" ht="36" customHeight="1">
      <x:c r="A39" s="19" t="str">
        <x:v>GRID81</x:v>
      </x:c>
      <x:c r="B39" s="19" t="str">
        <x:v>2036-09-01_9</x:v>
      </x:c>
      <x:c r="C39" s="19" t="str">
        <x:v>CONTEXT_GATE</x:v>
      </x:c>
      <x:c r="D39" s="21" t="n">
        <x:v>2</x:v>
      </x:c>
      <x:c r="E39" s="21" t="n">
        <x:v>2017</x:v>
      </x:c>
      <x:c r="F39" s="21" t="n">
        <x:v>1</x:v>
      </x:c>
      <x:c r="G39" s="21" t="n">
        <x:v>1</x:v>
      </x:c>
      <x:c r="H39" s="22" t="n">
        <x:v>1392633.7291259766</x:v>
      </x:c>
      <x:c r="I39" s="23" t="n">
        <x:v>-0.00023424970504537512</x:v>
      </x:c>
      <x:c r="J39" s="24" t="n">
        <x:v>933</x:v>
      </x:c>
      <x:c r="K39" s="25" t="n">
        <x:v>38.73251304999576</x:v>
      </x:c>
      <x:c r="L39" s="25" t="n">
        <x:v>9.534266599952389</x:v>
      </x:c>
      <x:c r="M39" s="25" t="n">
        <x:v>24.249355500009187</x:v>
      </x:c>
      <x:c r="N39" s="25" t="n">
        <x:v>0.7094360000046436</x:v>
      </x:c>
      <x:c r="O39" s="25" t="n">
        <x:v>4.23945495002954</x:v>
      </x:c>
      <x:c r="P39" s="25" t="n">
        <x:v>0.0279270400013047</x:v>
      </x:c>
      <x:c r="Q39" s="25" t="n">
        <x:v>0.6748512219995608</x:v>
      </x:c>
      <x:c r="R39" s="25" t="n">
        <x:v>1.1350357299995266</x:v>
      </x:c>
      <x:c r="S39" s="25" t="n">
        <x:v>1.155194865999456</x:v>
      </x:c>
      <x:c r="T39" s="25" t="n">
        <x:v>38.23744409997926</x:v>
      </x:c>
      <x:c r="U39" s="25" t="n">
        <x:v>39.22758200001226</x:v>
      </x:c>
      <x:c r="V39" s="25" t="n">
        <x:v>0.7001332234231459</x:v>
      </x:c>
      <x:c r="W39" s="19" t="str">
        <x:v>FULL</x:v>
      </x:c>
      <x:c r="X39" s="26" t="n">
        <x:f>IF(AND(J51&gt;0,E39=E51),1-J39/J51,"")</x:f>
        <x:v>0.7395309882747069</x:v>
      </x:c>
      <x:c r="Y39" s="26" t="n">
        <x:f>IF(AND(K51&gt;0,E39=E51),1-K39/K51,"")</x:f>
        <x:v>0.13103207513872195</x:v>
      </x:c>
      <x:c r="Z39" s="26" t="n">
        <x:f>IF(AND(ISNUMBER(P51),P51&gt;0,E39=E51),1-P39/P51,"")</x:f>
        <x:v>0.0076366420262922174</x:v>
      </x:c>
      <x:c r="AA39" s="26" t="n">
        <x:f>IF(AND(ISNUMBER(R39),ISNUMBER(R51),R51&gt;0,E39=E51),1-R39/R51,"")</x:f>
        <x:v>0.586637940680429</x:v>
      </x:c>
      <x:c r="AB39" s="26" t="n">
        <x:v>0.018076111470469704</x:v>
      </x:c>
      <x:c r="AC39" s="19" t="str">
        <x:v>D:/Codex/GRL研究/outputs/grid81/per_date.csv</x:v>
      </x:c>
    </x:row>
    <x:row r="40" ht="36" customHeight="1">
      <x:c r="A40" s="19" t="str">
        <x:v>GRID81</x:v>
      </x:c>
      <x:c r="B40" s="19" t="str">
        <x:v>2036-11-03_9</x:v>
      </x:c>
      <x:c r="C40" s="19" t="str">
        <x:v>CONTEXT_GATE</x:v>
      </x:c>
      <x:c r="D40" s="21" t="n">
        <x:v>2</x:v>
      </x:c>
      <x:c r="E40" s="21" t="n">
        <x:v>519</x:v>
      </x:c>
      <x:c r="F40" s="21" t="n">
        <x:v>1</x:v>
      </x:c>
      <x:c r="G40" s="21" t="n">
        <x:v>0</x:v>
      </x:c>
      <x:c r="H40" s="22" t="n">
        <x:v>361332.79052734375</x:v>
      </x:c>
      <x:c r="I40" s="23"/>
      <x:c r="J40" s="24" t="n">
        <x:v>0</x:v>
      </x:c>
      <x:c r="K40" s="25" t="n">
        <x:v>14.58432834998439</x:v>
      </x:c>
      <x:c r="L40" s="25" t="n">
        <x:v>1.8868625999994038</x:v>
      </x:c>
      <x:c r="M40" s="25" t="n">
        <x:v>11.78249130000222</x:v>
      </x:c>
      <x:c r="N40" s="25" t="n">
        <x:v>0</x:v>
      </x:c>
      <x:c r="O40" s="25" t="n">
        <x:v>0.9149744499827648</x:v>
      </x:c>
      <x:c r="P40" s="25" t="n">
        <x:v>0.027813894999690055</x:v>
      </x:c>
      <x:c r="Q40" s="25" t="n">
        <x:v>0.7908215260003133</x:v>
      </x:c>
      <x:c r="R40" s="25"/>
      <x:c r="S40" s="25"/>
      <x:c r="T40" s="25" t="n">
        <x:v>14.557687499975145</x:v>
      </x:c>
      <x:c r="U40" s="25" t="n">
        <x:v>14.610969199993633</x:v>
      </x:c>
      <x:c r="V40" s="25" t="n">
        <x:v>0.03767585139622009</x:v>
      </x:c>
      <x:c r="W40" s="19" t="str">
        <x:v>FULL</x:v>
      </x:c>
      <x:c r="X40" s="26" t="str">
        <x:f>IF(AND(J52&gt;0,E40=E52),1-J40/J52,"")</x:f>
      </x:c>
      <x:c r="Y40" s="26" t="n">
        <x:f>IF(AND(K52&gt;0,E40=E52),1-K40/K52,"")</x:f>
        <x:v>-0.00026107433256106205</x:v>
      </x:c>
      <x:c r="Z40" s="26" t="n">
        <x:f>IF(AND(ISNUMBER(P52),P52&gt;0,E40=E52),1-P40/P52,"")</x:f>
        <x:v>-0.0015027639161964146</x:v>
      </x:c>
      <x:c r="AA40" s="26" t="str">
        <x:f>IF(AND(ISNUMBER(R40),ISNUMBER(R52),R52&gt;0,E40=E52),1-R40/R52,"")</x:f>
      </x:c>
      <x:c r="AB40" s="26" t="n">
        <x:v>0.002583310694335843</x:v>
      </x:c>
      <x:c r="AC40" s="19" t="str">
        <x:v>D:/Codex/GRL研究/outputs/grid81/per_date.csv</x:v>
      </x:c>
    </x:row>
    <x:row r="41" ht="36" customHeight="1">
      <x:c r="A41" s="19" t="str">
        <x:v>GRID81</x:v>
      </x:c>
      <x:c r="B41" s="19" t="str">
        <x:v>2036-01-07_9</x:v>
      </x:c>
      <x:c r="C41" s="19" t="str">
        <x:v>FRAME_GUARD</x:v>
      </x:c>
      <x:c r="D41" s="21" t="n">
        <x:v>2</x:v>
      </x:c>
      <x:c r="E41" s="21" t="n">
        <x:v>2017</x:v>
      </x:c>
      <x:c r="F41" s="21" t="n">
        <x:v>1</x:v>
      </x:c>
      <x:c r="G41" s="21" t="n">
        <x:v>1</x:v>
      </x:c>
      <x:c r="H41" s="22" t="n">
        <x:v>2412707.07421875</x:v>
      </x:c>
      <x:c r="I41" s="23" t="n">
        <x:v>0.0008663102138171119</x:v>
      </x:c>
      <x:c r="J41" s="24" t="n">
        <x:v>1432</x:v>
      </x:c>
      <x:c r="K41" s="25" t="n">
        <x:v>82.7726579999935</x:v>
      </x:c>
      <x:c r="L41" s="25" t="n">
        <x:v>14.881625349992646</x:v>
      </x:c>
      <x:c r="M41" s="25" t="n">
        <x:v>62.76430020002317</x:v>
      </x:c>
      <x:c r="N41" s="25" t="n">
        <x:v>0.508068349997302</x:v>
      </x:c>
      <x:c r="O41" s="25" t="n">
        <x:v>4.6186640999803785</x:v>
      </x:c>
      <x:c r="P41" s="25" t="n">
        <x:v>0.03385634999976897</x:v>
      </x:c>
      <x:c r="Q41" s="25" t="n">
        <x:v>0.9724132339990179</x:v>
      </x:c>
      <x:c r="R41" s="25" t="n">
        <x:v>3.157767749999766</x:v>
      </x:c>
      <x:c r="S41" s="25" t="n">
        <x:v>3.435175789999776</x:v>
      </x:c>
      <x:c r="T41" s="25" t="n">
        <x:v>81.03037419999055</x:v>
      </x:c>
      <x:c r="U41" s="25" t="n">
        <x:v>84.51494179999645</x:v>
      </x:c>
      <x:c r="V41" s="25" t="n">
        <x:v>2.463961379467107</x:v>
      </x:c>
      <x:c r="W41" s="19" t="str">
        <x:v>FULL</x:v>
      </x:c>
      <x:c r="X41" s="26" t="n">
        <x:f>IF(AND(J47&gt;0,E41=E47),1-J41/J47,"")</x:f>
        <x:v>0.7370064279155188</x:v>
      </x:c>
      <x:c r="Y41" s="26" t="n">
        <x:f>IF(AND(K47&gt;0,E41=E47),1-K41/K47,"")</x:f>
        <x:v>0.08761290865828264</x:v>
      </x:c>
      <x:c r="Z41" s="26" t="n">
        <x:f>IF(AND(ISNUMBER(P47),P47&gt;0,E41=E47),1-P41/P47,"")</x:f>
        <x:v>-0.012411602509208919</x:v>
      </x:c>
      <x:c r="AA41" s="26" t="n">
        <x:f>IF(AND(ISNUMBER(R41),ISNUMBER(R47),R47&gt;0,E41=E47),1-R41/R47,"")</x:f>
        <x:v>0.32069439045493453</x:v>
      </x:c>
      <x:c r="AB41" s="26" t="n">
        <x:v>0.029767817525774037</x:v>
      </x:c>
      <x:c r="AC41" s="19" t="str">
        <x:v>D:/Codex/GRL研究/outputs/grid81/per_date.csv</x:v>
      </x:c>
    </x:row>
    <x:row r="42" ht="36" customHeight="1">
      <x:c r="A42" s="19" t="str">
        <x:v>GRID81</x:v>
      </x:c>
      <x:c r="B42" s="19" t="str">
        <x:v>2036-03-03_9</x:v>
      </x:c>
      <x:c r="C42" s="19" t="str">
        <x:v>FRAME_GUARD</x:v>
      </x:c>
      <x:c r="D42" s="21" t="n">
        <x:v>2</x:v>
      </x:c>
      <x:c r="E42" s="21" t="n">
        <x:v>1720</x:v>
      </x:c>
      <x:c r="F42" s="21" t="n">
        <x:v>1</x:v>
      </x:c>
      <x:c r="G42" s="21" t="n">
        <x:v>0</x:v>
      </x:c>
      <x:c r="H42" s="22" t="n">
        <x:v>2300386.2553100586</x:v>
      </x:c>
      <x:c r="I42" s="23"/>
      <x:c r="J42" s="24" t="n">
        <x:v>5109</x:v>
      </x:c>
      <x:c r="K42" s="25" t="n">
        <x:v>69.66314599998168</x:v>
      </x:c>
      <x:c r="L42" s="25" t="n">
        <x:v>23.7610124000048</x:v>
      </x:c>
      <x:c r="M42" s="25" t="n">
        <x:v>40.48683745001472</x:v>
      </x:c>
      <x:c r="N42" s="25" t="n">
        <x:v>0.9464606500714581</x:v>
      </x:c>
      <x:c r="O42" s="25" t="n">
        <x:v>4.468835499890702</x:v>
      </x:c>
      <x:c r="P42" s="25" t="n">
        <x:v>0.035853037500237404</x:v>
      </x:c>
      <x:c r="Q42" s="25" t="n">
        <x:v>0.9390960340000196</x:v>
      </x:c>
      <x:c r="R42" s="25" t="n">
        <x:v>4.004053864999921</x:v>
      </x:c>
      <x:c r="S42" s="25" t="n">
        <x:v>4.612958333000433</x:v>
      </x:c>
      <x:c r="T42" s="25" t="n">
        <x:v>69.1309359998977</x:v>
      </x:c>
      <x:c r="U42" s="25" t="n">
        <x:v>70.19535600006566</x:v>
      </x:c>
      <x:c r="V42" s="25" t="n">
        <x:v>0.752658600149348</x:v>
      </x:c>
      <x:c r="W42" s="19" t="str">
        <x:v>FULL</x:v>
      </x:c>
      <x:c r="X42" s="26" t="n">
        <x:f>IF(AND(J48&gt;0,E42=E48),1-J42/J48,"")</x:f>
        <x:v>0.37489294016884867</x:v>
      </x:c>
      <x:c r="Y42" s="26" t="n">
        <x:f>IF(AND(K48&gt;0,E42=E48),1-K42/K48,"")</x:f>
        <x:v>0.14029980223931504</x:v>
      </x:c>
      <x:c r="Z42" s="26" t="n">
        <x:f>IF(AND(ISNUMBER(P48),P48&gt;0,E42=E48),1-P42/P48,"")</x:f>
        <x:v>0.02204408201249919</x:v>
      </x:c>
      <x:c r="AA42" s="26" t="n">
        <x:f>IF(AND(ISNUMBER(R42),ISNUMBER(R48),R48&gt;0,E42=E48),1-R42/R48,"")</x:f>
        <x:v>0.13197063632752193</x:v>
      </x:c>
      <x:c r="AB42" s="26" t="n">
        <x:v>0.010804257966609</x:v>
      </x:c>
      <x:c r="AC42" s="19" t="str">
        <x:v>D:/Codex/GRL研究/outputs/grid81/per_date.csv</x:v>
      </x:c>
    </x:row>
    <x:row r="43" ht="36" customHeight="1">
      <x:c r="A43" s="19" t="str">
        <x:v>GRID81</x:v>
      </x:c>
      <x:c r="B43" s="19" t="str">
        <x:v>2036-05-05_9</x:v>
      </x:c>
      <x:c r="C43" s="19" t="str">
        <x:v>FRAME_GUARD</x:v>
      </x:c>
      <x:c r="D43" s="21" t="n">
        <x:v>2</x:v>
      </x:c>
      <x:c r="E43" s="21" t="n">
        <x:v>2017</x:v>
      </x:c>
      <x:c r="F43" s="21" t="n">
        <x:v>1</x:v>
      </x:c>
      <x:c r="G43" s="21" t="n">
        <x:v>1</x:v>
      </x:c>
      <x:c r="H43" s="22" t="n">
        <x:v>1732291.8922729492</x:v>
      </x:c>
      <x:c r="I43" s="23" t="n">
        <x:v>-0.02651757674074451</x:v>
      </x:c>
      <x:c r="J43" s="24" t="n">
        <x:v>454</x:v>
      </x:c>
      <x:c r="K43" s="25" t="n">
        <x:v>36.96418715002892</x:v>
      </x:c>
      <x:c r="L43" s="25" t="n">
        <x:v>8.092525549992388</x:v>
      </x:c>
      <x:c r="M43" s="25" t="n">
        <x:v>24.52441755003383</x:v>
      </x:c>
      <x:c r="N43" s="25" t="n">
        <x:v>0.10657669998090569</x:v>
      </x:c>
      <x:c r="O43" s="25" t="n">
        <x:v>4.240667350021795</x:v>
      </x:c>
      <x:c r="P43" s="25" t="n">
        <x:v>0.028495379999549188</x:v>
      </x:c>
      <x:c r="Q43" s="25" t="n">
        <x:v>0.5759586400005134</x:v>
      </x:c>
      <x:c r="R43" s="25" t="n">
        <x:v>4.1254109000001336</x:v>
      </x:c>
      <x:c r="S43" s="25" t="n">
        <x:v>4.1254109000001336</x:v>
      </x:c>
      <x:c r="T43" s="25" t="n">
        <x:v>35.848482100067486</x:v>
      </x:c>
      <x:c r="U43" s="25" t="n">
        <x:v>38.079892199990354</x:v>
      </x:c>
      <x:c r="V43" s="25" t="n">
        <x:v>1.577845213263612</x:v>
      </x:c>
      <x:c r="W43" s="19" t="str">
        <x:v>FULL</x:v>
      </x:c>
      <x:c r="X43" s="26" t="n">
        <x:f>IF(AND(J49&gt;0,E43=E49),1-J43/J49,"")</x:f>
        <x:v>0.8237577639751552</x:v>
      </x:c>
      <x:c r="Y43" s="26" t="n">
        <x:f>IF(AND(K49&gt;0,E43=E49),1-K43/K49,"")</x:f>
        <x:v>0.2568529401253331</x:v>
      </x:c>
      <x:c r="Z43" s="26" t="n">
        <x:f>IF(AND(ISNUMBER(P49),P49&gt;0,E43=E49),1-P43/P49,"")</x:f>
        <x:v>0.11228156639735476</x:v>
      </x:c>
      <x:c r="AA43" s="26" t="n">
        <x:f>IF(AND(ISNUMBER(R43),ISNUMBER(R49),R49&gt;0,E43=E49),1-R43/R49,"")</x:f>
        <x:v>0.030648590576734525</x:v>
      </x:c>
      <x:c r="AB43" s="26" t="n">
        <x:v>0.04268578142566778</x:v>
      </x:c>
      <x:c r="AC43" s="19" t="str">
        <x:v>D:/Codex/GRL研究/outputs/grid81/per_date.csv</x:v>
      </x:c>
    </x:row>
    <x:row r="44" ht="36" customHeight="1">
      <x:c r="A44" s="19" t="str">
        <x:v>GRID81</x:v>
      </x:c>
      <x:c r="B44" s="19" t="str">
        <x:v>2036-07-07_9</x:v>
      </x:c>
      <x:c r="C44" s="19" t="str">
        <x:v>FRAME_GUARD</x:v>
      </x:c>
      <x:c r="D44" s="21" t="n">
        <x:v>2</x:v>
      </x:c>
      <x:c r="E44" s="21" t="n">
        <x:v>2017</x:v>
      </x:c>
      <x:c r="F44" s="21" t="n">
        <x:v>1</x:v>
      </x:c>
      <x:c r="G44" s="21" t="n">
        <x:v>1</x:v>
      </x:c>
      <x:c r="H44" s="22" t="n">
        <x:v>1391348.7835388184</x:v>
      </x:c>
      <x:c r="I44" s="23" t="n">
        <x:v>-0.010880517894231834</x:v>
      </x:c>
      <x:c r="J44" s="24" t="n">
        <x:v>3470</x:v>
      </x:c>
      <x:c r="K44" s="25" t="n">
        <x:v>45.137055299992426</x:v>
      </x:c>
      <x:c r="L44" s="25" t="n">
        <x:v>16.347502250077014</x:v>
      </x:c>
      <x:c r="M44" s="25" t="n">
        <x:v>23.3852557500104</x:v>
      </x:c>
      <x:c r="N44" s="25" t="n">
        <x:v>1.3735927999878186</x:v>
      </x:c>
      <x:c r="O44" s="25" t="n">
        <x:v>4.030704499917192</x:v>
      </x:c>
      <x:c r="P44" s="25" t="n">
        <x:v>0.03434196000034716</x:v>
      </x:c>
      <x:c r="Q44" s="25" t="n">
        <x:v>0.6853470059995377</x:v>
      </x:c>
      <x:c r="R44" s="25" t="n">
        <x:v>3.4627325974995955</x:v>
      </x:c>
      <x:c r="S44" s="25" t="n">
        <x:v>4.319007879500314</x:v>
      </x:c>
      <x:c r="T44" s="25" t="n">
        <x:v>43.91150579999521</x:v>
      </x:c>
      <x:c r="U44" s="25" t="n">
        <x:v>46.36260479998964</x:v>
      </x:c>
      <x:c r="V44" s="25" t="n">
        <x:v>1.7331887242556259</x:v>
      </x:c>
      <x:c r="W44" s="19" t="str">
        <x:v>FULL</x:v>
      </x:c>
      <x:c r="X44" s="26" t="n">
        <x:f>IF(AND(J50&gt;0,E44=E50),1-J44/J50,"")</x:f>
        <x:v>0.6153846153846154</x:v>
      </x:c>
      <x:c r="Y44" s="26" t="n">
        <x:f>IF(AND(K50&gt;0,E44=E50),1-K44/K50,"")</x:f>
        <x:v>0.28882816952111723</x:v>
      </x:c>
      <x:c r="Z44" s="26" t="n">
        <x:f>IF(AND(ISNUMBER(P50),P50&gt;0,E44=E50),1-P44/P50,"")</x:f>
        <x:v>-0.0805362602478914</x:v>
      </x:c>
      <x:c r="AA44" s="26" t="n">
        <x:f>IF(AND(ISNUMBER(R44),ISNUMBER(R50),R50&gt;0,E44=E50),1-R44/R50,"")</x:f>
        <x:v>0.2959457962094566</x:v>
      </x:c>
      <x:c r="AB44" s="26" t="n">
        <x:v>0.03839835613414322</x:v>
      </x:c>
      <x:c r="AC44" s="19" t="str">
        <x:v>D:/Codex/GRL研究/outputs/grid81/per_date.csv</x:v>
      </x:c>
    </x:row>
    <x:row r="45" ht="36" customHeight="1">
      <x:c r="A45" s="19" t="str">
        <x:v>GRID81</x:v>
      </x:c>
      <x:c r="B45" s="19" t="str">
        <x:v>2036-09-01_9</x:v>
      </x:c>
      <x:c r="C45" s="19" t="str">
        <x:v>FRAME_GUARD</x:v>
      </x:c>
      <x:c r="D45" s="21" t="n">
        <x:v>2</x:v>
      </x:c>
      <x:c r="E45" s="21" t="n">
        <x:v>2017</x:v>
      </x:c>
      <x:c r="F45" s="21" t="n">
        <x:v>1</x:v>
      </x:c>
      <x:c r="G45" s="21" t="n">
        <x:v>1</x:v>
      </x:c>
      <x:c r="H45" s="22" t="n">
        <x:v>1392633.7291259766</x:v>
      </x:c>
      <x:c r="I45" s="23" t="n">
        <x:v>-0.00023424970504537512</x:v>
      </x:c>
      <x:c r="J45" s="24" t="n">
        <x:v>1061</x:v>
      </x:c>
      <x:c r="K45" s="25" t="n">
        <x:v>38.741344349979045</x:v>
      </x:c>
      <x:c r="L45" s="25" t="n">
        <x:v>9.737089649990594</x:v>
      </x:c>
      <x:c r="M45" s="25" t="n">
        <x:v>24.34358444999907</x:v>
      </x:c>
      <x:c r="N45" s="25" t="n">
        <x:v>0.3985396500174829</x:v>
      </x:c>
      <x:c r="O45" s="25" t="n">
        <x:v>4.262130599971897</x:v>
      </x:c>
      <x:c r="P45" s="25" t="n">
        <x:v>0.0280353299993294</x:v>
      </x:c>
      <x:c r="Q45" s="25" t="n">
        <x:v>0.6861172479999367</x:v>
      </x:c>
      <x:c r="R45" s="25" t="n">
        <x:v>1.0677004925000801</x:v>
      </x:c>
      <x:c r="S45" s="25" t="n">
        <x:v>1.0857114185000682</x:v>
      </x:c>
      <x:c r="T45" s="25" t="n">
        <x:v>38.3215460999545</x:v>
      </x:c>
      <x:c r="U45" s="25" t="n">
        <x:v>39.161142600003586</x:v>
      </x:c>
      <x:c r="V45" s="25" t="n">
        <x:v>0.5936843786451983</x:v>
      </x:c>
      <x:c r="W45" s="19" t="str">
        <x:v>FULL</x:v>
      </x:c>
      <x:c r="X45" s="26" t="n">
        <x:f>IF(AND(J51&gt;0,E45=E51),1-J45/J51,"")</x:f>
        <x:v>0.7037967615857064</x:v>
      </x:c>
      <x:c r="Y45" s="26" t="n">
        <x:f>IF(AND(K51&gt;0,E45=E51),1-K45/K51,"")</x:f>
        <x:v>0.13083394401280202</x:v>
      </x:c>
      <x:c r="Z45" s="26" t="n">
        <x:f>IF(AND(ISNUMBER(P51),P51&gt;0,E45=E51),1-P45/P51,"")</x:f>
        <x:v>0.003788650041830599</x:v>
      </x:c>
      <x:c r="AA45" s="26" t="n">
        <x:f>IF(AND(ISNUMBER(R45),ISNUMBER(R51),R51&gt;0,E45=E51),1-R45/R51,"")</x:f>
        <x:v>0.6111603690955725</x:v>
      </x:c>
      <x:c r="AB45" s="26" t="n">
        <x:v>0.015324310206739623</x:v>
      </x:c>
      <x:c r="AC45" s="19" t="str">
        <x:v>D:/Codex/GRL研究/outputs/grid81/per_date.csv</x:v>
      </x:c>
    </x:row>
    <x:row r="46" ht="36" customHeight="1">
      <x:c r="A46" s="19" t="str">
        <x:v>GRID81</x:v>
      </x:c>
      <x:c r="B46" s="19" t="str">
        <x:v>2036-11-03_9</x:v>
      </x:c>
      <x:c r="C46" s="19" t="str">
        <x:v>FRAME_GUARD</x:v>
      </x:c>
      <x:c r="D46" s="21" t="n">
        <x:v>2</x:v>
      </x:c>
      <x:c r="E46" s="21" t="n">
        <x:v>519</x:v>
      </x:c>
      <x:c r="F46" s="21" t="n">
        <x:v>1</x:v>
      </x:c>
      <x:c r="G46" s="21" t="n">
        <x:v>0</x:v>
      </x:c>
      <x:c r="H46" s="22" t="n">
        <x:v>361332.79052734375</x:v>
      </x:c>
      <x:c r="I46" s="23"/>
      <x:c r="J46" s="24" t="n">
        <x:v>0</x:v>
      </x:c>
      <x:c r="K46" s="25" t="n">
        <x:v>14.663322699994751</x:v>
      </x:c>
      <x:c r="L46" s="25" t="n">
        <x:v>1.9007110000129614</x:v>
      </x:c>
      <x:c r="M46" s="25" t="n">
        <x:v>11.849982900001123</x:v>
      </x:c>
      <x:c r="N46" s="25" t="n">
        <x:v>0</x:v>
      </x:c>
      <x:c r="O46" s="25" t="n">
        <x:v>0.9126287999806664</x:v>
      </x:c>
      <x:c r="P46" s="25" t="n">
        <x:v>0.027905849999933657</x:v>
      </x:c>
      <x:c r="Q46" s="25" t="n">
        <x:v>0.7915474209991629</x:v>
      </x:c>
      <x:c r="R46" s="25"/>
      <x:c r="S46" s="25"/>
      <x:c r="T46" s="25" t="n">
        <x:v>14.53991060000044</x:v>
      </x:c>
      <x:c r="U46" s="25" t="n">
        <x:v>14.786734799989063</x:v>
      </x:c>
      <x:c r="V46" s="25" t="n">
        <x:v>0.1745310655729</x:v>
      </x:c>
      <x:c r="W46" s="19" t="str">
        <x:v>FULL</x:v>
      </x:c>
      <x:c r="X46" s="26" t="str">
        <x:f>IF(AND(J52&gt;0,E46=E52),1-J46/J52,"")</x:f>
      </x:c>
      <x:c r="Y46" s="26" t="n">
        <x:f>IF(AND(K52&gt;0,E46=E52),1-K46/K52,"")</x:f>
        <x:v>-0.005678874282714519</x:v>
      </x:c>
      <x:c r="Z46" s="26" t="n">
        <x:f>IF(AND(ISNUMBER(P52),P52&gt;0,E46=E52),1-P46/P52,"")</x:f>
        <x:v>-0.004813813551671986</x:v>
      </x:c>
      <x:c r="AA46" s="26" t="str">
        <x:f>IF(AND(ISNUMBER(R46),ISNUMBER(R52),R52&gt;0,E46=E52),1-R46/R52,"")</x:f>
      </x:c>
      <x:c r="AB46" s="26" t="n">
        <x:v>0.011902559136406544</x:v>
      </x:c>
      <x:c r="AC46" s="19" t="str">
        <x:v>D:/Codex/GRL研究/outputs/grid81/per_date.csv</x:v>
      </x:c>
    </x:row>
    <x:row r="47" ht="36" customHeight="1">
      <x:c r="A47" s="19" t="str">
        <x:v>GRID81</x:v>
      </x:c>
      <x:c r="B47" s="19" t="str">
        <x:v>2036-01-07_9</x:v>
      </x:c>
      <x:c r="C47" s="19" t="str">
        <x:v>FULL</x:v>
      </x:c>
      <x:c r="D47" s="21" t="n">
        <x:v>2</x:v>
      </x:c>
      <x:c r="E47" s="21" t="n">
        <x:v>2017</x:v>
      </x:c>
      <x:c r="F47" s="21" t="n">
        <x:v>1</x:v>
      </x:c>
      <x:c r="G47" s="21" t="n">
        <x:v>1</x:v>
      </x:c>
      <x:c r="H47" s="22" t="n">
        <x:v>2410618.7305908203</x:v>
      </x:c>
      <x:c r="I47" s="23" t="n">
        <x:v>0</x:v>
      </x:c>
      <x:c r="J47" s="24" t="n">
        <x:v>5445</x:v>
      </x:c>
      <x:c r="K47" s="25" t="n">
        <x:v>90.72098759997971</x:v>
      </x:c>
      <x:c r="L47" s="25" t="n">
        <x:v>25.38407470005768</x:v>
      </x:c>
      <x:c r="M47" s="25" t="n">
        <x:v>59.65160055000433</x:v>
      </x:c>
      <x:c r="N47" s="25" t="n">
        <x:v>0.6549248499895839</x:v>
      </x:c>
      <x:c r="O47" s="25" t="n">
        <x:v>5.030387499928111</x:v>
      </x:c>
      <x:c r="P47" s="25" t="n">
        <x:v>0.03344129000088283</x:v>
      </x:c>
      <x:c r="Q47" s="25" t="n">
        <x:v>1.0338213979993023</x:v>
      </x:c>
      <x:c r="R47" s="25" t="n">
        <x:v>4.6485230000007505</x:v>
      </x:c>
      <x:c r="S47" s="25" t="n">
        <x:v>4.83126776000081</x:v>
      </x:c>
      <x:c r="T47" s="25" t="n">
        <x:v>89.68848889994297</x:v>
      </x:c>
      <x:c r="U47" s="25" t="n">
        <x:v>91.75348630001645</x:v>
      </x:c>
      <x:c r="V47" s="25" t="n">
        <x:v>1.4601736647245478</x:v>
      </x:c>
      <x:c r="W47" s="19" t="str">
        <x:v>FULL</x:v>
      </x:c>
      <x:c r="X47" s="26" t="n">
        <x:f>IF(AND(J47&gt;0,E47=E47),1-J47/J47,"")</x:f>
        <x:v>0</x:v>
      </x:c>
      <x:c r="Y47" s="26" t="n">
        <x:f>IF(AND(K47&gt;0,E47=E47),1-K47/K47,"")</x:f>
        <x:v>0</x:v>
      </x:c>
      <x:c r="Z47" s="26" t="n">
        <x:f>IF(AND(ISNUMBER(P47),P47&gt;0,E47=E47),1-P47/P47,"")</x:f>
        <x:v>0</x:v>
      </x:c>
      <x:c r="AA47" s="26" t="n">
        <x:f>IF(AND(ISNUMBER(R47),ISNUMBER(R47),R47&gt;0,E47=E47),1-R47/R47,"")</x:f>
        <x:v>0</x:v>
      </x:c>
      <x:c r="AB47" s="26" t="n">
        <x:v>0.016095213504100724</x:v>
      </x:c>
      <x:c r="AC47" s="19" t="str">
        <x:v>D:/Codex/GRL研究/outputs/grid81/per_date.csv</x:v>
      </x:c>
    </x:row>
    <x:row r="48" ht="36" customHeight="1">
      <x:c r="A48" s="19" t="str">
        <x:v>GRID81</x:v>
      </x:c>
      <x:c r="B48" s="19" t="str">
        <x:v>2036-03-03_9</x:v>
      </x:c>
      <x:c r="C48" s="19" t="str">
        <x:v>FULL</x:v>
      </x:c>
      <x:c r="D48" s="21" t="n">
        <x:v>2</x:v>
      </x:c>
      <x:c r="E48" s="21" t="n">
        <x:v>1720</x:v>
      </x:c>
      <x:c r="F48" s="21" t="n">
        <x:v>1</x:v>
      </x:c>
      <x:c r="G48" s="21" t="n">
        <x:v>0</x:v>
      </x:c>
      <x:c r="H48" s="22" t="n">
        <x:v>2300386.2553100586</x:v>
      </x:c>
      <x:c r="I48" s="23"/>
      <x:c r="J48" s="24" t="n">
        <x:v>8173</x:v>
      </x:c>
      <x:c r="K48" s="25" t="n">
        <x:v>81.03190644998995</x:v>
      </x:c>
      <x:c r="L48" s="25" t="n">
        <x:v>32.496412549935485</x:v>
      </x:c>
      <x:c r="M48" s="25" t="n">
        <x:v>42.43938305000938</x:v>
      </x:c>
      <x:c r="N48" s="25" t="n">
        <x:v>1.175743300062095</x:v>
      </x:c>
      <x:c r="O48" s="25" t="n">
        <x:v>4.920367549982984</x:v>
      </x:c>
      <x:c r="P48" s="25" t="n">
        <x:v>0.03666119999970759</x:v>
      </x:c>
      <x:c r="Q48" s="25" t="n">
        <x:v>1.1486276364996746</x:v>
      </x:c>
      <x:c r="R48" s="25" t="n">
        <x:v>4.612809235000393</x:v>
      </x:c>
      <x:c r="S48" s="25" t="n">
        <x:v>5.178456967000139</x:v>
      </x:c>
      <x:c r="T48" s="25" t="n">
        <x:v>78.36234449999392</x:v>
      </x:c>
      <x:c r="U48" s="25" t="n">
        <x:v>83.70146839998597</x:v>
      </x:c>
      <x:c r="V48" s="25" t="n">
        <x:v>3.775330715279542</x:v>
      </x:c>
      <x:c r="W48" s="19" t="str">
        <x:v>FULL</x:v>
      </x:c>
      <x:c r="X48" s="26" t="n">
        <x:f>IF(AND(J48&gt;0,E48=E48),1-J48/J48,"")</x:f>
        <x:v>0</x:v>
      </x:c>
      <x:c r="Y48" s="26" t="n">
        <x:f>IF(AND(K48&gt;0,E48=E48),1-K48/K48,"")</x:f>
        <x:v>0</x:v>
      </x:c>
      <x:c r="Z48" s="26" t="n">
        <x:f>IF(AND(ISNUMBER(P48),P48&gt;0,E48=E48),1-P48/P48,"")</x:f>
        <x:v>0</x:v>
      </x:c>
      <x:c r="AA48" s="26" t="n">
        <x:f>IF(AND(ISNUMBER(R48),ISNUMBER(R48),R48&gt;0,E48=E48),1-R48/R48,"")</x:f>
        <x:v>0</x:v>
      </x:c>
      <x:c r="AB48" s="26" t="n">
        <x:v>0.046590668795501486</x:v>
      </x:c>
      <x:c r="AC48" s="19" t="str">
        <x:v>D:/Codex/GRL研究/outputs/grid81/per_date.csv</x:v>
      </x:c>
    </x:row>
    <x:row r="49" ht="36" customHeight="1">
      <x:c r="A49" s="19" t="str">
        <x:v>GRID81</x:v>
      </x:c>
      <x:c r="B49" s="19" t="str">
        <x:v>2036-05-05_9</x:v>
      </x:c>
      <x:c r="C49" s="19" t="str">
        <x:v>FULL</x:v>
      </x:c>
      <x:c r="D49" s="21" t="n">
        <x:v>2</x:v>
      </x:c>
      <x:c r="E49" s="21" t="n">
        <x:v>2017</x:v>
      </x:c>
      <x:c r="F49" s="21" t="n">
        <x:v>1</x:v>
      </x:c>
      <x:c r="G49" s="21" t="n">
        <x:v>1</x:v>
      </x:c>
      <x:c r="H49" s="22" t="n">
        <x:v>1779479.3731079102</x:v>
      </x:c>
      <x:c r="I49" s="23" t="n">
        <x:v>0</x:v>
      </x:c>
      <x:c r="J49" s="24" t="n">
        <x:v>2576</x:v>
      </x:c>
      <x:c r="K49" s="25" t="n">
        <x:v>49.740070499993635</x:v>
      </x:c>
      <x:c r="L49" s="25" t="n">
        <x:v>13.18103760001577</x:v>
      </x:c>
      <x:c r="M49" s="25" t="n">
        <x:v>31.71540760001153</x:v>
      </x:c>
      <x:c r="N49" s="25" t="n">
        <x:v>0.3176652000147442</x:v>
      </x:c>
      <x:c r="O49" s="25" t="n">
        <x:v>4.52596009995159</x:v>
      </x:c>
      <x:c r="P49" s="25" t="n">
        <x:v>0.03209956999980931</x:v>
      </x:c>
      <x:c r="Q49" s="25" t="n">
        <x:v>0.69607038999944</x:v>
      </x:c>
      <x:c r="R49" s="25" t="n">
        <x:v>4.25584660000095</x:v>
      </x:c>
      <x:c r="S49" s="25" t="n">
        <x:v>4.355681680000998</x:v>
      </x:c>
      <x:c r="T49" s="25" t="n">
        <x:v>47.90905480000947</x:v>
      </x:c>
      <x:c r="U49" s="25" t="n">
        <x:v>51.5710861999778</x:v>
      </x:c>
      <x:c r="V49" s="25" t="n">
        <x:v>2.5894472358356704</x:v>
      </x:c>
      <x:c r="W49" s="19" t="str">
        <x:v>FULL</x:v>
      </x:c>
      <x:c r="X49" s="26" t="n">
        <x:f>IF(AND(J49&gt;0,E49=E49),1-J49/J49,"")</x:f>
        <x:v>0</x:v>
      </x:c>
      <x:c r="Y49" s="26" t="n">
        <x:f>IF(AND(K49&gt;0,E49=E49),1-K49/K49,"")</x:f>
        <x:v>0</x:v>
      </x:c>
      <x:c r="Z49" s="26" t="n">
        <x:f>IF(AND(ISNUMBER(P49),P49&gt;0,E49=E49),1-P49/P49,"")</x:f>
        <x:v>0</x:v>
      </x:c>
      <x:c r="AA49" s="26" t="n">
        <x:f>IF(AND(ISNUMBER(R49),ISNUMBER(R49),R49&gt;0,E49=E49),1-R49/R49,"")</x:f>
        <x:v>0</x:v>
      </x:c>
      <x:c r="AB49" s="26" t="n">
        <x:v>0.05205958113461061</x:v>
      </x:c>
      <x:c r="AC49" s="19" t="str">
        <x:v>D:/Codex/GRL研究/outputs/grid81/per_date.csv</x:v>
      </x:c>
    </x:row>
    <x:row r="50" ht="36" customHeight="1">
      <x:c r="A50" s="19" t="str">
        <x:v>GRID81</x:v>
      </x:c>
      <x:c r="B50" s="19" t="str">
        <x:v>2036-07-07_9</x:v>
      </x:c>
      <x:c r="C50" s="19" t="str">
        <x:v>FULL</x:v>
      </x:c>
      <x:c r="D50" s="21" t="n">
        <x:v>2</x:v>
      </x:c>
      <x:c r="E50" s="21" t="n">
        <x:v>2017</x:v>
      </x:c>
      <x:c r="F50" s="21" t="n">
        <x:v>1</x:v>
      </x:c>
      <x:c r="G50" s="21" t="n">
        <x:v>1</x:v>
      </x:c>
      <x:c r="H50" s="22" t="n">
        <x:v>1406653.906539917</x:v>
      </x:c>
      <x:c r="I50" s="23" t="n">
        <x:v>0</x:v>
      </x:c>
      <x:c r="J50" s="24" t="n">
        <x:v>9022</x:v>
      </x:c>
      <x:c r="K50" s="25" t="n">
        <x:v>63.46856464997836</x:v>
      </x:c>
      <x:c r="L50" s="25" t="n">
        <x:v>31.81908430000476</x:v>
      </x:c>
      <x:c r="M50" s="25" t="n">
        <x:v>25.693316600001708</x:v>
      </x:c>
      <x:c r="N50" s="25" t="n">
        <x:v>1.2797311500316937</x:v>
      </x:c>
      <x:c r="O50" s="25" t="n">
        <x:v>4.676432599940199</x:v>
      </x:c>
      <x:c r="P50" s="25" t="n">
        <x:v>0.03178233000016917</x:v>
      </x:c>
      <x:c r="Q50" s="25" t="n">
        <x:v>0.7278545700000902</x:v>
      </x:c>
      <x:c r="R50" s="25" t="n">
        <x:v>4.918275580000316</x:v>
      </x:c>
      <x:c r="S50" s="25" t="n">
        <x:v>5.61034591600057</x:v>
      </x:c>
      <x:c r="T50" s="25" t="n">
        <x:v>61.87796780001736</x:v>
      </x:c>
      <x:c r="U50" s="25" t="n">
        <x:v>65.05916149993936</x:v>
      </x:c>
      <x:c r="V50" s="25" t="n">
        <x:v>2.2494436374827727</x:v>
      </x:c>
      <x:c r="W50" s="19" t="str">
        <x:v>FULL</x:v>
      </x:c>
      <x:c r="X50" s="26" t="n">
        <x:f>IF(AND(J50&gt;0,E50=E50),1-J50/J50,"")</x:f>
        <x:v>0</x:v>
      </x:c>
      <x:c r="Y50" s="26" t="n">
        <x:f>IF(AND(K50&gt;0,E50=E50),1-K50/K50,"")</x:f>
        <x:v>0</x:v>
      </x:c>
      <x:c r="Z50" s="26" t="n">
        <x:f>IF(AND(ISNUMBER(P50),P50&gt;0,E50=E50),1-P50/P50,"")</x:f>
        <x:v>0</x:v>
      </x:c>
      <x:c r="AA50" s="26" t="n">
        <x:f>IF(AND(ISNUMBER(R50),ISNUMBER(R50),R50&gt;0,E50=E50),1-R50/R50,"")</x:f>
        <x:v>0</x:v>
      </x:c>
      <x:c r="AB50" s="26" t="n">
        <x:v>0.0354418545604141</x:v>
      </x:c>
      <x:c r="AC50" s="19" t="str">
        <x:v>D:/Codex/GRL研究/outputs/grid81/per_date.csv</x:v>
      </x:c>
    </x:row>
    <x:row r="51" ht="36" customHeight="1">
      <x:c r="A51" s="19" t="str">
        <x:v>GRID81</x:v>
      </x:c>
      <x:c r="B51" s="19" t="str">
        <x:v>2036-09-01_9</x:v>
      </x:c>
      <x:c r="C51" s="19" t="str">
        <x:v>FULL</x:v>
      </x:c>
      <x:c r="D51" s="21" t="n">
        <x:v>2</x:v>
      </x:c>
      <x:c r="E51" s="21" t="n">
        <x:v>2017</x:v>
      </x:c>
      <x:c r="F51" s="21" t="n">
        <x:v>1</x:v>
      </x:c>
      <x:c r="G51" s="21" t="n">
        <x:v>1</x:v>
      </x:c>
      <x:c r="H51" s="22" t="n">
        <x:v>1392960.0296020508</x:v>
      </x:c>
      <x:c r="I51" s="23" t="n">
        <x:v>0</x:v>
      </x:c>
      <x:c r="J51" s="24" t="n">
        <x:v>3582</x:v>
      </x:c>
      <x:c r="K51" s="25" t="n">
        <x:v>44.573006599960536</x:v>
      </x:c>
      <x:c r="L51" s="25" t="n">
        <x:v>15.64136350001354</x:v>
      </x:c>
      <x:c r="M51" s="25" t="n">
        <x:v>23.987362100011524</x:v>
      </x:c>
      <x:c r="N51" s="25" t="n">
        <x:v>0.4258132999693771</x:v>
      </x:c>
      <x:c r="O51" s="25" t="n">
        <x:v>4.518467699966095</x:v>
      </x:c>
      <x:c r="P51" s="25" t="n">
        <x:v>0.028141949999371717</x:v>
      </x:c>
      <x:c r="Q51" s="25" t="n">
        <x:v>0.6657884339995144</x:v>
      </x:c>
      <x:c r="R51" s="25" t="n">
        <x:v>2.7458633524999643</x:v>
      </x:c>
      <x:c r="S51" s="25" t="n">
        <x:v>2.785240230500076</x:v>
      </x:c>
      <x:c r="T51" s="25" t="n">
        <x:v>44.339387899965004</x:v>
      </x:c>
      <x:c r="U51" s="25" t="n">
        <x:v>44.80662529995607</x:v>
      </x:c>
      <x:c r="V51" s="25" t="n">
        <x:v>0.33038673395765217</x:v>
      </x:c>
      <x:c r="W51" s="19" t="str">
        <x:v>FULL</x:v>
      </x:c>
      <x:c r="X51" s="26" t="n">
        <x:f>IF(AND(J51&gt;0,E51=E51),1-J51/J51,"")</x:f>
        <x:v>0</x:v>
      </x:c>
      <x:c r="Y51" s="26" t="n">
        <x:f>IF(AND(K51&gt;0,E51=E51),1-K51/K51,"")</x:f>
        <x:v>0</x:v>
      </x:c>
      <x:c r="Z51" s="26" t="n">
        <x:f>IF(AND(ISNUMBER(P51),P51&gt;0,E51=E51),1-P51/P51,"")</x:f>
        <x:v>0</x:v>
      </x:c>
      <x:c r="AA51" s="26" t="n">
        <x:f>IF(AND(ISNUMBER(R51),ISNUMBER(R51),R51&gt;0,E51=E51),1-R51/R51,"")</x:f>
        <x:v>0</x:v>
      </x:c>
      <x:c r="AB51" s="26" t="n">
        <x:v>0.007412260449981507</x:v>
      </x:c>
      <x:c r="AC51" s="19" t="str">
        <x:v>D:/Codex/GRL研究/outputs/grid81/per_date.csv</x:v>
      </x:c>
    </x:row>
    <x:row r="52" ht="36" customHeight="1">
      <x:c r="A52" s="19" t="str">
        <x:v>GRID81</x:v>
      </x:c>
      <x:c r="B52" s="19" t="str">
        <x:v>2036-11-03_9</x:v>
      </x:c>
      <x:c r="C52" s="19" t="str">
        <x:v>FULL</x:v>
      </x:c>
      <x:c r="D52" s="21" t="n">
        <x:v>2</x:v>
      </x:c>
      <x:c r="E52" s="21" t="n">
        <x:v>519</x:v>
      </x:c>
      <x:c r="F52" s="21" t="n">
        <x:v>1</x:v>
      </x:c>
      <x:c r="G52" s="21" t="n">
        <x:v>0</x:v>
      </x:c>
      <x:c r="H52" s="22" t="n">
        <x:v>361332.79052734375</x:v>
      </x:c>
      <x:c r="I52" s="23"/>
      <x:c r="J52" s="24" t="n">
        <x:v>0</x:v>
      </x:c>
      <x:c r="K52" s="25" t="n">
        <x:v>14.580521750000116</x:v>
      </x:c>
      <x:c r="L52" s="25" t="n">
        <x:v>1.8856535999884727</x:v>
      </x:c>
      <x:c r="M52" s="25" t="n">
        <x:v>11.77864875000796</x:v>
      </x:c>
      <x:c r="N52" s="25" t="n">
        <x:v>0</x:v>
      </x:c>
      <x:c r="O52" s="25" t="n">
        <x:v>0.9162194000036834</x:v>
      </x:c>
      <x:c r="P52" s="25" t="n">
        <x:v>0.027772159999767572</x:v>
      </x:c>
      <x:c r="Q52" s="25" t="n">
        <x:v>0.7869438600005239</x:v>
      </x:c>
      <x:c r="R52" s="25"/>
      <x:c r="S52" s="25"/>
      <x:c r="T52" s="25" t="n">
        <x:v>14.536444800000027</x:v>
      </x:c>
      <x:c r="U52" s="25" t="n">
        <x:v>14.624598700000206</x:v>
      </x:c>
      <x:c r="V52" s="25" t="n">
        <x:v>0.06233422047816766</x:v>
      </x:c>
      <x:c r="W52" s="19" t="str">
        <x:v>FULL</x:v>
      </x:c>
      <x:c r="X52" s="26" t="str">
        <x:f>IF(AND(J52&gt;0,E52=E52),1-J52/J52,"")</x:f>
      </x:c>
      <x:c r="Y52" s="26" t="n">
        <x:f>IF(AND(K52&gt;0,E52=E52),1-K52/K52,"")</x:f>
        <x:v>0</x:v>
      </x:c>
      <x:c r="Z52" s="26" t="n">
        <x:f>IF(AND(ISNUMBER(P52),P52&gt;0,E52=E52),1-P52/P52,"")</x:f>
        <x:v>0</x:v>
      </x:c>
      <x:c r="AA52" s="26" t="str">
        <x:f>IF(AND(ISNUMBER(R52),ISNUMBER(R52),R52&gt;0,E52=E52),1-R52/R52,"")</x:f>
      </x:c>
      <x:c r="AB52" s="26" t="n">
        <x:v>0.0042751707755703024</x:v>
      </x:c>
      <x:c r="AC52" s="19" t="str">
        <x:v>D:/Codex/GRL研究/outputs/grid81/per_date.csv</x:v>
      </x:c>
    </x:row>
    <x:row r="53" ht="36" customHeight="1">
      <x:c r="A53" s="19" t="str">
        <x:v>GRID81</x:v>
      </x:c>
      <x:c r="B53" s="19" t="str">
        <x:v>2036-01-07_9</x:v>
      </x:c>
      <x:c r="C53" s="19" t="str">
        <x:v>RANDOM_GATE0</x:v>
      </x:c>
      <x:c r="D53" s="21" t="n">
        <x:v>2</x:v>
      </x:c>
      <x:c r="E53" s="21" t="n">
        <x:v>2017</x:v>
      </x:c>
      <x:c r="F53" s="21" t="n">
        <x:v>1</x:v>
      </x:c>
      <x:c r="G53" s="21" t="n">
        <x:v>1</x:v>
      </x:c>
      <x:c r="H53" s="22" t="n">
        <x:v>2412707.07421875</x:v>
      </x:c>
      <x:c r="I53" s="23" t="n">
        <x:v>0.0008663102138171119</x:v>
      </x:c>
      <x:c r="J53" s="24" t="n">
        <x:v>1432</x:v>
      </x:c>
      <x:c r="K53" s="25" t="n">
        <x:v>82.74120829997628</x:v>
      </x:c>
      <x:c r="L53" s="25" t="n">
        <x:v>15.400466200014307</x:v>
      </x:c>
      <x:c r="M53" s="25" t="n">
        <x:v>61.38304555000468</x:v>
      </x:c>
      <x:c r="N53" s="25" t="n">
        <x:v>1.3234821000214652</x:v>
      </x:c>
      <x:c r="O53" s="25" t="n">
        <x:v>4.6342144499358255</x:v>
      </x:c>
      <x:c r="P53" s="25" t="n">
        <x:v>0.03458841000010575</x:v>
      </x:c>
      <x:c r="Q53" s="25" t="n">
        <x:v>0.8361457680004953</x:v>
      </x:c>
      <x:c r="R53" s="25" t="n">
        <x:v>3.1957468099999455</x:v>
      </x:c>
      <x:c r="S53" s="25" t="n">
        <x:v>3.4461381220002294</x:v>
      </x:c>
      <x:c r="T53" s="25" t="n">
        <x:v>81.28527079996093</x:v>
      </x:c>
      <x:c r="U53" s="25" t="n">
        <x:v>84.19714579999163</x:v>
      </x:c>
      <x:c r="V53" s="25" t="n">
        <x:v>2.0590065584892896</x:v>
      </x:c>
      <x:c r="W53" s="19" t="str">
        <x:v>FULL</x:v>
      </x:c>
      <x:c r="X53" s="26" t="n">
        <x:f>IF(AND(J47&gt;0,E53=E47),1-J53/J47,"")</x:f>
        <x:v>0.7370064279155188</x:v>
      </x:c>
      <x:c r="Y53" s="26" t="n">
        <x:f>IF(AND(K47&gt;0,E53=E47),1-K53/K47,"")</x:f>
        <x:v>0.08795957265356324</x:v>
      </x:c>
      <x:c r="Z53" s="26" t="n">
        <x:f>IF(AND(ISNUMBER(P47),P47&gt;0,E53=E47),1-P53/P47,"")</x:f>
        <x:v>-0.034302504454602145</x:v>
      </x:c>
      <x:c r="AA53" s="26" t="n">
        <x:f>IF(AND(ISNUMBER(R53),ISNUMBER(R47),R47&gt;0,E53=E47),1-R53/R47,"")</x:f>
        <x:v>0.31252425555398355</x:v>
      </x:c>
      <x:c r="AB53" s="26" t="n">
        <x:v>0.024884898357108956</x:v>
      </x:c>
      <x:c r="AC53" s="19" t="str">
        <x:v>D:/Codex/GRL研究/outputs/grid81/per_date.csv</x:v>
      </x:c>
    </x:row>
    <x:row r="54" ht="36" customHeight="1">
      <x:c r="A54" s="19" t="str">
        <x:v>GRID81</x:v>
      </x:c>
      <x:c r="B54" s="19" t="str">
        <x:v>2036-03-03_9</x:v>
      </x:c>
      <x:c r="C54" s="19" t="str">
        <x:v>RANDOM_GATE0</x:v>
      </x:c>
      <x:c r="D54" s="21" t="n">
        <x:v>2</x:v>
      </x:c>
      <x:c r="E54" s="21" t="n">
        <x:v>1720</x:v>
      </x:c>
      <x:c r="F54" s="21" t="n">
        <x:v>1</x:v>
      </x:c>
      <x:c r="G54" s="21" t="n">
        <x:v>0</x:v>
      </x:c>
      <x:c r="H54" s="22" t="n">
        <x:v>2300386.2553100586</x:v>
      </x:c>
      <x:c r="I54" s="23"/>
      <x:c r="J54" s="24" t="n">
        <x:v>5109</x:v>
      </x:c>
      <x:c r="K54" s="25" t="n">
        <x:v>70.44893405001949</x:v>
      </x:c>
      <x:c r="L54" s="25" t="n">
        <x:v>24.08031574999768</x:v>
      </x:c>
      <x:c r="M54" s="25" t="n">
        <x:v>40.59554240000489</x:v>
      </x:c>
      <x:c r="N54" s="25" t="n">
        <x:v>1.2869619499861074</x:v>
      </x:c>
      <x:c r="O54" s="25" t="n">
        <x:v>4.486113950030813</x:v>
      </x:c>
      <x:c r="P54" s="25" t="n">
        <x:v>0.035615155000778026</x:v>
      </x:c>
      <x:c r="Q54" s="25" t="n">
        <x:v>0.9515687259999288</x:v>
      </x:c>
      <x:c r="R54" s="25" t="n">
        <x:v>4.062105597499611</x:v>
      </x:c>
      <x:c r="S54" s="25" t="n">
        <x:v>4.677092679499911</x:v>
      </x:c>
      <x:c r="T54" s="25" t="n">
        <x:v>69.88715450002746</x:v>
      </x:c>
      <x:c r="U54" s="25" t="n">
        <x:v>71.01071360001151</x:v>
      </x:c>
      <x:c r="V54" s="25" t="n">
        <x:v>0.7944762586625757</x:v>
      </x:c>
      <x:c r="W54" s="19" t="str">
        <x:v>FULL</x:v>
      </x:c>
      <x:c r="X54" s="26" t="n">
        <x:f>IF(AND(J48&gt;0,E54=E48),1-J54/J48,"")</x:f>
        <x:v>0.37489294016884867</x:v>
      </x:c>
      <x:c r="Y54" s="26" t="n">
        <x:f>IF(AND(K48&gt;0,E54=E48),1-K54/K48,"")</x:f>
        <x:v>0.13060253502121288</x:v>
      </x:c>
      <x:c r="Z54" s="26" t="n">
        <x:f>IF(AND(ISNUMBER(P48),P48&gt;0,E54=E48),1-P54/P48,"")</x:f>
        <x:v>0.02853275394525845</x:v>
      </x:c>
      <x:c r="AA54" s="26" t="n">
        <x:f>IF(AND(ISNUMBER(R54),ISNUMBER(R48),R48&gt;0,E54=E48),1-R54/R48,"")</x:f>
        <x:v>0.1193857385911894</x:v>
      </x:c>
      <x:c r="AB54" s="26" t="n">
        <x:v>0.011277335411469663</x:v>
      </x:c>
      <x:c r="AC54" s="19" t="str">
        <x:v>D:/Codex/GRL研究/outputs/grid81/per_date.csv</x:v>
      </x:c>
    </x:row>
    <x:row r="55" ht="36" customHeight="1">
      <x:c r="A55" s="19" t="str">
        <x:v>GRID81</x:v>
      </x:c>
      <x:c r="B55" s="19" t="str">
        <x:v>2036-05-05_9</x:v>
      </x:c>
      <x:c r="C55" s="19" t="str">
        <x:v>RANDOM_GATE0</x:v>
      </x:c>
      <x:c r="D55" s="21" t="n">
        <x:v>2</x:v>
      </x:c>
      <x:c r="E55" s="21" t="n">
        <x:v>2017</x:v>
      </x:c>
      <x:c r="F55" s="21" t="n">
        <x:v>1</x:v>
      </x:c>
      <x:c r="G55" s="21" t="n">
        <x:v>1</x:v>
      </x:c>
      <x:c r="H55" s="22" t="n">
        <x:v>1732291.8922729492</x:v>
      </x:c>
      <x:c r="I55" s="23" t="n">
        <x:v>-0.02651757674074451</x:v>
      </x:c>
      <x:c r="J55" s="24" t="n">
        <x:v>454</x:v>
      </x:c>
      <x:c r="K55" s="25" t="n">
        <x:v>37.14011635001498</x:v>
      </x:c>
      <x:c r="L55" s="25" t="n">
        <x:v>8.162650800007214</x:v>
      </x:c>
      <x:c r="M55" s="25" t="n">
        <x:v>24.620707549990584</x:v>
      </x:c>
      <x:c r="N55" s="25" t="n">
        <x:v>0.10423214999900665</x:v>
      </x:c>
      <x:c r="O55" s="25" t="n">
        <x:v>4.2525258500181735</x:v>
      </x:c>
      <x:c r="P55" s="25" t="n">
        <x:v>0.028755520000413523</x:v>
      </x:c>
      <x:c r="Q55" s="25" t="n">
        <x:v>0.5749542739999184</x:v>
      </x:c>
      <x:c r="R55" s="25" t="n">
        <x:v>4.174338100000568</x:v>
      </x:c>
      <x:c r="S55" s="25" t="n">
        <x:v>4.174338100000568</x:v>
      </x:c>
      <x:c r="T55" s="25" t="n">
        <x:v>35.75564020000638</x:v>
      </x:c>
      <x:c r="U55" s="25" t="n">
        <x:v>38.52459250002357</x:v>
      </x:c>
      <x:c r="V55" s="25" t="n">
        <x:v>1.9579449481242428</x:v>
      </x:c>
      <x:c r="W55" s="19" t="str">
        <x:v>FULL</x:v>
      </x:c>
      <x:c r="X55" s="26" t="n">
        <x:f>IF(AND(J49&gt;0,E55=E49),1-J55/J49,"")</x:f>
        <x:v>0.8237577639751552</x:v>
      </x:c>
      <x:c r="Y55" s="26" t="n">
        <x:f>IF(AND(K49&gt;0,E55=E49),1-K55/K49,"")</x:f>
        <x:v>0.25331596886217256</x:v>
      </x:c>
      <x:c r="Z55" s="26" t="n">
        <x:f>IF(AND(ISNUMBER(P49),P49&gt;0,E55=E49),1-P55/P49,"")</x:f>
        <x:v>0.1041774079657658</x:v>
      </x:c>
      <x:c r="AA55" s="26" t="n">
        <x:f>IF(AND(ISNUMBER(R55),ISNUMBER(R49),R49&gt;0,E55=E49),1-R55/R49,"")</x:f>
        <x:v>0.01915212357521623</x:v>
      </x:c>
      <x:c r="AB55" s="26" t="n">
        <x:v>0.05271779252580218</x:v>
      </x:c>
      <x:c r="AC55" s="19" t="str">
        <x:v>D:/Codex/GRL研究/outputs/grid81/per_date.csv</x:v>
      </x:c>
    </x:row>
    <x:row r="56" ht="36" customHeight="1">
      <x:c r="A56" s="19" t="str">
        <x:v>GRID81</x:v>
      </x:c>
      <x:c r="B56" s="19" t="str">
        <x:v>2036-07-07_9</x:v>
      </x:c>
      <x:c r="C56" s="19" t="str">
        <x:v>RANDOM_GATE0</x:v>
      </x:c>
      <x:c r="D56" s="21" t="n">
        <x:v>2</x:v>
      </x:c>
      <x:c r="E56" s="21" t="n">
        <x:v>2017</x:v>
      </x:c>
      <x:c r="F56" s="21" t="n">
        <x:v>1</x:v>
      </x:c>
      <x:c r="G56" s="21" t="n">
        <x:v>1</x:v>
      </x:c>
      <x:c r="H56" s="22" t="n">
        <x:v>1391348.7835388184</x:v>
      </x:c>
      <x:c r="I56" s="23" t="n">
        <x:v>-0.010880517894231834</x:v>
      </x:c>
      <x:c r="J56" s="24" t="n">
        <x:v>3470</x:v>
      </x:c>
      <x:c r="K56" s="25" t="n">
        <x:v>45.5547005999897</x:v>
      </x:c>
      <x:c r="L56" s="25" t="n">
        <x:v>16.25848599996698</x:v>
      </x:c>
      <x:c r="M56" s="25" t="n">
        <x:v>24.01837405000424</x:v>
      </x:c>
      <x:c r="N56" s="25" t="n">
        <x:v>1.2294649000150457</x:v>
      </x:c>
      <x:c r="O56" s="25" t="n">
        <x:v>4.048375650003436</x:v>
      </x:c>
      <x:c r="P56" s="25" t="n">
        <x:v>0.03449361999973914</x:v>
      </x:c>
      <x:c r="Q56" s="25" t="n">
        <x:v>0.7099174939998919</x:v>
      </x:c>
      <x:c r="R56" s="25" t="n">
        <x:v>3.3777100625003618</x:v>
      </x:c>
      <x:c r="S56" s="25" t="n">
        <x:v>4.044834612500408</x:v>
      </x:c>
      <x:c r="T56" s="25" t="n">
        <x:v>43.72962040000493</x:v>
      </x:c>
      <x:c r="U56" s="25" t="n">
        <x:v>47.37978079997447</x:v>
      </x:c>
      <x:c r="V56" s="25" t="n">
        <x:v>2.5810531712370595</x:v>
      </x:c>
      <x:c r="W56" s="19" t="str">
        <x:v>FULL</x:v>
      </x:c>
      <x:c r="X56" s="26" t="n">
        <x:f>IF(AND(J50&gt;0,E56=E50),1-J56/J50,"")</x:f>
        <x:v>0.6153846153846154</x:v>
      </x:c>
      <x:c r="Y56" s="26" t="n">
        <x:f>IF(AND(K50&gt;0,E56=E50),1-K56/K50,"")</x:f>
        <x:v>0.2822478206145279</x:v>
      </x:c>
      <x:c r="Z56" s="26" t="n">
        <x:f>IF(AND(ISNUMBER(P50),P50&gt;0,E56=E50),1-P56/P50,"")</x:f>
        <x:v>-0.0853080941377029</x:v>
      </x:c>
      <x:c r="AA56" s="26" t="n">
        <x:f>IF(AND(ISNUMBER(R56),ISNUMBER(R50),R50&gt;0,E56=E50),1-R56/R50,"")</x:f>
        <x:v>0.31323285823277414</x:v>
      </x:c>
      <x:c r="AB56" s="26" t="n">
        <x:v>0.05665832805929237</x:v>
      </x:c>
      <x:c r="AC56" s="19" t="str">
        <x:v>D:/Codex/GRL研究/outputs/grid81/per_date.csv</x:v>
      </x:c>
    </x:row>
    <x:row r="57" ht="36" customHeight="1">
      <x:c r="A57" s="19" t="str">
        <x:v>GRID81</x:v>
      </x:c>
      <x:c r="B57" s="19" t="str">
        <x:v>2036-09-01_9</x:v>
      </x:c>
      <x:c r="C57" s="19" t="str">
        <x:v>RANDOM_GATE0</x:v>
      </x:c>
      <x:c r="D57" s="21" t="n">
        <x:v>2</x:v>
      </x:c>
      <x:c r="E57" s="21" t="n">
        <x:v>2017</x:v>
      </x:c>
      <x:c r="F57" s="21" t="n">
        <x:v>1</x:v>
      </x:c>
      <x:c r="G57" s="21" t="n">
        <x:v>1</x:v>
      </x:c>
      <x:c r="H57" s="22" t="n">
        <x:v>1392633.7291259766</x:v>
      </x:c>
      <x:c r="I57" s="23" t="n">
        <x:v>-0.00023424970504537512</x:v>
      </x:c>
      <x:c r="J57" s="24" t="n">
        <x:v>933</x:v>
      </x:c>
      <x:c r="K57" s="25" t="n">
        <x:v>38.29918274996726</x:v>
      </x:c>
      <x:c r="L57" s="25" t="n">
        <x:v>9.21632569999474</x:v>
      </x:c>
      <x:c r="M57" s="25" t="n">
        <x:v>24.098640100009106</x:v>
      </x:c>
      <x:c r="N57" s="25" t="n">
        <x:v>0.7126723999481328</x:v>
      </x:c>
      <x:c r="O57" s="25" t="n">
        <x:v>4.271544550015278</x:v>
      </x:c>
      <x:c r="P57" s="25" t="n">
        <x:v>0.028169929999421577</x:v>
      </x:c>
      <x:c r="Q57" s="25" t="n">
        <x:v>0.6677288099994619</x:v>
      </x:c>
      <x:c r="R57" s="25" t="n">
        <x:v>1.0240338074997453</x:v>
      </x:c>
      <x:c r="S57" s="25" t="n">
        <x:v>1.040690041499638</x:v>
      </x:c>
      <x:c r="T57" s="25" t="n">
        <x:v>38.16321549997156</x:v>
      </x:c>
      <x:c r="U57" s="25" t="n">
        <x:v>38.43514999996296</x:v>
      </x:c>
      <x:c r="V57" s="25" t="n">
        <x:v>0.1922867289824941</x:v>
      </x:c>
      <x:c r="W57" s="19" t="str">
        <x:v>FULL</x:v>
      </x:c>
      <x:c r="X57" s="26" t="n">
        <x:f>IF(AND(J51&gt;0,E57=E51),1-J57/J51,"")</x:f>
        <x:v>0.7395309882747069</x:v>
      </x:c>
      <x:c r="Y57" s="26" t="n">
        <x:f>IF(AND(K51&gt;0,E57=E51),1-K57/K51,"")</x:f>
        <x:v>0.14075388511034015</x:v>
      </x:c>
      <x:c r="Z57" s="26" t="n">
        <x:f>IF(AND(ISNUMBER(P51),P51&gt;0,E57=E51),1-P57/P51,"")</x:f>
        <x:v>-0.0009942452477700314</x:v>
      </x:c>
      <x:c r="AA57" s="26" t="n">
        <x:f>IF(AND(ISNUMBER(R57),ISNUMBER(R51),R51&gt;0,E57=E51),1-R57/R51,"")</x:f>
        <x:v>0.6270630850703418</x:v>
      </x:c>
      <x:c r="AB57" s="26" t="n">
        <x:v>0.005020648357898929</x:v>
      </x:c>
      <x:c r="AC57" s="19" t="str">
        <x:v>D:/Codex/GRL研究/outputs/grid81/per_date.csv</x:v>
      </x:c>
    </x:row>
    <x:row r="58" ht="36" customHeight="1">
      <x:c r="A58" s="19" t="str">
        <x:v>GRID81</x:v>
      </x:c>
      <x:c r="B58" s="19" t="str">
        <x:v>2036-11-03_9</x:v>
      </x:c>
      <x:c r="C58" s="19" t="str">
        <x:v>RANDOM_GATE0</x:v>
      </x:c>
      <x:c r="D58" s="21" t="n">
        <x:v>2</x:v>
      </x:c>
      <x:c r="E58" s="21" t="n">
        <x:v>519</x:v>
      </x:c>
      <x:c r="F58" s="21" t="n">
        <x:v>1</x:v>
      </x:c>
      <x:c r="G58" s="21" t="n">
        <x:v>0</x:v>
      </x:c>
      <x:c r="H58" s="22" t="n">
        <x:v>361332.79052734375</x:v>
      </x:c>
      <x:c r="I58" s="23"/>
      <x:c r="J58" s="24" t="n">
        <x:v>0</x:v>
      </x:c>
      <x:c r="K58" s="25" t="n">
        <x:v>14.7680862500074</x:v>
      </x:c>
      <x:c r="L58" s="25" t="n">
        <x:v>1.9001456000196413</x:v>
      </x:c>
      <x:c r="M58" s="25" t="n">
        <x:v>11.95502115000636</x:v>
      </x:c>
      <x:c r="N58" s="25" t="n">
        <x:v>0</x:v>
      </x:c>
      <x:c r="O58" s="25" t="n">
        <x:v>0.912919499981399</x:v>
      </x:c>
      <x:c r="P58" s="25" t="n">
        <x:v>0.028473285000472928</x:v>
      </x:c>
      <x:c r="Q58" s="25" t="n">
        <x:v>0.80195523300043</x:v>
      </x:c>
      <x:c r="R58" s="25"/>
      <x:c r="S58" s="25"/>
      <x:c r="T58" s="25" t="n">
        <x:v>14.64222070001233</x:v>
      </x:c>
      <x:c r="U58" s="25" t="n">
        <x:v>14.893951800002469</x:v>
      </x:c>
      <x:c r="V58" s="25" t="n">
        <x:v>0.17800076783857566</x:v>
      </x:c>
      <x:c r="W58" s="19" t="str">
        <x:v>FULL</x:v>
      </x:c>
      <x:c r="X58" s="26" t="str">
        <x:f>IF(AND(J52&gt;0,E58=E52),1-J58/J52,"")</x:f>
      </x:c>
      <x:c r="Y58" s="26" t="n">
        <x:f>IF(AND(K52&gt;0,E58=E52),1-K58/K52,"")</x:f>
        <x:v>-0.01286404582931211</x:v>
      </x:c>
      <x:c r="Z58" s="26" t="n">
        <x:f>IF(AND(ISNUMBER(P52),P52&gt;0,E58=E52),1-P58/P52,"")</x:f>
        <x:v>-0.025245605696900153</x:v>
      </x:c>
      <x:c r="AA58" s="26" t="str">
        <x:f>IF(AND(ISNUMBER(R58),ISNUMBER(R52),R52&gt;0,E58=E52),1-R58/R52,"")</x:f>
      </x:c>
      <x:c r="AB58" s="26" t="n">
        <x:v>0.012053069356802169</x:v>
      </x:c>
      <x:c r="AC58" s="19" t="str">
        <x:v>D:/Codex/GRL研究/outputs/grid81/per_date.csv</x:v>
      </x:c>
    </x:row>
    <x:row r="59" ht="36" customHeight="1">
      <x:c r="A59" s="19" t="str">
        <x:v>GRID81</x:v>
      </x:c>
      <x:c r="B59" s="19" t="str">
        <x:v>2036-01-07_9</x:v>
      </x:c>
      <x:c r="C59" s="19" t="str">
        <x:v>RANDOM_GATE1</x:v>
      </x:c>
      <x:c r="D59" s="21" t="n">
        <x:v>2</x:v>
      </x:c>
      <x:c r="E59" s="21" t="n">
        <x:v>2017</x:v>
      </x:c>
      <x:c r="F59" s="21" t="n">
        <x:v>1</x:v>
      </x:c>
      <x:c r="G59" s="21" t="n">
        <x:v>1</x:v>
      </x:c>
      <x:c r="H59" s="22" t="n">
        <x:v>2412707.07421875</x:v>
      </x:c>
      <x:c r="I59" s="23" t="n">
        <x:v>0.0008663102138171119</x:v>
      </x:c>
      <x:c r="J59" s="24" t="n">
        <x:v>1432</x:v>
      </x:c>
      <x:c r="K59" s="25" t="n">
        <x:v>82.30294209999465</x:v>
      </x:c>
      <x:c r="L59" s="25" t="n">
        <x:v>15.31143434997739</x:v>
      </x:c>
      <x:c r="M59" s="25" t="n">
        <x:v>61.08480400000553</x:v>
      </x:c>
      <x:c r="N59" s="25" t="n">
        <x:v>1.2560672000054183</x:v>
      </x:c>
      <x:c r="O59" s="25" t="n">
        <x:v>4.650636550006311</x:v>
      </x:c>
      <x:c r="P59" s="25" t="n">
        <x:v>0.034600610000779825</x:v>
      </x:c>
      <x:c r="Q59" s="25" t="n">
        <x:v>0.8308486619997704</x:v>
      </x:c>
      <x:c r="R59" s="25" t="n">
        <x:v>3.1887795899998306</x:v>
      </x:c>
      <x:c r="S59" s="25" t="n">
        <x:v>3.4570680379997794</x:v>
      </x:c>
      <x:c r="T59" s="25" t="n">
        <x:v>81.03993320000518</x:v>
      </x:c>
      <x:c r="U59" s="25" t="n">
        <x:v>83.56595099998412</x:v>
      </x:c>
      <x:c r="V59" s="25" t="n">
        <x:v>1.7861643157630358</x:v>
      </x:c>
      <x:c r="W59" s="19" t="str">
        <x:v>FULL</x:v>
      </x:c>
      <x:c r="X59" s="26" t="n">
        <x:f>IF(AND(J47&gt;0,E59=E47),1-J59/J47,"")</x:f>
        <x:v>0.7370064279155188</x:v>
      </x:c>
      <x:c r="Y59" s="26" t="n">
        <x:f>IF(AND(K47&gt;0,E59=E47),1-K59/K47,"")</x:f>
        <x:v>0.0927904966941403</x:v>
      </x:c>
      <x:c r="Z59" s="26" t="n">
        <x:f>IF(AND(ISNUMBER(P47),P47&gt;0,E59=E47),1-P59/P47,"")</x:f>
        <x:v>-0.03466732293719499</x:v>
      </x:c>
      <x:c r="AA59" s="26" t="n">
        <x:f>IF(AND(ISNUMBER(R59),ISNUMBER(R47),R47&gt;0,E59=E47),1-R59/R47,"")</x:f>
        <x:v>0.3140230585071181</x:v>
      </x:c>
      <x:c r="AB59" s="26" t="n">
        <x:v>0.021702314281704785</x:v>
      </x:c>
      <x:c r="AC59" s="19" t="str">
        <x:v>D:/Codex/GRL研究/outputs/grid81/per_date.csv</x:v>
      </x:c>
    </x:row>
    <x:row r="60" ht="36" customHeight="1">
      <x:c r="A60" s="19" t="str">
        <x:v>GRID81</x:v>
      </x:c>
      <x:c r="B60" s="19" t="str">
        <x:v>2036-03-03_9</x:v>
      </x:c>
      <x:c r="C60" s="19" t="str">
        <x:v>RANDOM_GATE1</x:v>
      </x:c>
      <x:c r="D60" s="21" t="n">
        <x:v>2</x:v>
      </x:c>
      <x:c r="E60" s="21" t="n">
        <x:v>1720</x:v>
      </x:c>
      <x:c r="F60" s="21" t="n">
        <x:v>1</x:v>
      </x:c>
      <x:c r="G60" s="21" t="n">
        <x:v>0</x:v>
      </x:c>
      <x:c r="H60" s="22" t="n">
        <x:v>2300386.2553100586</x:v>
      </x:c>
      <x:c r="I60" s="23"/>
      <x:c r="J60" s="24" t="n">
        <x:v>5109</x:v>
      </x:c>
      <x:c r="K60" s="25" t="n">
        <x:v>69.2931410499823</x:v>
      </x:c>
      <x:c r="L60" s="25" t="n">
        <x:v>23.570746149991464</x:v>
      </x:c>
      <x:c r="M60" s="25" t="n">
        <x:v>40.19621399999869</x:v>
      </x:c>
      <x:c r="N60" s="25" t="n">
        <x:v>1.1111968999539386</x:v>
      </x:c>
      <x:c r="O60" s="25" t="n">
        <x:v>4.414984000038203</x:v>
      </x:c>
      <x:c r="P60" s="25" t="n">
        <x:v>0.03513311249976141</x:v>
      </x:c>
      <x:c r="Q60" s="25" t="n">
        <x:v>0.9518024469995983</x:v>
      </x:c>
      <x:c r="R60" s="25" t="n">
        <x:v>3.981340957499513</x:v>
      </x:c>
      <x:c r="S60" s="25" t="n">
        <x:v>4.587847591499221</x:v>
      </x:c>
      <x:c r="T60" s="25" t="n">
        <x:v>69.10141370000929</x:v>
      </x:c>
      <x:c r="U60" s="25" t="n">
        <x:v>69.4848683999553</x:v>
      </x:c>
      <x:c r="V60" s="25" t="n">
        <x:v>0.27114341860967967</x:v>
      </x:c>
      <x:c r="W60" s="19" t="str">
        <x:v>FULL</x:v>
      </x:c>
      <x:c r="X60" s="26" t="n">
        <x:f>IF(AND(J48&gt;0,E60=E48),1-J60/J48,"")</x:f>
        <x:v>0.37489294016884867</x:v>
      </x:c>
      <x:c r="Y60" s="26" t="n">
        <x:f>IF(AND(K48&gt;0,E60=E48),1-K60/K48,"")</x:f>
        <x:v>0.14486596594209966</x:v>
      </x:c>
      <x:c r="Z60" s="26" t="n">
        <x:f>IF(AND(ISNUMBER(P48),P48&gt;0,E60=E48),1-P60/P48,"")</x:f>
        <x:v>0.04168132794230339</x:v>
      </x:c>
      <x:c r="AA60" s="26" t="n">
        <x:f>IF(AND(ISNUMBER(R60),ISNUMBER(R48),R48&gt;0,E60=E48),1-R60/R48,"")</x:f>
        <x:v>0.13689451380506223</x:v>
      </x:c>
      <x:c r="AB60" s="26" t="n">
        <x:v>0.003912990730411534</x:v>
      </x:c>
      <x:c r="AC60" s="19" t="str">
        <x:v>D:/Codex/GRL研究/outputs/grid81/per_date.csv</x:v>
      </x:c>
    </x:row>
    <x:row r="61" ht="36" customHeight="1">
      <x:c r="A61" s="19" t="str">
        <x:v>GRID81</x:v>
      </x:c>
      <x:c r="B61" s="19" t="str">
        <x:v>2036-05-05_9</x:v>
      </x:c>
      <x:c r="C61" s="19" t="str">
        <x:v>RANDOM_GATE1</x:v>
      </x:c>
      <x:c r="D61" s="21" t="n">
        <x:v>2</x:v>
      </x:c>
      <x:c r="E61" s="21" t="n">
        <x:v>2017</x:v>
      </x:c>
      <x:c r="F61" s="21" t="n">
        <x:v>1</x:v>
      </x:c>
      <x:c r="G61" s="21" t="n">
        <x:v>1</x:v>
      </x:c>
      <x:c r="H61" s="22" t="n">
        <x:v>1732291.8922729492</x:v>
      </x:c>
      <x:c r="I61" s="23" t="n">
        <x:v>-0.02651757674074451</x:v>
      </x:c>
      <x:c r="J61" s="24" t="n">
        <x:v>454</x:v>
      </x:c>
      <x:c r="K61" s="25" t="n">
        <x:v>37.20290220001243</x:v>
      </x:c>
      <x:c r="L61" s="25" t="n">
        <x:v>8.102900500028227</x:v>
      </x:c>
      <x:c r="M61" s="25" t="n">
        <x:v>24.71998304999852</x:v>
      </x:c>
      <x:c r="N61" s="25" t="n">
        <x:v>0.10792290000881621</x:v>
      </x:c>
      <x:c r="O61" s="25" t="n">
        <x:v>4.27209574997687</x:v>
      </x:c>
      <x:c r="P61" s="25" t="n">
        <x:v>0.02886469000004581</x:v>
      </x:c>
      <x:c r="Q61" s="25" t="n">
        <x:v>0.5680316399996965</x:v>
      </x:c>
      <x:c r="R61" s="25" t="n">
        <x:v>4.098428850000346</x:v>
      </x:c>
      <x:c r="S61" s="25" t="n">
        <x:v>4.098428850000346</x:v>
      </x:c>
      <x:c r="T61" s="25" t="n">
        <x:v>35.83014549999098</x:v>
      </x:c>
      <x:c r="U61" s="25" t="n">
        <x:v>38.575658900033886</x:v>
      </x:c>
      <x:c r="V61" s="25" t="n">
        <x:v>1.941371143008876</x:v>
      </x:c>
      <x:c r="W61" s="19" t="str">
        <x:v>FULL</x:v>
      </x:c>
      <x:c r="X61" s="26" t="n">
        <x:f>IF(AND(J49&gt;0,E61=E49),1-J61/J49,"")</x:f>
        <x:v>0.8237577639751552</x:v>
      </x:c>
      <x:c r="Y61" s="26" t="n">
        <x:f>IF(AND(K49&gt;0,E61=E49),1-K61/K49,"")</x:f>
        <x:v>0.25205368979086606</x:v>
      </x:c>
      <x:c r="Z61" s="26" t="n">
        <x:f>IF(AND(ISNUMBER(P49),P49&gt;0,E61=E49),1-P61/P49,"")</x:f>
        <x:v>0.10077642783946084</x:v>
      </x:c>
      <x:c r="AA61" s="26" t="n">
        <x:f>IF(AND(ISNUMBER(R61),ISNUMBER(R49),R49&gt;0,E61=E49),1-R61/R49,"")</x:f>
        <x:v>0.036988586477851304</x:v>
      </x:c>
      <x:c r="AB61" s="26" t="n">
        <x:v>0.05218332517639517</x:v>
      </x:c>
      <x:c r="AC61" s="19" t="str">
        <x:v>D:/Codex/GRL研究/outputs/grid81/per_date.csv</x:v>
      </x:c>
    </x:row>
    <x:row r="62" ht="36" customHeight="1">
      <x:c r="A62" s="19" t="str">
        <x:v>GRID81</x:v>
      </x:c>
      <x:c r="B62" s="19" t="str">
        <x:v>2036-07-07_9</x:v>
      </x:c>
      <x:c r="C62" s="19" t="str">
        <x:v>RANDOM_GATE1</x:v>
      </x:c>
      <x:c r="D62" s="21" t="n">
        <x:v>2</x:v>
      </x:c>
      <x:c r="E62" s="21" t="n">
        <x:v>2017</x:v>
      </x:c>
      <x:c r="F62" s="21" t="n">
        <x:v>1</x:v>
      </x:c>
      <x:c r="G62" s="21" t="n">
        <x:v>1</x:v>
      </x:c>
      <x:c r="H62" s="22" t="n">
        <x:v>1391348.7835388184</x:v>
      </x:c>
      <x:c r="I62" s="23" t="n">
        <x:v>-0.010880517894231834</x:v>
      </x:c>
      <x:c r="J62" s="24" t="n">
        <x:v>3470</x:v>
      </x:c>
      <x:c r="K62" s="25" t="n">
        <x:v>45.83694129995911</x:v>
      </x:c>
      <x:c r="L62" s="25" t="n">
        <x:v>16.31713050000417</x:v>
      </x:c>
      <x:c r="M62" s="25" t="n">
        <x:v>24.1821640499993</x:v>
      </x:c>
      <x:c r="N62" s="25" t="n">
        <x:v>1.211464000036358</x:v>
      </x:c>
      <x:c r="O62" s="25" t="n">
        <x:v>4.1261827499192805</x:v>
      </x:c>
      <x:c r="P62" s="25" t="n">
        <x:v>0.03452777999937096</x:v>
      </x:c>
      <x:c r="Q62" s="25" t="n">
        <x:v>0.709904821999553</x:v>
      </x:c>
      <x:c r="R62" s="25" t="n">
        <x:v>3.3973022875000405</x:v>
      </x:c>
      <x:c r="S62" s="25" t="n">
        <x:v>4.033203497499254</x:v>
      </x:c>
      <x:c r="T62" s="25" t="n">
        <x:v>43.51591249994817</x:v>
      </x:c>
      <x:c r="U62" s="25" t="n">
        <x:v>48.15797009997004</x:v>
      </x:c>
      <x:c r="V62" s="25" t="n">
        <x:v>3.2824304076340156</x:v>
      </x:c>
      <x:c r="W62" s="19" t="str">
        <x:v>FULL</x:v>
      </x:c>
      <x:c r="X62" s="26" t="n">
        <x:f>IF(AND(J50&gt;0,E62=E50),1-J62/J50,"")</x:f>
        <x:v>0.6153846153846154</x:v>
      </x:c>
      <x:c r="Y62" s="26" t="n">
        <x:f>IF(AND(K50&gt;0,E62=E50),1-K62/K50,"")</x:f>
        <x:v>0.2778008837486018</x:v>
      </x:c>
      <x:c r="Z62" s="26" t="n">
        <x:f>IF(AND(ISNUMBER(P50),P50&gt;0,E62=E50),1-P62/P50,"")</x:f>
        <x:v>-0.08638290519251357</x:v>
      </x:c>
      <x:c r="AA62" s="26" t="n">
        <x:f>IF(AND(ISNUMBER(R62),ISNUMBER(R50),R50&gt;0,E62=E50),1-R62/R50,"")</x:f>
        <x:v>0.30924930247608806</x:v>
      </x:c>
      <x:c r="AB62" s="26" t="n">
        <x:v>0.07161102627144417</x:v>
      </x:c>
      <x:c r="AC62" s="19" t="str">
        <x:v>D:/Codex/GRL研究/outputs/grid81/per_date.csv</x:v>
      </x:c>
    </x:row>
    <x:row r="63" ht="36" customHeight="1">
      <x:c r="A63" s="19" t="str">
        <x:v>GRID81</x:v>
      </x:c>
      <x:c r="B63" s="19" t="str">
        <x:v>2036-09-01_9</x:v>
      </x:c>
      <x:c r="C63" s="19" t="str">
        <x:v>RANDOM_GATE1</x:v>
      </x:c>
      <x:c r="D63" s="21" t="n">
        <x:v>2</x:v>
      </x:c>
      <x:c r="E63" s="21" t="n">
        <x:v>2017</x:v>
      </x:c>
      <x:c r="F63" s="21" t="n">
        <x:v>1</x:v>
      </x:c>
      <x:c r="G63" s="21" t="n">
        <x:v>1</x:v>
      </x:c>
      <x:c r="H63" s="22" t="n">
        <x:v>1392633.7291259766</x:v>
      </x:c>
      <x:c r="I63" s="23" t="n">
        <x:v>-0.00023424970504537512</x:v>
      </x:c>
      <x:c r="J63" s="24" t="n">
        <x:v>933</x:v>
      </x:c>
      <x:c r="K63" s="25" t="n">
        <x:v>38.721766250001565</x:v>
      </x:c>
      <x:c r="L63" s="25" t="n">
        <x:v>9.211061449981571</x:v>
      </x:c>
      <x:c r="M63" s="25" t="n">
        <x:v>24.8069379000126</x:v>
      </x:c>
      <x:c r="N63" s="25" t="n">
        <x:v>0.3982104500164496</x:v>
      </x:c>
      <x:c r="O63" s="25" t="n">
        <x:v>4.305556449990945</x:v>
      </x:c>
      <x:c r="P63" s="25" t="n">
        <x:v>0.02832567000059498</x:v>
      </x:c>
      <x:c r="Q63" s="25" t="n">
        <x:v>0.675300756000397</x:v>
      </x:c>
      <x:c r="R63" s="25" t="n">
        <x:v>1.1397772549998535</x:v>
      </x:c>
      <x:c r="S63" s="25" t="n">
        <x:v>1.1720971310000003</x:v>
      </x:c>
      <x:c r="T63" s="25" t="n">
        <x:v>38.515030600046885</x:v>
      </x:c>
      <x:c r="U63" s="25" t="n">
        <x:v>38.928501899956245</x:v>
      </x:c>
      <x:c r="V63" s="25" t="n">
        <x:v>0.2923683599919258</x:v>
      </x:c>
      <x:c r="W63" s="19" t="str">
        <x:v>FULL</x:v>
      </x:c>
      <x:c r="X63" s="26" t="n">
        <x:f>IF(AND(J51&gt;0,E63=E51),1-J63/J51,"")</x:f>
        <x:v>0.7395309882747069</x:v>
      </x:c>
      <x:c r="Y63" s="26" t="n">
        <x:f>IF(AND(K51&gt;0,E63=E51),1-K63/K51,"")</x:f>
        <x:v>0.1312731807049371</x:v>
      </x:c>
      <x:c r="Z63" s="26" t="n">
        <x:f>IF(AND(ISNUMBER(P51),P51&gt;0,E63=E51),1-P63/P51,"")</x:f>
        <x:v>-0.006528332302038864</x:v>
      </x:c>
      <x:c r="AA63" s="26" t="n">
        <x:f>IF(AND(ISNUMBER(R63),ISNUMBER(R51),R51&gt;0,E63=E51),1-R63/R51,"")</x:f>
        <x:v>0.5849111522748769</x:v>
      </x:c>
      <x:c r="AB63" s="26" t="n">
        <x:v>0.007550491320677139</x:v>
      </x:c>
      <x:c r="AC63" s="19" t="str">
        <x:v>D:/Codex/GRL研究/outputs/grid81/per_date.csv</x:v>
      </x:c>
    </x:row>
    <x:row r="64" ht="36" customHeight="1">
      <x:c r="A64" s="19" t="str">
        <x:v>GRID81</x:v>
      </x:c>
      <x:c r="B64" s="19" t="str">
        <x:v>2036-11-03_9</x:v>
      </x:c>
      <x:c r="C64" s="19" t="str">
        <x:v>RANDOM_GATE1</x:v>
      </x:c>
      <x:c r="D64" s="21" t="n">
        <x:v>2</x:v>
      </x:c>
      <x:c r="E64" s="21" t="n">
        <x:v>519</x:v>
      </x:c>
      <x:c r="F64" s="21" t="n">
        <x:v>1</x:v>
      </x:c>
      <x:c r="G64" s="21" t="n">
        <x:v>0</x:v>
      </x:c>
      <x:c r="H64" s="22" t="n">
        <x:v>361332.79052734375</x:v>
      </x:c>
      <x:c r="I64" s="23"/>
      <x:c r="J64" s="24" t="n">
        <x:v>0</x:v>
      </x:c>
      <x:c r="K64" s="25" t="n">
        <x:v>14.877462300014486</x:v>
      </x:c>
      <x:c r="L64" s="25" t="n">
        <x:v>1.9171407499979978</x:v>
      </x:c>
      <x:c r="M64" s="25" t="n">
        <x:v>12.03073974999461</x:v>
      </x:c>
      <x:c r="N64" s="25" t="n">
        <x:v>0</x:v>
      </x:c>
      <x:c r="O64" s="25" t="n">
        <x:v>0.9295818000218787</x:v>
      </x:c>
      <x:c r="P64" s="25" t="n">
        <x:v>0.02878760500016139</x:v>
      </x:c>
      <x:c r="Q64" s="25" t="n">
        <x:v>0.8080634420002073</x:v>
      </x:c>
      <x:c r="R64" s="25"/>
      <x:c r="S64" s="25"/>
      <x:c r="T64" s="25" t="n">
        <x:v>14.79854610001712</x:v>
      </x:c>
      <x:c r="U64" s="25" t="n">
        <x:v>14.956378500011851</x:v>
      </x:c>
      <x:c r="V64" s="25" t="n">
        <x:v>0.11160436032722228</x:v>
      </x:c>
      <x:c r="W64" s="19" t="str">
        <x:v>FULL</x:v>
      </x:c>
      <x:c r="X64" s="26" t="str">
        <x:f>IF(AND(J52&gt;0,E64=E52),1-J64/J52,"")</x:f>
      </x:c>
      <x:c r="Y64" s="26" t="n">
        <x:f>IF(AND(K52&gt;0,E64=E52),1-K64/K52,"")</x:f>
        <x:v>-0.020365564079650733</x:v>
      </x:c>
      <x:c r="Z64" s="26" t="n">
        <x:f>IF(AND(ISNUMBER(P52),P52&gt;0,E64=E52),1-P64/P52,"")</x:f>
        <x:v>-0.036563414599452004</x:v>
      </x:c>
      <x:c r="AA64" s="26" t="str">
        <x:f>IF(AND(ISNUMBER(R64),ISNUMBER(R52),R52&gt;0,E64=E52),1-R64/R52,"")</x:f>
      </x:c>
      <x:c r="AB64" s="26" t="n">
        <x:v>0.00750157238355856</x:v>
      </x:c>
      <x:c r="AC64" s="19" t="str">
        <x:v>D:/Codex/GRL研究/outputs/grid81/per_date.csv</x:v>
      </x:c>
    </x:row>
    <x:row r="65" ht="36" customHeight="1">
      <x:c r="A65" s="19" t="str">
        <x:v>GRID82</x:v>
      </x:c>
      <x:c r="B65" s="19" t="str">
        <x:v>2036-01-07_9</x:v>
      </x:c>
      <x:c r="C65" s="19" t="str">
        <x:v>FRAME_GUARD</x:v>
      </x:c>
      <x:c r="D65" s="21" t="n">
        <x:v>2</x:v>
      </x:c>
      <x:c r="E65" s="21" t="n">
        <x:v>2017</x:v>
      </x:c>
      <x:c r="F65" s="21" t="n">
        <x:v>1</x:v>
      </x:c>
      <x:c r="G65" s="21" t="n">
        <x:v>1</x:v>
      </x:c>
      <x:c r="H65" s="22" t="n">
        <x:v>2412707.07421875</x:v>
      </x:c>
      <x:c r="I65" s="23" t="n">
        <x:v>0.0008663102138171119</x:v>
      </x:c>
      <x:c r="J65" s="24" t="n">
        <x:v>1432</x:v>
      </x:c>
      <x:c r="K65" s="25" t="n">
        <x:v>81.07181095000487</x:v>
      </x:c>
      <x:c r="L65" s="25" t="n">
        <x:v>14.925426900141247</x:v>
      </x:c>
      <x:c r="M65" s="25" t="n">
        <x:v>61.05694419999054</x:v>
      </x:c>
      <x:c r="N65" s="25" t="n">
        <x:v>0.5116299000001163</x:v>
      </x:c>
      <x:c r="O65" s="25" t="n">
        <x:v>4.577809949872972</x:v>
      </x:c>
      <x:c r="P65" s="25" t="n">
        <x:v>0.03392049000030964</x:v>
      </x:c>
      <x:c r="Q65" s="25" t="n">
        <x:v>0.9553826799998801</x:v>
      </x:c>
      <x:c r="R65" s="25" t="n">
        <x:v>3.132250470000144</x:v>
      </x:c>
      <x:c r="S65" s="25"/>
      <x:c r="T65" s="25" t="n">
        <x:v>80.5870245000151</x:v>
      </x:c>
      <x:c r="U65" s="25" t="n">
        <x:v>81.55659739999464</x:v>
      </x:c>
      <x:c r="V65" s="25" t="n">
        <x:v>0.6855915724302384</x:v>
      </x:c>
      <x:c r="W65" s="19" t="str">
        <x:v>FRAME_GUARD</x:v>
      </x:c>
      <x:c r="X65" s="26" t="n">
        <x:f>IF(AND(J65&gt;0,E65=E65),1-J65/J65,"")</x:f>
        <x:v>0</x:v>
      </x:c>
      <x:c r="Y65" s="26" t="n">
        <x:f>IF(AND(K65&gt;0,E65=E65),1-K65/K65,"")</x:f>
        <x:v>0</x:v>
      </x:c>
      <x:c r="Z65" s="26" t="n">
        <x:f>IF(AND(ISNUMBER(P65),P65&gt;0,E65=E65),1-P65/P65,"")</x:f>
        <x:v>0</x:v>
      </x:c>
      <x:c r="AA65" s="26" t="n">
        <x:f>IF(AND(ISNUMBER(R65),ISNUMBER(R65),R65&gt;0,E65=E65),1-R65/R65,"")</x:f>
        <x:v>0</x:v>
      </x:c>
      <x:c r="AB65" s="26" t="n">
        <x:v>0.008456596249626483</x:v>
      </x:c>
      <x:c r="AC65" s="19" t="str">
        <x:v>D:/Codex/GRL研究/outputs/grid82/per_date.csv</x:v>
      </x:c>
    </x:row>
    <x:row r="66" ht="36" customHeight="1">
      <x:c r="A66" s="19" t="str">
        <x:v>GRID82</x:v>
      </x:c>
      <x:c r="B66" s="19" t="str">
        <x:v>2036-03-03_9</x:v>
      </x:c>
      <x:c r="C66" s="19" t="str">
        <x:v>FRAME_GUARD</x:v>
      </x:c>
      <x:c r="D66" s="21" t="n">
        <x:v>2</x:v>
      </x:c>
      <x:c r="E66" s="21" t="n">
        <x:v>1720</x:v>
      </x:c>
      <x:c r="F66" s="21" t="n">
        <x:v>1</x:v>
      </x:c>
      <x:c r="G66" s="21" t="n">
        <x:v>0</x:v>
      </x:c>
      <x:c r="H66" s="22" t="n">
        <x:v>2300386.2553100586</x:v>
      </x:c>
      <x:c r="I66" s="23"/>
      <x:c r="J66" s="24" t="n">
        <x:v>5109</x:v>
      </x:c>
      <x:c r="K66" s="25" t="n">
        <x:v>68.84086304999437</x:v>
      </x:c>
      <x:c r="L66" s="25" t="n">
        <x:v>23.431758399980026</x:v>
      </x:c>
      <x:c r="M66" s="25" t="n">
        <x:v>39.635861800037674</x:v>
      </x:c>
      <x:c r="N66" s="25" t="n">
        <x:v>1.4047480999342952</x:v>
      </x:c>
      <x:c r="O66" s="25" t="n">
        <x:v>4.368494750042373</x:v>
      </x:c>
      <x:c r="P66" s="25" t="n">
        <x:v>0.03460939000015059</x:v>
      </x:c>
      <x:c r="Q66" s="25" t="n">
        <x:v>0.8833586964995597</x:v>
      </x:c>
      <x:c r="R66" s="25" t="n">
        <x:v>3.9623834674997838</x:v>
      </x:c>
      <x:c r="S66" s="25"/>
      <x:c r="T66" s="25" t="n">
        <x:v>68.83146049990319</x:v>
      </x:c>
      <x:c r="U66" s="25" t="n">
        <x:v>68.85026560008555</x:v>
      </x:c>
      <x:c r="V66" s="25" t="n">
        <x:v>0.01329721385984081</x:v>
      </x:c>
      <x:c r="W66" s="19" t="str">
        <x:v>FRAME_GUARD</x:v>
      </x:c>
      <x:c r="X66" s="26" t="n">
        <x:f>IF(AND(J66&gt;0,E66=E66),1-J66/J66,"")</x:f>
        <x:v>0</x:v>
      </x:c>
      <x:c r="Y66" s="26" t="n">
        <x:f>IF(AND(K66&gt;0,E66=E66),1-K66/K66,"")</x:f>
        <x:v>0</x:v>
      </x:c>
      <x:c r="Z66" s="26" t="n">
        <x:f>IF(AND(ISNUMBER(P66),P66&gt;0,E66=E66),1-P66/P66,"")</x:f>
        <x:v>0</x:v>
      </x:c>
      <x:c r="AA66" s="26" t="n">
        <x:f>IF(AND(ISNUMBER(R66),ISNUMBER(R66),R66&gt;0,E66=E66),1-R66/R66,"")</x:f>
        <x:v>0</x:v>
      </x:c>
      <x:c r="AB66" s="26" t="n">
        <x:v>0.0001931587326292519</x:v>
      </x:c>
      <x:c r="AC66" s="19" t="str">
        <x:v>D:/Codex/GRL研究/outputs/grid82/per_date.csv</x:v>
      </x:c>
    </x:row>
    <x:row r="67" ht="36" customHeight="1">
      <x:c r="A67" s="19" t="str">
        <x:v>GRID82</x:v>
      </x:c>
      <x:c r="B67" s="19" t="str">
        <x:v>2036-05-05_9</x:v>
      </x:c>
      <x:c r="C67" s="19" t="str">
        <x:v>FRAME_GUARD</x:v>
      </x:c>
      <x:c r="D67" s="21" t="n">
        <x:v>2</x:v>
      </x:c>
      <x:c r="E67" s="21" t="n">
        <x:v>2017</x:v>
      </x:c>
      <x:c r="F67" s="21" t="n">
        <x:v>1</x:v>
      </x:c>
      <x:c r="G67" s="21" t="n">
        <x:v>1</x:v>
      </x:c>
      <x:c r="H67" s="22" t="n">
        <x:v>1732291.8922729492</x:v>
      </x:c>
      <x:c r="I67" s="23" t="n">
        <x:v>-0.02651757674074451</x:v>
      </x:c>
      <x:c r="J67" s="24" t="n">
        <x:v>454</x:v>
      </x:c>
      <x:c r="K67" s="25" t="n">
        <x:v>35.70475545003319</x:v>
      </x:c>
      <x:c r="L67" s="25" t="n">
        <x:v>7.77846650002175</x:v>
      </x:c>
      <x:c r="M67" s="25" t="n">
        <x:v>23.718023099994753</x:v>
      </x:c>
      <x:c r="N67" s="25" t="n">
        <x:v>0.1023425499934092</x:v>
      </x:c>
      <x:c r="O67" s="25" t="n">
        <x:v>4.105923300023278</x:v>
      </x:c>
      <x:c r="P67" s="25" t="n">
        <x:v>0.028029039998364168</x:v>
      </x:c>
      <x:c r="Q67" s="25" t="n">
        <x:v>0.55352827200191</x:v>
      </x:c>
      <x:c r="R67" s="25" t="n">
        <x:v>4.005598300000202</x:v>
      </x:c>
      <x:c r="S67" s="25"/>
      <x:c r="T67" s="25" t="n">
        <x:v>35.703929400031484</x:v>
      </x:c>
      <x:c r="U67" s="25" t="n">
        <x:v>35.705581500034896</x:v>
      </x:c>
      <x:c r="V67" s="25" t="n">
        <x:v>0.0011682111156107742</x:v>
      </x:c>
      <x:c r="W67" s="19" t="str">
        <x:v>FRAME_GUARD</x:v>
      </x:c>
      <x:c r="X67" s="26" t="n">
        <x:f>IF(AND(J67&gt;0,E67=E67),1-J67/J67,"")</x:f>
        <x:v>0</x:v>
      </x:c>
      <x:c r="Y67" s="26" t="n">
        <x:f>IF(AND(K67&gt;0,E67=E67),1-K67/K67,"")</x:f>
        <x:v>0</x:v>
      </x:c>
      <x:c r="Z67" s="26" t="n">
        <x:f>IF(AND(ISNUMBER(P67),P67&gt;0,E67=E67),1-P67/P67,"")</x:f>
        <x:v>0</x:v>
      </x:c>
      <x:c r="AA67" s="26" t="n">
        <x:f>IF(AND(ISNUMBER(R67),ISNUMBER(R67),R67&gt;0,E67=E67),1-R67/R67,"")</x:f>
        <x:v>0</x:v>
      </x:c>
      <x:c r="AB67" s="26" t="n">
        <x:v>0.00003271864212165296</x:v>
      </x:c>
      <x:c r="AC67" s="19" t="str">
        <x:v>D:/Codex/GRL研究/outputs/grid82/per_date.csv</x:v>
      </x:c>
    </x:row>
    <x:row r="68" ht="36" customHeight="1">
      <x:c r="A68" s="19" t="str">
        <x:v>GRID82</x:v>
      </x:c>
      <x:c r="B68" s="19" t="str">
        <x:v>2036-07-07_9</x:v>
      </x:c>
      <x:c r="C68" s="19" t="str">
        <x:v>FRAME_GUARD</x:v>
      </x:c>
      <x:c r="D68" s="21" t="n">
        <x:v>2</x:v>
      </x:c>
      <x:c r="E68" s="21" t="n">
        <x:v>2017</x:v>
      </x:c>
      <x:c r="F68" s="21" t="n">
        <x:v>1</x:v>
      </x:c>
      <x:c r="G68" s="21" t="n">
        <x:v>1</x:v>
      </x:c>
      <x:c r="H68" s="22" t="n">
        <x:v>1391348.7835388184</x:v>
      </x:c>
      <x:c r="I68" s="23" t="n">
        <x:v>-0.010880517894231834</x:v>
      </x:c>
      <x:c r="J68" s="24" t="n">
        <x:v>3470</x:v>
      </x:c>
      <x:c r="K68" s="25" t="n">
        <x:v>43.590107549991444</x:v>
      </x:c>
      <x:c r="L68" s="25" t="n">
        <x:v>15.517687350022243</x:v>
      </x:c>
      <x:c r="M68" s="25" t="n">
        <x:v>23.003189200002453</x:v>
      </x:c>
      <x:c r="N68" s="25" t="n">
        <x:v>1.1595123000133754</x:v>
      </x:c>
      <x:c r="O68" s="25" t="n">
        <x:v>3.9097186999533733</x:v>
      </x:c>
      <x:c r="P68" s="25" t="n">
        <x:v>0.03354880000042612</x:v>
      </x:c>
      <x:c r="Q68" s="25" t="n">
        <x:v>0.6886221099986869</x:v>
      </x:c>
      <x:c r="R68" s="25" t="n">
        <x:v>3.0913505799998333</x:v>
      </x:c>
      <x:c r="S68" s="25"/>
      <x:c r="T68" s="25" t="n">
        <x:v>43.31899259988859</x:v>
      </x:c>
      <x:c r="U68" s="25" t="n">
        <x:v>43.8612225000943</x:v>
      </x:c>
      <x:c r="V68" s="25" t="n">
        <x:v>0.3834144393975636</x:v>
      </x:c>
      <x:c r="W68" s="19" t="str">
        <x:v>FRAME_GUARD</x:v>
      </x:c>
      <x:c r="X68" s="26" t="n">
        <x:f>IF(AND(J68&gt;0,E68=E68),1-J68/J68,"")</x:f>
        <x:v>0</x:v>
      </x:c>
      <x:c r="Y68" s="26" t="n">
        <x:f>IF(AND(K68&gt;0,E68=E68),1-K68/K68,"")</x:f>
        <x:v>0</x:v>
      </x:c>
      <x:c r="Z68" s="26" t="n">
        <x:f>IF(AND(ISNUMBER(P68),P68&gt;0,E68=E68),1-P68/P68,"")</x:f>
        <x:v>0</x:v>
      </x:c>
      <x:c r="AA68" s="26" t="n">
        <x:f>IF(AND(ISNUMBER(R68),ISNUMBER(R68),R68&gt;0,E68=E68),1-R68/R68,"")</x:f>
        <x:v>0</x:v>
      </x:c>
      <x:c r="AB68" s="26" t="n">
        <x:v>0.008795904872632938</x:v>
      </x:c>
      <x:c r="AC68" s="19" t="str">
        <x:v>D:/Codex/GRL研究/outputs/grid82/per_date.csv</x:v>
      </x:c>
    </x:row>
    <x:row r="69" ht="36" customHeight="1">
      <x:c r="A69" s="19" t="str">
        <x:v>GRID82</x:v>
      </x:c>
      <x:c r="B69" s="19" t="str">
        <x:v>2036-09-01_9</x:v>
      </x:c>
      <x:c r="C69" s="19" t="str">
        <x:v>FRAME_GUARD</x:v>
      </x:c>
      <x:c r="D69" s="21" t="n">
        <x:v>2</x:v>
      </x:c>
      <x:c r="E69" s="21" t="n">
        <x:v>2017</x:v>
      </x:c>
      <x:c r="F69" s="21" t="n">
        <x:v>1</x:v>
      </x:c>
      <x:c r="G69" s="21" t="n">
        <x:v>1</x:v>
      </x:c>
      <x:c r="H69" s="22" t="n">
        <x:v>1392633.7291259766</x:v>
      </x:c>
      <x:c r="I69" s="23" t="n">
        <x:v>-0.00023424970504537512</x:v>
      </x:c>
      <x:c r="J69" s="24" t="n">
        <x:v>1061</x:v>
      </x:c>
      <x:c r="K69" s="25" t="n">
        <x:v>38.38039425010538</x:v>
      </x:c>
      <x:c r="L69" s="25" t="n">
        <x:v>9.670458150067134</x:v>
      </x:c>
      <x:c r="M69" s="25" t="n">
        <x:v>24.040477050020854</x:v>
      </x:c>
      <x:c r="N69" s="25" t="n">
        <x:v>0.3977291999999579</x:v>
      </x:c>
      <x:c r="O69" s="25" t="n">
        <x:v>4.2717298500174365</x:v>
      </x:c>
      <x:c r="P69" s="25" t="n">
        <x:v>0.02792239999944285</x:v>
      </x:c>
      <x:c r="Q69" s="25" t="n">
        <x:v>0.6665195499998662</x:v>
      </x:c>
      <x:c r="R69" s="25" t="n">
        <x:v>1.0040498000007574</x:v>
      </x:c>
      <x:c r="S69" s="25"/>
      <x:c r="T69" s="25" t="n">
        <x:v>38.26101590012331</x:v>
      </x:c>
      <x:c r="U69" s="25" t="n">
        <x:v>38.499772600087454</x:v>
      </x:c>
      <x:c r="V69" s="25" t="n">
        <x:v>0.16882648159836686</x:v>
      </x:c>
      <x:c r="W69" s="19" t="str">
        <x:v>FRAME_GUARD</x:v>
      </x:c>
      <x:c r="X69" s="26" t="n">
        <x:f>IF(AND(J69&gt;0,E69=E69),1-J69/J69,"")</x:f>
        <x:v>0</x:v>
      </x:c>
      <x:c r="Y69" s="26" t="n">
        <x:f>IF(AND(K69&gt;0,E69=E69),1-K69/K69,"")</x:f>
        <x:v>0</x:v>
      </x:c>
      <x:c r="Z69" s="26" t="n">
        <x:f>IF(AND(ISNUMBER(P69),P69&gt;0,E69=E69),1-P69/P69,"")</x:f>
        <x:v>0</x:v>
      </x:c>
      <x:c r="AA69" s="26" t="n">
        <x:f>IF(AND(ISNUMBER(R69),ISNUMBER(R69),R69&gt;0,E69=E69),1-R69/R69,"")</x:f>
        <x:v>0</x:v>
      </x:c>
      <x:c r="AB69" s="26" t="n">
        <x:v>0.004398768821868038</x:v>
      </x:c>
      <x:c r="AC69" s="19" t="str">
        <x:v>D:/Codex/GRL研究/outputs/grid82/per_date.csv</x:v>
      </x:c>
    </x:row>
    <x:row r="70" ht="36" customHeight="1">
      <x:c r="A70" s="19" t="str">
        <x:v>GRID82</x:v>
      </x:c>
      <x:c r="B70" s="19" t="str">
        <x:v>2036-11-03_9</x:v>
      </x:c>
      <x:c r="C70" s="19" t="str">
        <x:v>FRAME_GUARD</x:v>
      </x:c>
      <x:c r="D70" s="21" t="n">
        <x:v>2</x:v>
      </x:c>
      <x:c r="E70" s="21" t="n">
        <x:v>519</x:v>
      </x:c>
      <x:c r="F70" s="21" t="n">
        <x:v>1</x:v>
      </x:c>
      <x:c r="G70" s="21" t="n">
        <x:v>0</x:v>
      </x:c>
      <x:c r="H70" s="22" t="n">
        <x:v>361332.79052734375</x:v>
      </x:c>
      <x:c r="I70" s="23"/>
      <x:c r="J70" s="24" t="n">
        <x:v>0</x:v>
      </x:c>
      <x:c r="K70" s="25" t="n">
        <x:v>14.610257949994775</x:v>
      </x:c>
      <x:c r="L70" s="25" t="n">
        <x:v>1.8604625500065595</x:v>
      </x:c>
      <x:c r="M70" s="25" t="n">
        <x:v>11.852524100004302</x:v>
      </x:c>
      <x:c r="N70" s="25" t="n">
        <x:v>0</x:v>
      </x:c>
      <x:c r="O70" s="25" t="n">
        <x:v>0.8972712999839132</x:v>
      </x:c>
      <x:c r="P70" s="25" t="n">
        <x:v>0.027569899999070894</x:v>
      </x:c>
      <x:c r="Q70" s="25" t="n">
        <x:v>0.7938630589989818</x:v>
      </x:c>
      <x:c r="R70" s="25"/>
      <x:c r="S70" s="25"/>
      <x:c r="T70" s="25" t="n">
        <x:v>14.558713100002933</x:v>
      </x:c>
      <x:c r="U70" s="25" t="n">
        <x:v>14.661802799986617</x:v>
      </x:c>
      <x:c r="V70" s="25" t="n">
        <x:v>0.07289542592894975</x:v>
      </x:c>
      <x:c r="W70" s="19" t="str">
        <x:v>FRAME_GUARD</x:v>
      </x:c>
      <x:c r="X70" s="26" t="str">
        <x:f>IF(AND(J70&gt;0,E70=E70),1-J70/J70,"")</x:f>
      </x:c>
      <x:c r="Y70" s="26" t="n">
        <x:f>IF(AND(K70&gt;0,E70=E70),1-K70/K70,"")</x:f>
        <x:v>0</x:v>
      </x:c>
      <x:c r="Z70" s="26" t="n">
        <x:f>IF(AND(ISNUMBER(P70),P70&gt;0,E70=E70),1-P70/P70,"")</x:f>
        <x:v>0</x:v>
      </x:c>
      <x:c r="AA70" s="26" t="str">
        <x:f>IF(AND(ISNUMBER(R70),ISNUMBER(R70),R70&gt;0,E70=E70),1-R70/R70,"")</x:f>
      </x:c>
      <x:c r="AB70" s="26" t="n">
        <x:v>0.004989331891226179</x:v>
      </x:c>
      <x:c r="AC70" s="19" t="str">
        <x:v>D:/Codex/GRL研究/outputs/grid82/per_date.csv</x:v>
      </x:c>
    </x:row>
    <x:row r="71" ht="36" customHeight="1">
      <x:c r="A71" s="19" t="str">
        <x:v>GRID82</x:v>
      </x:c>
      <x:c r="B71" s="19" t="str">
        <x:v>2036-01-07_9</x:v>
      </x:c>
      <x:c r="C71" s="19" t="str">
        <x:v>META_CONTEXT0</x:v>
      </x:c>
      <x:c r="D71" s="21" t="n">
        <x:v>2</x:v>
      </x:c>
      <x:c r="E71" s="21" t="n">
        <x:v>2017</x:v>
      </x:c>
      <x:c r="F71" s="21" t="n">
        <x:v>1</x:v>
      </x:c>
      <x:c r="G71" s="21" t="n">
        <x:v>1</x:v>
      </x:c>
      <x:c r="H71" s="22" t="n">
        <x:v>2412707.07421875</x:v>
      </x:c>
      <x:c r="I71" s="23" t="n">
        <x:v>0.0008663102138171119</x:v>
      </x:c>
      <x:c r="J71" s="24" t="n">
        <x:v>2624</x:v>
      </x:c>
      <x:c r="K71" s="25" t="n">
        <x:v>83.34943675001887</x:v>
      </x:c>
      <x:c r="L71" s="25" t="n">
        <x:v>17.145416449995537</x:v>
      </x:c>
      <x:c r="M71" s="25" t="n">
        <x:v>61.03767229998448</x:v>
      </x:c>
      <x:c r="N71" s="25" t="n">
        <x:v>0.560868200056575</x:v>
      </x:c>
      <x:c r="O71" s="25" t="n">
        <x:v>4.605479799982277</x:v>
      </x:c>
      <x:c r="P71" s="25" t="n">
        <x:v>0.032220539999616396</x:v>
      </x:c>
      <x:c r="Q71" s="25" t="n">
        <x:v>0.9611333319991473</x:v>
      </x:c>
      <x:c r="R71" s="25" t="n">
        <x:v>4.467557609999494</x:v>
      </x:c>
      <x:c r="S71" s="25"/>
      <x:c r="T71" s="25" t="n">
        <x:v>83.28860060007355</x:v>
      </x:c>
      <x:c r="U71" s="25" t="n">
        <x:v>83.41027289996418</x:v>
      </x:c>
      <x:c r="V71" s="25" t="n">
        <x:v>0.08603530833523013</x:v>
      </x:c>
      <x:c r="W71" s="19" t="str">
        <x:v>FRAME_GUARD</x:v>
      </x:c>
      <x:c r="X71" s="26" t="n">
        <x:f>IF(AND(J65&gt;0,E71=E65),1-J71/J65,"")</x:f>
        <x:v>-0.8324022346368716</x:v>
      </x:c>
      <x:c r="Y71" s="26" t="n">
        <x:f>IF(AND(K65&gt;0,E71=E65),1-K71/K65,"")</x:f>
        <x:v>-0.028093930224631913</x:v>
      </x:c>
      <x:c r="Z71" s="26" t="n">
        <x:f>IF(AND(ISNUMBER(P65),P65&gt;0,E71=E65),1-P71/P65,"")</x:f>
        <x:v>0.05011572653218521</x:v>
      </x:c>
      <x:c r="AA71" s="26" t="n">
        <x:f>IF(AND(ISNUMBER(R71),ISNUMBER(R65),R65&gt;0,E71=E65),1-R71/R65,"")</x:f>
        <x:v>-0.4263091833774355</x:v>
      </x:c>
      <x:c r="AB71" s="26" t="n">
        <x:v>0.0010322242319797158</x:v>
      </x:c>
      <x:c r="AC71" s="19" t="str">
        <x:v>D:/Codex/GRL研究/outputs/grid82/per_date.csv</x:v>
      </x:c>
    </x:row>
    <x:row r="72" ht="36" customHeight="1">
      <x:c r="A72" s="19" t="str">
        <x:v>GRID82</x:v>
      </x:c>
      <x:c r="B72" s="19" t="str">
        <x:v>2036-03-03_9</x:v>
      </x:c>
      <x:c r="C72" s="19" t="str">
        <x:v>META_CONTEXT0</x:v>
      </x:c>
      <x:c r="D72" s="21" t="n">
        <x:v>2</x:v>
      </x:c>
      <x:c r="E72" s="21" t="n">
        <x:v>1720</x:v>
      </x:c>
      <x:c r="F72" s="21" t="n">
        <x:v>1</x:v>
      </x:c>
      <x:c r="G72" s="21" t="n">
        <x:v>0</x:v>
      </x:c>
      <x:c r="H72" s="22" t="n">
        <x:v>2292538.4912719727</x:v>
      </x:c>
      <x:c r="I72" s="23"/>
      <x:c r="J72" s="24" t="n">
        <x:v>5964</x:v>
      </x:c>
      <x:c r="K72" s="25" t="n">
        <x:v>69.32672540001113</x:v>
      </x:c>
      <x:c r="L72" s="25" t="n">
        <x:v>25.679353399851607</x:v>
      </x:c>
      <x:c r="M72" s="25" t="n">
        <x:v>37.87139380000008</x:v>
      </x:c>
      <x:c r="N72" s="25" t="n">
        <x:v>1.1944556499965984</x:v>
      </x:c>
      <x:c r="O72" s="25" t="n">
        <x:v>4.581522550162845</x:v>
      </x:c>
      <x:c r="P72" s="25" t="n">
        <x:v>0.03414228500205353</x:v>
      </x:c>
      <x:c r="Q72" s="25" t="n">
        <x:v>1.0945016570013069</x:v>
      </x:c>
      <x:c r="R72" s="25" t="n">
        <x:v>2.946850272501524</x:v>
      </x:c>
      <x:c r="S72" s="25"/>
      <x:c r="T72" s="25" t="n">
        <x:v>68.75301710000349</x:v>
      </x:c>
      <x:c r="U72" s="25" t="n">
        <x:v>69.90043370001877</x:v>
      </x:c>
      <x:c r="V72" s="25" t="n">
        <x:v>0.8113460587168143</x:v>
      </x:c>
      <x:c r="W72" s="19" t="str">
        <x:v>FRAME_GUARD</x:v>
      </x:c>
      <x:c r="X72" s="26" t="n">
        <x:f>IF(AND(J66&gt;0,E72=E66),1-J72/J66,"")</x:f>
        <x:v>-0.16735173223722843</x:v>
      </x:c>
      <x:c r="Y72" s="26" t="n">
        <x:f>IF(AND(K66&gt;0,E72=E66),1-K72/K66,"")</x:f>
        <x:v>-0.007057760877633212</x:v>
      </x:c>
      <x:c r="Z72" s="26" t="n">
        <x:f>IF(AND(ISNUMBER(P66),P66&gt;0,E72=E66),1-P72/P66,"")</x:f>
        <x:v>0.013496481680117078</x:v>
      </x:c>
      <x:c r="AA72" s="26" t="n">
        <x:f>IF(AND(ISNUMBER(R72),ISNUMBER(R66),R66&gt;0,E72=E66),1-R72/R66,"")</x:f>
        <x:v>0.2562935171034946</x:v>
      </x:c>
      <x:c r="AB72" s="26" t="n">
        <x:v>0.011703222011935445</x:v>
      </x:c>
      <x:c r="AC72" s="19" t="str">
        <x:v>D:/Codex/GRL研究/outputs/grid82/per_date.csv</x:v>
      </x:c>
    </x:row>
    <x:row r="73" ht="36" customHeight="1">
      <x:c r="A73" s="19" t="str">
        <x:v>GRID82</x:v>
      </x:c>
      <x:c r="B73" s="19" t="str">
        <x:v>2036-05-05_9</x:v>
      </x:c>
      <x:c r="C73" s="19" t="str">
        <x:v>META_CONTEXT0</x:v>
      </x:c>
      <x:c r="D73" s="21" t="n">
        <x:v>2</x:v>
      </x:c>
      <x:c r="E73" s="21" t="n">
        <x:v>2017</x:v>
      </x:c>
      <x:c r="F73" s="21" t="n">
        <x:v>1</x:v>
      </x:c>
      <x:c r="G73" s="21" t="n">
        <x:v>1</x:v>
      </x:c>
      <x:c r="H73" s="22" t="n">
        <x:v>1779479.3731079102</x:v>
      </x:c>
      <x:c r="I73" s="23" t="n">
        <x:v>0</x:v>
      </x:c>
      <x:c r="J73" s="24" t="n">
        <x:v>1536</x:v>
      </x:c>
      <x:c r="K73" s="25" t="n">
        <x:v>44.94109304999074</x:v>
      </x:c>
      <x:c r="L73" s="25" t="n">
        <x:v>9.841639200136342</x:v>
      </x:c>
      <x:c r="M73" s="25" t="n">
        <x:v>30.527738999990106</x:v>
      </x:c>
      <x:c r="N73" s="25" t="n">
        <x:v>0.3246071000012307</x:v>
      </x:c>
      <x:c r="O73" s="25" t="n">
        <x:v>4.247107749863062</x:v>
      </x:c>
      <x:c r="P73" s="25" t="n">
        <x:v>0.03126919999813253</x:v>
      </x:c>
      <x:c r="Q73" s="25" t="n">
        <x:v>0.6668376480008009</x:v>
      </x:c>
      <x:c r="R73" s="25" t="n">
        <x:v>3.4394624349997684</x:v>
      </x:c>
      <x:c r="S73" s="25"/>
      <x:c r="T73" s="25" t="n">
        <x:v>44.89333189998797</x:v>
      </x:c>
      <x:c r="U73" s="25" t="n">
        <x:v>44.98885419999351</x:v>
      </x:c>
      <x:c r="V73" s="25" t="n">
        <x:v>0.06754446608845395</x:v>
      </x:c>
      <x:c r="W73" s="19" t="str">
        <x:v>FRAME_GUARD</x:v>
      </x:c>
      <x:c r="X73" s="26" t="n">
        <x:f>IF(AND(J67&gt;0,E73=E67),1-J73/J67,"")</x:f>
        <x:v>-2.383259911894273</x:v>
      </x:c>
      <x:c r="Y73" s="26" t="n">
        <x:f>IF(AND(K67&gt;0,E73=E67),1-K73/K67,"")</x:f>
        <x:v>-0.2586864826138717</x:v>
      </x:c>
      <x:c r="Z73" s="26" t="n">
        <x:f>IF(AND(ISNUMBER(P67),P67&gt;0,E73=E67),1-P73/P67,"")</x:f>
        <x:v>-0.11560010617407768</x:v>
      </x:c>
      <x:c r="AA73" s="26" t="n">
        <x:f>IF(AND(ISNUMBER(R73),ISNUMBER(R67),R67&gt;0,E73=E67),1-R73/R67,"")</x:f>
        <x:v>0.14133615569998736</x:v>
      </x:c>
      <x:c r="AB73" s="26" t="n">
        <x:v>0.0015029555692675318</x:v>
      </x:c>
      <x:c r="AC73" s="19" t="str">
        <x:v>D:/Codex/GRL研究/outputs/grid82/per_date.csv</x:v>
      </x:c>
    </x:row>
    <x:row r="74" ht="36" customHeight="1">
      <x:c r="A74" s="19" t="str">
        <x:v>GRID82</x:v>
      </x:c>
      <x:c r="B74" s="19" t="str">
        <x:v>2036-07-07_9</x:v>
      </x:c>
      <x:c r="C74" s="19" t="str">
        <x:v>META_CONTEXT0</x:v>
      </x:c>
      <x:c r="D74" s="21" t="n">
        <x:v>2</x:v>
      </x:c>
      <x:c r="E74" s="21" t="n">
        <x:v>2017</x:v>
      </x:c>
      <x:c r="F74" s="21" t="n">
        <x:v>1</x:v>
      </x:c>
      <x:c r="G74" s="21" t="n">
        <x:v>1</x:v>
      </x:c>
      <x:c r="H74" s="22" t="n">
        <x:v>1411964.749206543</x:v>
      </x:c>
      <x:c r="I74" s="23" t="n">
        <x:v>0.0037755148170666164</x:v>
      </x:c>
      <x:c r="J74" s="24" t="n">
        <x:v>4685</x:v>
      </x:c>
      <x:c r="K74" s="25" t="n">
        <x:v>49.44673750006223</x:v>
      </x:c>
      <x:c r="L74" s="25" t="n">
        <x:v>19.48511695000707</x:v>
      </x:c>
      <x:c r="M74" s="25" t="n">
        <x:v>24.68912429998818</x:v>
      </x:c>
      <x:c r="N74" s="25" t="n">
        <x:v>1.227254100047503</x:v>
      </x:c>
      <x:c r="O74" s="25" t="n">
        <x:v>4.045242150019476</x:v>
      </x:c>
      <x:c r="P74" s="25" t="n">
        <x:v>0.03112729999993462</x:v>
      </x:c>
      <x:c r="Q74" s="25" t="n">
        <x:v>0.6740828319995489</x:v>
      </x:c>
      <x:c r="R74" s="25" t="n">
        <x:v>4.037063577500339</x:v>
      </x:c>
      <x:c r="S74" s="25"/>
      <x:c r="T74" s="25" t="n">
        <x:v>49.39018440006839</x:v>
      </x:c>
      <x:c r="U74" s="25" t="n">
        <x:v>49.50329060005606</x:v>
      </x:c>
      <x:c r="V74" s="25" t="n">
        <x:v>0.07997816100552271</x:v>
      </x:c>
      <x:c r="W74" s="19" t="str">
        <x:v>FRAME_GUARD</x:v>
      </x:c>
      <x:c r="X74" s="26" t="n">
        <x:f>IF(AND(J68&gt;0,E74=E68),1-J74/J68,"")</x:f>
        <x:v>-0.3501440922190202</x:v>
      </x:c>
      <x:c r="Y74" s="26" t="n">
        <x:f>IF(AND(K68&gt;0,E74=E68),1-K74/K68,"")</x:f>
        <x:v>-0.1343568593712252</x:v>
      </x:c>
      <x:c r="Z74" s="26" t="n">
        <x:f>IF(AND(ISNUMBER(P68),P68&gt;0,E74=E68),1-P74/P68,"")</x:f>
        <x:v>0.07217843858679729</x:v>
      </x:c>
      <x:c r="AA74" s="26" t="n">
        <x:f>IF(AND(ISNUMBER(R74),ISNUMBER(R68),R68&gt;0,E74=E68),1-R74/R68,"")</x:f>
        <x:v>-0.30592227346163914</x:v>
      </x:c>
      <x:c r="AB74" s="26" t="n">
        <x:v>0.0016174608285414597</x:v>
      </x:c>
      <x:c r="AC74" s="19" t="str">
        <x:v>D:/Codex/GRL研究/outputs/grid82/per_date.csv</x:v>
      </x:c>
    </x:row>
    <x:row r="75" ht="36" customHeight="1">
      <x:c r="A75" s="19" t="str">
        <x:v>GRID82</x:v>
      </x:c>
      <x:c r="B75" s="19" t="str">
        <x:v>2036-09-01_9</x:v>
      </x:c>
      <x:c r="C75" s="19" t="str">
        <x:v>META_CONTEXT0</x:v>
      </x:c>
      <x:c r="D75" s="21" t="n">
        <x:v>2</x:v>
      </x:c>
      <x:c r="E75" s="21" t="n">
        <x:v>2017</x:v>
      </x:c>
      <x:c r="F75" s="21" t="n">
        <x:v>1</x:v>
      </x:c>
      <x:c r="G75" s="21" t="n">
        <x:v>1</x:v>
      </x:c>
      <x:c r="H75" s="22" t="n">
        <x:v>1392539.194595337</x:v>
      </x:c>
      <x:c r="I75" s="23" t="n">
        <x:v>-0.00030211563703952393</x:v>
      </x:c>
      <x:c r="J75" s="24" t="n">
        <x:v>1664</x:v>
      </x:c>
      <x:c r="K75" s="25" t="n">
        <x:v>39.729114500034484</x:v>
      </x:c>
      <x:c r="L75" s="25" t="n">
        <x:v>10.502712850033276</x:v>
      </x:c>
      <x:c r="M75" s="25" t="n">
        <x:v>24.481222500011427</x:v>
      </x:c>
      <x:c r="N75" s="25" t="n">
        <x:v>0.4483331998690119</x:v>
      </x:c>
      <x:c r="O75" s="25" t="n">
        <x:v>4.296845950120769</x:v>
      </x:c>
      <x:c r="P75" s="25" t="n">
        <x:v>0.02796988000045529</x:v>
      </x:c>
      <x:c r="Q75" s="25" t="n">
        <x:v>0.667854932000191</x:v>
      </x:c>
      <x:c r="R75" s="25" t="n">
        <x:v>1.8384078750001205</x:v>
      </x:c>
      <x:c r="S75" s="25"/>
      <x:c r="T75" s="25" t="n">
        <x:v>39.665638399947056</x:v>
      </x:c>
      <x:c r="U75" s="25" t="n">
        <x:v>39.79259060012191</x:v>
      </x:c>
      <x:c r="V75" s="25" t="n">
        <x:v>0.08976876163019236</x:v>
      </x:c>
      <x:c r="W75" s="19" t="str">
        <x:v>FRAME_GUARD</x:v>
      </x:c>
      <x:c r="X75" s="26" t="n">
        <x:f>IF(AND(J69&gt;0,E75=E69),1-J75/J69,"")</x:f>
        <x:v>-0.5683317624882187</x:v>
      </x:c>
      <x:c r="Y75" s="26" t="n">
        <x:f>IF(AND(K69&gt;0,E75=E69),1-K75/K69,"")</x:f>
        <x:v>-0.035140864920255366</x:v>
      </x:c>
      <x:c r="Z75" s="26" t="n">
        <x:f>IF(AND(ISNUMBER(P69),P69&gt;0,E75=E69),1-P75/P69,"")</x:f>
        <x:v>-0.0017004269336944322</x:v>
      </x:c>
      <x:c r="AA75" s="26" t="n">
        <x:f>IF(AND(ISNUMBER(R75),ISNUMBER(R69),R69&gt;0,E75=E69),1-R75/R69,"")</x:f>
        <x:v>-0.8309927206785297</x:v>
      </x:c>
      <x:c r="AB75" s="26" t="n">
        <x:v>0.0022595208264738556</x:v>
      </x:c>
      <x:c r="AC75" s="19" t="str">
        <x:v>D:/Codex/GRL研究/outputs/grid82/per_date.csv</x:v>
      </x:c>
    </x:row>
    <x:row r="76" ht="36" customHeight="1">
      <x:c r="A76" s="19" t="str">
        <x:v>GRID82</x:v>
      </x:c>
      <x:c r="B76" s="19" t="str">
        <x:v>2036-11-03_9</x:v>
      </x:c>
      <x:c r="C76" s="19" t="str">
        <x:v>META_CONTEXT0</x:v>
      </x:c>
      <x:c r="D76" s="21" t="n">
        <x:v>2</x:v>
      </x:c>
      <x:c r="E76" s="21" t="n">
        <x:v>519</x:v>
      </x:c>
      <x:c r="F76" s="21" t="n">
        <x:v>1</x:v>
      </x:c>
      <x:c r="G76" s="21" t="n">
        <x:v>0</x:v>
      </x:c>
      <x:c r="H76" s="22" t="n">
        <x:v>361332.79052734375</x:v>
      </x:c>
      <x:c r="I76" s="23"/>
      <x:c r="J76" s="24" t="n">
        <x:v>0</x:v>
      </x:c>
      <x:c r="K76" s="25" t="n">
        <x:v>14.521078499996293</x:v>
      </x:c>
      <x:c r="L76" s="25" t="n">
        <x:v>1.8701604500292888</x:v>
      </x:c>
      <x:c r="M76" s="25" t="n">
        <x:v>11.748406449991307</x:v>
      </x:c>
      <x:c r="N76" s="25" t="n">
        <x:v>0</x:v>
      </x:c>
      <x:c r="O76" s="25" t="n">
        <x:v>0.9025115999756963</x:v>
      </x:c>
      <x:c r="P76" s="25" t="n">
        <x:v>0.027442585000426303</x:v>
      </x:c>
      <x:c r="Q76" s="25" t="n">
        <x:v>0.7822143040011766</x:v>
      </x:c>
      <x:c r="R76" s="25"/>
      <x:c r="S76" s="25"/>
      <x:c r="T76" s="25" t="n">
        <x:v>14.508736699986912</x:v>
      </x:c>
      <x:c r="U76" s="25" t="n">
        <x:v>14.533420300005673</x:v>
      </x:c>
      <x:c r="V76" s="25" t="n">
        <x:v>0.017453940957362545</x:v>
      </x:c>
      <x:c r="W76" s="19" t="str">
        <x:v>FRAME_GUARD</x:v>
      </x:c>
      <x:c r="X76" s="26" t="str">
        <x:f>IF(AND(J70&gt;0,E76=E70),1-J76/J70,"")</x:f>
      </x:c>
      <x:c r="Y76" s="26" t="n">
        <x:f>IF(AND(K70&gt;0,E76=E70),1-K76/K70,"")</x:f>
        <x:v>0.006103892915765741</x:v>
      </x:c>
      <x:c r="Z76" s="26" t="n">
        <x:f>IF(AND(ISNUMBER(P70),P70&gt;0,E76=E70),1-P76/P70,"")</x:f>
        <x:v>0.004617898456246938</x:v>
      </x:c>
      <x:c r="AA76" s="26" t="str">
        <x:f>IF(AND(ISNUMBER(R76),ISNUMBER(R70),R70&gt;0,E76=E70),1-R76/R70,"")</x:f>
      </x:c>
      <x:c r="AB76" s="26" t="n">
        <x:v>0.001201972770642828</x:v>
      </x:c>
      <x:c r="AC76" s="19" t="str">
        <x:v>D:/Codex/GRL研究/outputs/grid82/per_date.csv</x:v>
      </x:c>
    </x:row>
    <x:row r="77" ht="36" customHeight="1">
      <x:c r="A77" s="19" t="str">
        <x:v>GRID82</x:v>
      </x:c>
      <x:c r="B77" s="19" t="str">
        <x:v>2036-01-07_9</x:v>
      </x:c>
      <x:c r="C77" s="19" t="str">
        <x:v>META_CONTEXT1</x:v>
      </x:c>
      <x:c r="D77" s="21" t="n">
        <x:v>2</x:v>
      </x:c>
      <x:c r="E77" s="21" t="n">
        <x:v>2017</x:v>
      </x:c>
      <x:c r="F77" s="21" t="n">
        <x:v>1</x:v>
      </x:c>
      <x:c r="G77" s="21" t="n">
        <x:v>1</x:v>
      </x:c>
      <x:c r="H77" s="22" t="n">
        <x:v>2412707.07421875</x:v>
      </x:c>
      <x:c r="I77" s="23" t="n">
        <x:v>0.0008663102138171119</x:v>
      </x:c>
      <x:c r="J77" s="24" t="n">
        <x:v>1432</x:v>
      </x:c>
      <x:c r="K77" s="25" t="n">
        <x:v>80.60884969999825</x:v>
      </x:c>
      <x:c r="L77" s="25" t="n">
        <x:v>14.66883684997083</x:v>
      </x:c>
      <x:c r="M77" s="25" t="n">
        <x:v>60.90653689996907</x:v>
      </x:c>
      <x:c r="N77" s="25" t="n">
        <x:v>0.5141984000347293</x:v>
      </x:c>
      <x:c r="O77" s="25" t="n">
        <x:v>4.519277550023617</x:v>
      </x:c>
      <x:c r="P77" s="25" t="n">
        <x:v>0.032679449999704915</x:v>
      </x:c>
      <x:c r="Q77" s="25" t="n">
        <x:v>0.8184305820003643</x:v>
      </x:c>
      <x:c r="R77" s="25" t="n">
        <x:v>3.126420450001751</x:v>
      </x:c>
      <x:c r="S77" s="25"/>
      <x:c r="T77" s="25" t="n">
        <x:v>80.16875930001697</x:v>
      </x:c>
      <x:c r="U77" s="25" t="n">
        <x:v>81.04894009997952</x:v>
      </x:c>
      <x:c r="V77" s="25" t="n">
        <x:v>0.6223818123237158</x:v>
      </x:c>
      <x:c r="W77" s="19" t="str">
        <x:v>FRAME_GUARD</x:v>
      </x:c>
      <x:c r="X77" s="26" t="n">
        <x:f>IF(AND(J65&gt;0,E77=E65),1-J77/J65,"")</x:f>
        <x:v>0</x:v>
      </x:c>
      <x:c r="Y77" s="26" t="n">
        <x:f>IF(AND(K65&gt;0,E77=E65),1-K77/K65,"")</x:f>
        <x:v>0.005710508308394924</x:v>
      </x:c>
      <x:c r="Z77" s="26" t="n">
        <x:f>IF(AND(ISNUMBER(P65),P65&gt;0,E77=E65),1-P77/P65,"")</x:f>
        <x:v>0.03658673564542836</x:v>
      </x:c>
      <x:c r="AA77" s="26" t="n">
        <x:f>IF(AND(ISNUMBER(R77),ISNUMBER(R65),R65&gt;0,E77=E65),1-R77/R65,"")</x:f>
        <x:v>0.001861287931546829</x:v>
      </x:c>
      <x:c r="AB77" s="26" t="n">
        <x:v>0.007721010963933025</x:v>
      </x:c>
      <x:c r="AC77" s="19" t="str">
        <x:v>D:/Codex/GRL研究/outputs/grid82/per_date.csv</x:v>
      </x:c>
    </x:row>
    <x:row r="78" ht="36" customHeight="1">
      <x:c r="A78" s="19" t="str">
        <x:v>GRID82</x:v>
      </x:c>
      <x:c r="B78" s="19" t="str">
        <x:v>2036-03-03_9</x:v>
      </x:c>
      <x:c r="C78" s="19" t="str">
        <x:v>META_CONTEXT1</x:v>
      </x:c>
      <x:c r="D78" s="21" t="n">
        <x:v>2</x:v>
      </x:c>
      <x:c r="E78" s="21" t="n">
        <x:v>1720</x:v>
      </x:c>
      <x:c r="F78" s="21" t="n">
        <x:v>1</x:v>
      </x:c>
      <x:c r="G78" s="21" t="n">
        <x:v>0</x:v>
      </x:c>
      <x:c r="H78" s="22" t="n">
        <x:v>2300386.2553100586</x:v>
      </x:c>
      <x:c r="I78" s="23"/>
      <x:c r="J78" s="24" t="n">
        <x:v>5109</x:v>
      </x:c>
      <x:c r="K78" s="25" t="n">
        <x:v>69.1313494999813</x:v>
      </x:c>
      <x:c r="L78" s="25" t="n">
        <x:v>23.107791899910808</x:v>
      </x:c>
      <x:c r="M78" s="25" t="n">
        <x:v>40.53367520003849</x:v>
      </x:c>
      <x:c r="N78" s="25" t="n">
        <x:v>1.094241700035127</x:v>
      </x:c>
      <x:c r="O78" s="25" t="n">
        <x:v>4.395640699996875</x:v>
      </x:c>
      <x:c r="P78" s="25" t="n">
        <x:v>0.0349663649996728</x:v>
      </x:c>
      <x:c r="Q78" s="25" t="n">
        <x:v>0.8851232059991314</x:v>
      </x:c>
      <x:c r="R78" s="25" t="n">
        <x:v>3.9709241274998</x:v>
      </x:c>
      <x:c r="S78" s="25"/>
      <x:c r="T78" s="25" t="n">
        <x:v>68.76326409998</x:v>
      </x:c>
      <x:c r="U78" s="25" t="n">
        <x:v>69.49943489998259</x:v>
      </x:c>
      <x:c r="V78" s="25" t="n">
        <x:v>0.520551364793352</x:v>
      </x:c>
      <x:c r="W78" s="19" t="str">
        <x:v>FRAME_GUARD</x:v>
      </x:c>
      <x:c r="X78" s="26" t="n">
        <x:f>IF(AND(J66&gt;0,E78=E66),1-J78/J66,"")</x:f>
        <x:v>0</x:v>
      </x:c>
      <x:c r="Y78" s="26" t="n">
        <x:f>IF(AND(K66&gt;0,E78=E66),1-K78/K66,"")</x:f>
        <x:v>-0.004219680537357107</x:v>
      </x:c>
      <x:c r="Z78" s="26" t="n">
        <x:f>IF(AND(ISNUMBER(P66),P66&gt;0,E78=E66),1-P78/P66,"")</x:f>
        <x:v>-0.010314397321670832</x:v>
      </x:c>
      <x:c r="AA78" s="26" t="n">
        <x:f>IF(AND(ISNUMBER(R78),ISNUMBER(R66),R66&gt;0,E78=E66),1-R78/R66,"")</x:f>
        <x:v>-0.0021554349976644627</x:v>
      </x:c>
      <x:c r="AB78" s="26" t="n">
        <x:v>0.007529888662067746</x:v>
      </x:c>
      <x:c r="AC78" s="19" t="str">
        <x:v>D:/Codex/GRL研究/outputs/grid82/per_date.csv</x:v>
      </x:c>
    </x:row>
    <x:row r="79" ht="36" customHeight="1">
      <x:c r="A79" s="19" t="str">
        <x:v>GRID82</x:v>
      </x:c>
      <x:c r="B79" s="19" t="str">
        <x:v>2036-05-05_9</x:v>
      </x:c>
      <x:c r="C79" s="19" t="str">
        <x:v>META_CONTEXT1</x:v>
      </x:c>
      <x:c r="D79" s="21" t="n">
        <x:v>2</x:v>
      </x:c>
      <x:c r="E79" s="21" t="n">
        <x:v>2017</x:v>
      </x:c>
      <x:c r="F79" s="21" t="n">
        <x:v>1</x:v>
      </x:c>
      <x:c r="G79" s="21" t="n">
        <x:v>1</x:v>
      </x:c>
      <x:c r="H79" s="22" t="n">
        <x:v>1732291.8922729492</x:v>
      </x:c>
      <x:c r="I79" s="23" t="n">
        <x:v>-0.02651757674074451</x:v>
      </x:c>
      <x:c r="J79" s="24" t="n">
        <x:v>454</x:v>
      </x:c>
      <x:c r="K79" s="25" t="n">
        <x:v>35.79960709993611</x:v>
      </x:c>
      <x:c r="L79" s="25" t="n">
        <x:v>7.791186499956893</x:v>
      </x:c>
      <x:c r="M79" s="25" t="n">
        <x:v>23.79197614997247</x:v>
      </x:c>
      <x:c r="N79" s="25" t="n">
        <x:v>0.10497374998521991</x:v>
      </x:c>
      <x:c r="O79" s="25" t="n">
        <x:v>4.111470700021528</x:v>
      </x:c>
      <x:c r="P79" s="25" t="n">
        <x:v>0.02808396000000357</x:v>
      </x:c>
      <x:c r="Q79" s="25" t="n">
        <x:v>0.5528409840007015</x:v>
      </x:c>
      <x:c r="R79" s="25" t="n">
        <x:v>3.997974850000901</x:v>
      </x:c>
      <x:c r="S79" s="25"/>
      <x:c r="T79" s="25" t="n">
        <x:v>35.590330799830554</x:v>
      </x:c>
      <x:c r="U79" s="25" t="n">
        <x:v>36.00888340004167</x:v>
      </x:c>
      <x:c r="V79" s="25" t="n">
        <x:v>0.2959613818925411</x:v>
      </x:c>
      <x:c r="W79" s="19" t="str">
        <x:v>FRAME_GUARD</x:v>
      </x:c>
      <x:c r="X79" s="26" t="n">
        <x:f>IF(AND(J67&gt;0,E79=E67),1-J79/J67,"")</x:f>
        <x:v>0</x:v>
      </x:c>
      <x:c r="Y79" s="26" t="n">
        <x:f>IF(AND(K67&gt;0,E79=E67),1-K79/K67,"")</x:f>
        <x:v>-0.0026565550920985004</x:v>
      </x:c>
      <x:c r="Z79" s="26" t="n">
        <x:f>IF(AND(ISNUMBER(P67),P67&gt;0,E79=E67),1-P79/P67,"")</x:f>
        <x:v>-0.001959396456054474</x:v>
      </x:c>
      <x:c r="AA79" s="26" t="n">
        <x:f>IF(AND(ISNUMBER(R79),ISNUMBER(R67),R67&gt;0,E79=E67),1-R79/R67,"")</x:f>
        <x:v>0.0019031988303220837</x:v>
      </x:c>
      <x:c r="AB79" s="26" t="n">
        <x:v>0.008267168437529285</x:v>
      </x:c>
      <x:c r="AC79" s="19" t="str">
        <x:v>D:/Codex/GRL研究/outputs/grid82/per_date.csv</x:v>
      </x:c>
    </x:row>
    <x:row r="80" ht="36" customHeight="1">
      <x:c r="A80" s="19" t="str">
        <x:v>GRID82</x:v>
      </x:c>
      <x:c r="B80" s="19" t="str">
        <x:v>2036-07-07_9</x:v>
      </x:c>
      <x:c r="C80" s="19" t="str">
        <x:v>META_CONTEXT1</x:v>
      </x:c>
      <x:c r="D80" s="21" t="n">
        <x:v>2</x:v>
      </x:c>
      <x:c r="E80" s="21" t="n">
        <x:v>2017</x:v>
      </x:c>
      <x:c r="F80" s="21" t="n">
        <x:v>1</x:v>
      </x:c>
      <x:c r="G80" s="21" t="n">
        <x:v>1</x:v>
      </x:c>
      <x:c r="H80" s="22" t="n">
        <x:v>1391348.7835388184</x:v>
      </x:c>
      <x:c r="I80" s="23" t="n">
        <x:v>-0.010880517894231834</x:v>
      </x:c>
      <x:c r="J80" s="24" t="n">
        <x:v>3470</x:v>
      </x:c>
      <x:c r="K80" s="25" t="n">
        <x:v>43.80466070005423</x:v>
      </x:c>
      <x:c r="L80" s="25" t="n">
        <x:v>15.832965150106247</x:v>
      </x:c>
      <x:c r="M80" s="25" t="n">
        <x:v>22.95203239996954</x:v>
      </x:c>
      <x:c r="N80" s="25" t="n">
        <x:v>1.0457236000838748</x:v>
      </x:c>
      <x:c r="O80" s="25" t="n">
        <x:v>3.973939549894567</x:v>
      </x:c>
      <x:c r="P80" s="25" t="n">
        <x:v>0.03406504000122367</x:v>
      </x:c>
      <x:c r="Q80" s="25" t="n">
        <x:v>0.6797822760017879</x:v>
      </x:c>
      <x:c r="R80" s="25" t="n">
        <x:v>3.198808767500484</x:v>
      </x:c>
      <x:c r="S80" s="25"/>
      <x:c r="T80" s="25" t="n">
        <x:v>43.66088620004666</x:v>
      </x:c>
      <x:c r="U80" s="25" t="n">
        <x:v>43.948435200061795</x:v>
      </x:c>
      <x:c r="V80" s="25" t="n">
        <x:v>0.20332784783411123</x:v>
      </x:c>
      <x:c r="W80" s="19" t="str">
        <x:v>FRAME_GUARD</x:v>
      </x:c>
      <x:c r="X80" s="26" t="n">
        <x:f>IF(AND(J68&gt;0,E80=E68),1-J80/J68,"")</x:f>
        <x:v>0</x:v>
      </x:c>
      <x:c r="Y80" s="26" t="n">
        <x:f>IF(AND(K68&gt;0,E80=E68),1-K80/K68,"")</x:f>
        <x:v>-0.004922060580298426</x:v>
      </x:c>
      <x:c r="Z80" s="26" t="n">
        <x:f>IF(AND(ISNUMBER(P68),P68&gt;0,E80=E68),1-P80/P68,"")</x:f>
        <x:v>-0.015387733713008833</x:v>
      </x:c>
      <x:c r="AA80" s="26" t="n">
        <x:f>IF(AND(ISNUMBER(R80),ISNUMBER(R68),R68&gt;0,E80=E68),1-R80/R68,"")</x:f>
        <x:v>-0.03476091912572943</x:v>
      </x:c>
      <x:c r="AB80" s="26" t="n">
        <x:v>0.0046416943901556006</x:v>
      </x:c>
      <x:c r="AC80" s="19" t="str">
        <x:v>D:/Codex/GRL研究/outputs/grid82/per_date.csv</x:v>
      </x:c>
    </x:row>
    <x:row r="81" ht="36" customHeight="1">
      <x:c r="A81" s="19" t="str">
        <x:v>GRID82</x:v>
      </x:c>
      <x:c r="B81" s="19" t="str">
        <x:v>2036-09-01_9</x:v>
      </x:c>
      <x:c r="C81" s="19" t="str">
        <x:v>META_CONTEXT1</x:v>
      </x:c>
      <x:c r="D81" s="21" t="n">
        <x:v>2</x:v>
      </x:c>
      <x:c r="E81" s="21" t="n">
        <x:v>2017</x:v>
      </x:c>
      <x:c r="F81" s="21" t="n">
        <x:v>1</x:v>
      </x:c>
      <x:c r="G81" s="21" t="n">
        <x:v>1</x:v>
      </x:c>
      <x:c r="H81" s="22" t="n">
        <x:v>1392633.7291259766</x:v>
      </x:c>
      <x:c r="I81" s="23" t="n">
        <x:v>-0.00023424970504537512</x:v>
      </x:c>
      <x:c r="J81" s="24" t="n">
        <x:v>1061</x:v>
      </x:c>
      <x:c r="K81" s="25" t="n">
        <x:v>38.294543499947395</x:v>
      </x:c>
      <x:c r="L81" s="25" t="n">
        <x:v>9.408460749944425</x:v>
      </x:c>
      <x:c r="M81" s="25" t="n">
        <x:v>24.201349150009264</x:v>
      </x:c>
      <x:c r="N81" s="25" t="n">
        <x:v>0.4077336500486126</x:v>
      </x:c>
      <x:c r="O81" s="25" t="n">
        <x:v>4.276999949945093</x:v>
      </x:c>
      <x:c r="P81" s="25" t="n">
        <x:v>0.028123920000143694</x:v>
      </x:c>
      <x:c r="Q81" s="25" t="n">
        <x:v>0.6677947720005613</x:v>
      </x:c>
      <x:c r="R81" s="25" t="n">
        <x:v>1.010831225002221</x:v>
      </x:c>
      <x:c r="S81" s="25"/>
      <x:c r="T81" s="25" t="n">
        <x:v>38.08510649999516</x:v>
      </x:c>
      <x:c r="U81" s="25" t="n">
        <x:v>38.503980499899626</x:v>
      </x:c>
      <x:c r="V81" s="25" t="n">
        <x:v>0.29618864579517895</x:v>
      </x:c>
      <x:c r="W81" s="19" t="str">
        <x:v>FRAME_GUARD</x:v>
      </x:c>
      <x:c r="X81" s="26" t="n">
        <x:f>IF(AND(J69&gt;0,E81=E69),1-J81/J69,"")</x:f>
        <x:v>0</x:v>
      </x:c>
      <x:c r="Y81" s="26" t="n">
        <x:f>IF(AND(K69&gt;0,E81=E69),1-K81/K69,"")</x:f>
        <x:v>0.0022368386733743195</x:v>
      </x:c>
      <x:c r="Z81" s="26" t="n">
        <x:f>IF(AND(ISNUMBER(P69),P69&gt;0,E81=E69),1-P81/P69,"")</x:f>
        <x:v>-0.0072171446832960395</x:v>
      </x:c>
      <x:c r="AA81" s="26" t="n">
        <x:f>IF(AND(ISNUMBER(R81),ISNUMBER(R69),R69&gt;0,E81=E69),1-R81/R69,"")</x:f>
        <x:v>-0.0067540723592180996</x:v>
      </x:c>
      <x:c r="AB81" s="26" t="n">
        <x:v>0.007734486919672664</x:v>
      </x:c>
      <x:c r="AC81" s="19" t="str">
        <x:v>D:/Codex/GRL研究/outputs/grid82/per_date.csv</x:v>
      </x:c>
    </x:row>
    <x:row r="82" ht="36" customHeight="1">
      <x:c r="A82" s="19" t="str">
        <x:v>GRID82</x:v>
      </x:c>
      <x:c r="B82" s="19" t="str">
        <x:v>2036-11-03_9</x:v>
      </x:c>
      <x:c r="C82" s="19" t="str">
        <x:v>META_CONTEXT1</x:v>
      </x:c>
      <x:c r="D82" s="21" t="n">
        <x:v>2</x:v>
      </x:c>
      <x:c r="E82" s="21" t="n">
        <x:v>519</x:v>
      </x:c>
      <x:c r="F82" s="21" t="n">
        <x:v>1</x:v>
      </x:c>
      <x:c r="G82" s="21" t="n">
        <x:v>0</x:v>
      </x:c>
      <x:c r="H82" s="22" t="n">
        <x:v>361332.79052734375</x:v>
      </x:c>
      <x:c r="I82" s="23"/>
      <x:c r="J82" s="24" t="n">
        <x:v>0</x:v>
      </x:c>
      <x:c r="K82" s="25" t="n">
        <x:v>14.570158950004043</x:v>
      </x:c>
      <x:c r="L82" s="25" t="n">
        <x:v>1.8641423000080977</x:v>
      </x:c>
      <x:c r="M82" s="25" t="n">
        <x:v>11.805363700010275</x:v>
      </x:c>
      <x:c r="N82" s="25" t="n">
        <x:v>0</x:v>
      </x:c>
      <x:c r="O82" s="25" t="n">
        <x:v>0.9006529499856697</x:v>
      </x:c>
      <x:c r="P82" s="25" t="n">
        <x:v>0.02766259999898462</x:v>
      </x:c>
      <x:c r="Q82" s="25" t="n">
        <x:v>0.7917984749986542</x:v>
      </x:c>
      <x:c r="R82" s="25"/>
      <x:c r="S82" s="25"/>
      <x:c r="T82" s="25" t="n">
        <x:v>14.56176810001125</x:v>
      </x:c>
      <x:c r="U82" s="25" t="n">
        <x:v>14.578549799996836</x:v>
      </x:c>
      <x:c r="V82" s="25" t="n">
        <x:v>0.011866453859645958</x:v>
      </x:c>
      <x:c r="W82" s="19" t="str">
        <x:v>FRAME_GUARD</x:v>
      </x:c>
      <x:c r="X82" s="26" t="str">
        <x:f>IF(AND(J70&gt;0,E82=E70),1-J82/J70,"")</x:f>
      </x:c>
      <x:c r="Y82" s="26" t="n">
        <x:f>IF(AND(K70&gt;0,E82=E70),1-K82/K70,"")</x:f>
        <x:v>0.002744578509700224</x:v>
      </x:c>
      <x:c r="Z82" s="26" t="n">
        <x:f>IF(AND(ISNUMBER(P70),P70&gt;0,E82=E70),1-P82/P70,"")</x:f>
        <x:v>-0.00336236257356215</x:v>
      </x:c>
      <x:c r="AA82" s="26" t="str">
        <x:f>IF(AND(ISNUMBER(R82),ISNUMBER(R70),R70&gt;0,E82=E70),1-R82/R70,"")</x:f>
      </x:c>
      <x:c r="AB82" s="26" t="n">
        <x:v>0.0008144354430424841</x:v>
      </x:c>
      <x:c r="AC82" s="19" t="str">
        <x:v>D:/Codex/GRL研究/outputs/grid82/per_date.csv</x:v>
      </x:c>
    </x:row>
    <x:row r="83" ht="36" customHeight="1">
      <x:c r="A83" s="19" t="str">
        <x:v>GRID84</x:v>
      </x:c>
      <x:c r="B83" s="19" t="str">
        <x:v>2036-01-07_9</x:v>
      </x:c>
      <x:c r="C83" s="19" t="str">
        <x:v>FRAME_GUARD</x:v>
      </x:c>
      <x:c r="D83" s="21" t="n">
        <x:v>2</x:v>
      </x:c>
      <x:c r="E83" s="21" t="n">
        <x:v>2017</x:v>
      </x:c>
      <x:c r="F83" s="21" t="n">
        <x:v>1</x:v>
      </x:c>
      <x:c r="G83" s="21" t="n">
        <x:v>1</x:v>
      </x:c>
      <x:c r="H83" s="22" t="n">
        <x:v>2412707.07421875</x:v>
      </x:c>
      <x:c r="I83" s="23" t="n">
        <x:v>0.0008663102138171119</x:v>
      </x:c>
      <x:c r="J83" s="24" t="n">
        <x:v>1432</x:v>
      </x:c>
      <x:c r="K83" s="25" t="n">
        <x:v>83.96019224996598</x:v>
      </x:c>
      <x:c r="L83" s="25" t="n">
        <x:v>15.441940949924174</x:v>
      </x:c>
      <x:c r="M83" s="25" t="n">
        <x:v>63.26961629998732</x:v>
      </x:c>
      <x:c r="N83" s="25" t="n">
        <x:v>0.5237856499916234</x:v>
      </x:c>
      <x:c r="O83" s="25" t="n">
        <x:v>4.724849350062868</x:v>
      </x:c>
      <x:c r="P83" s="25" t="n">
        <x:v>0.03567295999928313</x:v>
      </x:c>
      <x:c r="Q83" s="25" t="n">
        <x:v>0.9946540680011725</x:v>
      </x:c>
      <x:c r="R83" s="25" t="n">
        <x:v>3.2356827700008575</x:v>
      </x:c>
      <x:c r="S83" s="25" t="n">
        <x:v>3.5197745540009056</x:v>
      </x:c>
      <x:c r="T83" s="25" t="n">
        <x:v>81.49994569994305</x:v>
      </x:c>
      <x:c r="U83" s="25" t="n">
        <x:v>86.42043879998891</x:v>
      </x:c>
      <x:c r="V83" s="25" t="n">
        <x:v>3.479314037824045</x:v>
      </x:c>
      <x:c r="W83" s="19" t="str">
        <x:v>FRAME_GUARD</x:v>
      </x:c>
      <x:c r="X83" s="26" t="n">
        <x:f>IF(AND(J83&gt;0,E83=E83),1-J83/J83,"")</x:f>
        <x:v>0</x:v>
      </x:c>
      <x:c r="Y83" s="26" t="n">
        <x:f>IF(AND(K83&gt;0,E83=E83),1-K83/K83,"")</x:f>
        <x:v>0</x:v>
      </x:c>
      <x:c r="Z83" s="26" t="n">
        <x:f>IF(AND(ISNUMBER(P83),P83&gt;0,E83=E83),1-P83/P83,"")</x:f>
        <x:v>0</x:v>
      </x:c>
      <x:c r="AA83" s="26" t="n">
        <x:f>IF(AND(ISNUMBER(R83),ISNUMBER(R83),R83&gt;0,E83=E83),1-R83/R83,"")</x:f>
        <x:v>0</x:v>
      </x:c>
      <x:c r="AB83" s="26" t="n">
        <x:v>0.041440043722928165</x:v>
      </x:c>
      <x:c r="AC83" s="19" t="str">
        <x:v>D:/Codex/GRL研究/outputs/grid84/per_date.csv</x:v>
      </x:c>
    </x:row>
    <x:row r="84" ht="36" customHeight="1">
      <x:c r="A84" s="19" t="str">
        <x:v>GRID84</x:v>
      </x:c>
      <x:c r="B84" s="19" t="str">
        <x:v>2036-03-03_9</x:v>
      </x:c>
      <x:c r="C84" s="19" t="str">
        <x:v>FRAME_GUARD</x:v>
      </x:c>
      <x:c r="D84" s="21" t="n">
        <x:v>2</x:v>
      </x:c>
      <x:c r="E84" s="21" t="n">
        <x:v>1720</x:v>
      </x:c>
      <x:c r="F84" s="21" t="n">
        <x:v>1</x:v>
      </x:c>
      <x:c r="G84" s="21" t="n">
        <x:v>0</x:v>
      </x:c>
      <x:c r="H84" s="22" t="n">
        <x:v>2300386.2553100586</x:v>
      </x:c>
      <x:c r="I84" s="23"/>
      <x:c r="J84" s="24" t="n">
        <x:v>5109</x:v>
      </x:c>
      <x:c r="K84" s="25" t="n">
        <x:v>68.86973995003063</x:v>
      </x:c>
      <x:c r="L84" s="25" t="n">
        <x:v>23.473764750058763</x:v>
      </x:c>
      <x:c r="M84" s="25" t="n">
        <x:v>39.601119099948846</x:v>
      </x:c>
      <x:c r="N84" s="25" t="n">
        <x:v>1.4123562501463311</x:v>
      </x:c>
      <x:c r="O84" s="25" t="n">
        <x:v>4.3824998498766945</x:v>
      </x:c>
      <x:c r="P84" s="25" t="n">
        <x:v>0.034790635000717884</x:v>
      </x:c>
      <x:c r="Q84" s="25" t="n">
        <x:v>0.8751786944994789</x:v>
      </x:c>
      <x:c r="R84" s="25" t="n">
        <x:v>3.982950644999526</x:v>
      </x:c>
      <x:c r="S84" s="25" t="n">
        <x:v>4.5879018090001225</x:v>
      </x:c>
      <x:c r="T84" s="25" t="n">
        <x:v>68.58086380002715</x:v>
      </x:c>
      <x:c r="U84" s="25" t="n">
        <x:v>69.15861610003412</x:v>
      </x:c>
      <x:c r="V84" s="25" t="n">
        <x:v>0.40853256918105857</x:v>
      </x:c>
      <x:c r="W84" s="19" t="str">
        <x:v>FRAME_GUARD</x:v>
      </x:c>
      <x:c r="X84" s="26" t="n">
        <x:f>IF(AND(J84&gt;0,E84=E84),1-J84/J84,"")</x:f>
        <x:v>0</x:v>
      </x:c>
      <x:c r="Y84" s="26" t="n">
        <x:f>IF(AND(K84&gt;0,E84=E84),1-K84/K84,"")</x:f>
        <x:v>0</x:v>
      </x:c>
      <x:c r="Z84" s="26" t="n">
        <x:f>IF(AND(ISNUMBER(P84),P84&gt;0,E84=E84),1-P84/P84,"")</x:f>
        <x:v>0</x:v>
      </x:c>
      <x:c r="AA84" s="26" t="n">
        <x:f>IF(AND(ISNUMBER(R84),ISNUMBER(R84),R84&gt;0,E84=E84),1-R84/R84,"")</x:f>
        <x:v>0</x:v>
      </x:c>
      <x:c r="AB84" s="26" t="n">
        <x:v>0.005931960386048718</x:v>
      </x:c>
      <x:c r="AC84" s="19" t="str">
        <x:v>D:/Codex/GRL研究/outputs/grid84/per_date.csv</x:v>
      </x:c>
    </x:row>
    <x:row r="85" ht="36" customHeight="1">
      <x:c r="A85" s="19" t="str">
        <x:v>GRID84</x:v>
      </x:c>
      <x:c r="B85" s="19" t="str">
        <x:v>2036-05-05_9</x:v>
      </x:c>
      <x:c r="C85" s="19" t="str">
        <x:v>FRAME_GUARD</x:v>
      </x:c>
      <x:c r="D85" s="21" t="n">
        <x:v>2</x:v>
      </x:c>
      <x:c r="E85" s="21" t="n">
        <x:v>2017</x:v>
      </x:c>
      <x:c r="F85" s="21" t="n">
        <x:v>1</x:v>
      </x:c>
      <x:c r="G85" s="21" t="n">
        <x:v>1</x:v>
      </x:c>
      <x:c r="H85" s="22" t="n">
        <x:v>1732291.8922729492</x:v>
      </x:c>
      <x:c r="I85" s="23" t="n">
        <x:v>-0.02651757674074451</x:v>
      </x:c>
      <x:c r="J85" s="24" t="n">
        <x:v>454</x:v>
      </x:c>
      <x:c r="K85" s="25" t="n">
        <x:v>35.745376199982275</x:v>
      </x:c>
      <x:c r="L85" s="25" t="n">
        <x:v>7.798050800092824</x:v>
      </x:c>
      <x:c r="M85" s="25" t="n">
        <x:v>23.713655500008826</x:v>
      </x:c>
      <x:c r="N85" s="25" t="n">
        <x:v>0.10450335000678024</x:v>
      </x:c>
      <x:c r="O85" s="25" t="n">
        <x:v>4.129166549873844</x:v>
      </x:c>
      <x:c r="P85" s="25" t="n">
        <x:v>0.02825516999910178</x:v>
      </x:c>
      <x:c r="Q85" s="25" t="n">
        <x:v>0.5474538160002497</x:v>
      </x:c>
      <x:c r="R85" s="25" t="n">
        <x:v>3.9744958499995846</x:v>
      </x:c>
      <x:c r="S85" s="25" t="n">
        <x:v>3.9744958499995846</x:v>
      </x:c>
      <x:c r="T85" s="25" t="n">
        <x:v>35.56485219995375</x:v>
      </x:c>
      <x:c r="U85" s="25" t="n">
        <x:v>35.9259002000108</x:v>
      </x:c>
      <x:c r="V85" s="25" t="n">
        <x:v>0.2552994891741834</x:v>
      </x:c>
      <x:c r="W85" s="19" t="str">
        <x:v>FRAME_GUARD</x:v>
      </x:c>
      <x:c r="X85" s="26" t="n">
        <x:f>IF(AND(J85&gt;0,E85=E85),1-J85/J85,"")</x:f>
        <x:v>0</x:v>
      </x:c>
      <x:c r="Y85" s="26" t="n">
        <x:f>IF(AND(K85&gt;0,E85=E85),1-K85/K85,"")</x:f>
        <x:v>0</x:v>
      </x:c>
      <x:c r="Z85" s="26" t="n">
        <x:f>IF(AND(ISNUMBER(P85),P85&gt;0,E85=E85),1-P85/P85,"")</x:f>
        <x:v>0</x:v>
      </x:c>
      <x:c r="AA85" s="26" t="n">
        <x:f>IF(AND(ISNUMBER(R85),ISNUMBER(R85),R85&gt;0,E85=E85),1-R85/R85,"")</x:f>
        <x:v>0</x:v>
      </x:c>
      <x:c r="AB85" s="26" t="n">
        <x:v>0.007142168199486175</x:v>
      </x:c>
      <x:c r="AC85" s="19" t="str">
        <x:v>D:/Codex/GRL研究/outputs/grid84/per_date.csv</x:v>
      </x:c>
    </x:row>
    <x:row r="86" ht="36" customHeight="1">
      <x:c r="A86" s="19" t="str">
        <x:v>GRID84</x:v>
      </x:c>
      <x:c r="B86" s="19" t="str">
        <x:v>2036-07-07_9</x:v>
      </x:c>
      <x:c r="C86" s="19" t="str">
        <x:v>FRAME_GUARD</x:v>
      </x:c>
      <x:c r="D86" s="21" t="n">
        <x:v>2</x:v>
      </x:c>
      <x:c r="E86" s="21" t="n">
        <x:v>2017</x:v>
      </x:c>
      <x:c r="F86" s="21" t="n">
        <x:v>1</x:v>
      </x:c>
      <x:c r="G86" s="21" t="n">
        <x:v>1</x:v>
      </x:c>
      <x:c r="H86" s="22" t="n">
        <x:v>1391348.7835388184</x:v>
      </x:c>
      <x:c r="I86" s="23" t="n">
        <x:v>-0.010880517894231834</x:v>
      </x:c>
      <x:c r="J86" s="24" t="n">
        <x:v>3470</x:v>
      </x:c>
      <x:c r="K86" s="25" t="n">
        <x:v>43.210554250033965</x:v>
      </x:c>
      <x:c r="L86" s="25" t="n">
        <x:v>15.48263719991155</x:v>
      </x:c>
      <x:c r="M86" s="25" t="n">
        <x:v>22.641855550011314</x:v>
      </x:c>
      <x:c r="N86" s="25" t="n">
        <x:v>1.1531279000246286</x:v>
      </x:c>
      <x:c r="O86" s="25" t="n">
        <x:v>3.9329336000864714</x:v>
      </x:c>
      <x:c r="P86" s="25" t="n">
        <x:v>0.03383274999869172</x:v>
      </x:c>
      <x:c r="Q86" s="25" t="n">
        <x:v>0.6728488040004592</x:v>
      </x:c>
      <x:c r="R86" s="25" t="n">
        <x:v>3.076952464999975</x:v>
      </x:c>
      <x:c r="S86" s="25" t="n">
        <x:v>3.599217533001047</x:v>
      </x:c>
      <x:c r="T86" s="25" t="n">
        <x:v>42.950748100000055</x:v>
      </x:c>
      <x:c r="U86" s="25" t="n">
        <x:v>43.470360400067875</x:v>
      </x:c>
      <x:c r="V86" s="25" t="n">
        <x:v>0.3674213809658946</x:v>
      </x:c>
      <x:c r="W86" s="19" t="str">
        <x:v>FRAME_GUARD</x:v>
      </x:c>
      <x:c r="X86" s="26" t="n">
        <x:f>IF(AND(J86&gt;0,E86=E86),1-J86/J86,"")</x:f>
        <x:v>0</x:v>
      </x:c>
      <x:c r="Y86" s="26" t="n">
        <x:f>IF(AND(K86&gt;0,E86=E86),1-K86/K86,"")</x:f>
        <x:v>0</x:v>
      </x:c>
      <x:c r="Z86" s="26" t="n">
        <x:f>IF(AND(ISNUMBER(P86),P86&gt;0,E86=E86),1-P86/P86,"")</x:f>
        <x:v>0</x:v>
      </x:c>
      <x:c r="AA86" s="26" t="n">
        <x:f>IF(AND(ISNUMBER(R86),ISNUMBER(R86),R86&gt;0,E86=E86),1-R86/R86,"")</x:f>
        <x:v>0</x:v>
      </x:c>
      <x:c r="AB86" s="26" t="n">
        <x:v>0.008503047168519155</x:v>
      </x:c>
      <x:c r="AC86" s="19" t="str">
        <x:v>D:/Codex/GRL研究/outputs/grid84/per_date.csv</x:v>
      </x:c>
    </x:row>
    <x:row r="87" ht="36" customHeight="1">
      <x:c r="A87" s="19" t="str">
        <x:v>GRID84</x:v>
      </x:c>
      <x:c r="B87" s="19" t="str">
        <x:v>2036-09-01_9</x:v>
      </x:c>
      <x:c r="C87" s="19" t="str">
        <x:v>FRAME_GUARD</x:v>
      </x:c>
      <x:c r="D87" s="21" t="n">
        <x:v>2</x:v>
      </x:c>
      <x:c r="E87" s="21" t="n">
        <x:v>2017</x:v>
      </x:c>
      <x:c r="F87" s="21" t="n">
        <x:v>1</x:v>
      </x:c>
      <x:c r="G87" s="21" t="n">
        <x:v>1</x:v>
      </x:c>
      <x:c r="H87" s="22" t="n">
        <x:v>1392633.7291259766</x:v>
      </x:c>
      <x:c r="I87" s="23" t="n">
        <x:v>-0.00023424970504537512</x:v>
      </x:c>
      <x:c r="J87" s="24" t="n">
        <x:v>1061</x:v>
      </x:c>
      <x:c r="K87" s="25" t="n">
        <x:v>38.174532799997905</x:v>
      </x:c>
      <x:c r="L87" s="25" t="n">
        <x:v>9.659316949946515</x:v>
      </x:c>
      <x:c r="M87" s="25" t="n">
        <x:v>23.867469999988316</x:v>
      </x:c>
      <x:c r="N87" s="25" t="n">
        <x:v>0.39308815001277253</x:v>
      </x:c>
      <x:c r="O87" s="25" t="n">
        <x:v>4.254657700050302</x:v>
      </x:c>
      <x:c r="P87" s="25" t="n">
        <x:v>0.028064459999586684</x:v>
      </x:c>
      <x:c r="Q87" s="25" t="n">
        <x:v>0.6617956059998686</x:v>
      </x:c>
      <x:c r="R87" s="25" t="n">
        <x:v>1.0004318124989369</x:v>
      </x:c>
      <x:c r="S87" s="25" t="n">
        <x:v>1.0037964024987742</x:v>
      </x:c>
      <x:c r="T87" s="25" t="n">
        <x:v>38.174205299994355</x:v>
      </x:c>
      <x:c r="U87" s="25" t="n">
        <x:v>38.174860300001455</x:v>
      </x:c>
      <x:c r="V87" s="25" t="n">
        <x:v>0.00046315494669776734</x:v>
      </x:c>
      <x:c r="W87" s="19" t="str">
        <x:v>FRAME_GUARD</x:v>
      </x:c>
      <x:c r="X87" s="26" t="n">
        <x:f>IF(AND(J87&gt;0,E87=E87),1-J87/J87,"")</x:f>
        <x:v>0</x:v>
      </x:c>
      <x:c r="Y87" s="26" t="n">
        <x:f>IF(AND(K87&gt;0,E87=E87),1-K87/K87,"")</x:f>
        <x:v>0</x:v>
      </x:c>
      <x:c r="Z87" s="26" t="n">
        <x:f>IF(AND(ISNUMBER(P87),P87&gt;0,E87=E87),1-P87/P87,"")</x:f>
        <x:v>0</x:v>
      </x:c>
      <x:c r="AA87" s="26" t="n">
        <x:f>IF(AND(ISNUMBER(R87),ISNUMBER(R87),R87&gt;0,E87=E87),1-R87/R87,"")</x:f>
        <x:v>0</x:v>
      </x:c>
      <x:c r="AB87" s="26" t="n">
        <x:v>0.000012132563589561278</x:v>
      </x:c>
      <x:c r="AC87" s="19" t="str">
        <x:v>D:/Codex/GRL研究/outputs/grid84/per_date.csv</x:v>
      </x:c>
    </x:row>
    <x:row r="88" ht="36" customHeight="1">
      <x:c r="A88" s="19" t="str">
        <x:v>GRID84</x:v>
      </x:c>
      <x:c r="B88" s="19" t="str">
        <x:v>2036-11-03_9</x:v>
      </x:c>
      <x:c r="C88" s="19" t="str">
        <x:v>FRAME_GUARD</x:v>
      </x:c>
      <x:c r="D88" s="21" t="n">
        <x:v>2</x:v>
      </x:c>
      <x:c r="E88" s="21" t="n">
        <x:v>519</x:v>
      </x:c>
      <x:c r="F88" s="21" t="n">
        <x:v>1</x:v>
      </x:c>
      <x:c r="G88" s="21" t="n">
        <x:v>0</x:v>
      </x:c>
      <x:c r="H88" s="22" t="n">
        <x:v>361332.79052734375</x:v>
      </x:c>
      <x:c r="I88" s="23"/>
      <x:c r="J88" s="24" t="n">
        <x:v>0</x:v>
      </x:c>
      <x:c r="K88" s="25" t="n">
        <x:v>14.527134900008605</x:v>
      </x:c>
      <x:c r="L88" s="25" t="n">
        <x:v>1.8654583000352432</x:v>
      </x:c>
      <x:c r="M88" s="25" t="n">
        <x:v>11.75759694999033</x:v>
      </x:c>
      <x:c r="N88" s="25" t="n">
        <x:v>0</x:v>
      </x:c>
      <x:c r="O88" s="25" t="n">
        <x:v>0.9040796499830321</x:v>
      </x:c>
      <x:c r="P88" s="25" t="n">
        <x:v>0.028326794999702504</x:v>
      </x:c>
      <x:c r="Q88" s="25" t="n">
        <x:v>0.8012479039993606</x:v>
      </x:c>
      <x:c r="R88" s="25"/>
      <x:c r="S88" s="25"/>
      <x:c r="T88" s="25" t="n">
        <x:v>14.421955200010416</x:v>
      </x:c>
      <x:c r="U88" s="25" t="n">
        <x:v>14.632314600006794</x:v>
      </x:c>
      <x:c r="V88" s="25" t="n">
        <x:v>0.1487465582237721</x:v>
      </x:c>
      <x:c r="W88" s="19" t="str">
        <x:v>FRAME_GUARD</x:v>
      </x:c>
      <x:c r="X88" s="26" t="str">
        <x:f>IF(AND(J88&gt;0,E88=E88),1-J88/J88,"")</x:f>
      </x:c>
      <x:c r="Y88" s="26" t="n">
        <x:f>IF(AND(K88&gt;0,E88=E88),1-K88/K88,"")</x:f>
        <x:v>0</x:v>
      </x:c>
      <x:c r="Z88" s="26" t="n">
        <x:f>IF(AND(ISNUMBER(P88),P88&gt;0,E88=E88),1-P88/P88,"")</x:f>
        <x:v>0</x:v>
      </x:c>
      <x:c r="AA88" s="26" t="str">
        <x:f>IF(AND(ISNUMBER(R88),ISNUMBER(R88),R88&gt;0,E88=E88),1-R88/R88,"")</x:f>
      </x:c>
      <x:c r="AB88" s="26" t="n">
        <x:v>0.010239221928315955</x:v>
      </x:c>
      <x:c r="AC88" s="19" t="str">
        <x:v>D:/Codex/GRL研究/outputs/grid84/per_date.csv</x:v>
      </x:c>
    </x:row>
    <x:row r="89" ht="36" customHeight="1">
      <x:c r="A89" s="19" t="str">
        <x:v>GRID84</x:v>
      </x:c>
      <x:c r="B89" s="19" t="str">
        <x:v>2036-01-07_9</x:v>
      </x:c>
      <x:c r="C89" s="19" t="str">
        <x:v>META_CONTEXT0</x:v>
      </x:c>
      <x:c r="D89" s="21" t="n">
        <x:v>2</x:v>
      </x:c>
      <x:c r="E89" s="21" t="n">
        <x:v>2017</x:v>
      </x:c>
      <x:c r="F89" s="21" t="n">
        <x:v>1</x:v>
      </x:c>
      <x:c r="G89" s="21" t="n">
        <x:v>1</x:v>
      </x:c>
      <x:c r="H89" s="22" t="n">
        <x:v>2412707.07421875</x:v>
      </x:c>
      <x:c r="I89" s="23" t="n">
        <x:v>0.0008663102138171119</x:v>
      </x:c>
      <x:c r="J89" s="24" t="n">
        <x:v>2624</x:v>
      </x:c>
      <x:c r="K89" s="25" t="n">
        <x:v>87.44331149999744</x:v>
      </x:c>
      <x:c r="L89" s="25" t="n">
        <x:v>18.127614150113004</x:v>
      </x:c>
      <x:c r="M89" s="25" t="n">
        <x:v>63.92218249995858</x:v>
      </x:c>
      <x:c r="N89" s="25" t="n">
        <x:v>0.5802918498666259</x:v>
      </x:c>
      <x:c r="O89" s="25" t="n">
        <x:v>4.813223000059224</x:v>
      </x:c>
      <x:c r="P89" s="25" t="n">
        <x:v>0.03467934000072999</x:v>
      </x:c>
      <x:c r="Q89" s="25" t="n">
        <x:v>1.0344772379987948</x:v>
      </x:c>
      <x:c r="R89" s="25" t="n">
        <x:v>4.6575612999989975</x:v>
      </x:c>
      <x:c r="S89" s="25" t="n">
        <x:v>4.900017139998891</x:v>
      </x:c>
      <x:c r="T89" s="25" t="n">
        <x:v>84.03443349999725</x:v>
      </x:c>
      <x:c r="U89" s="25" t="n">
        <x:v>90.85218949999762</x:v>
      </x:c>
      <x:c r="V89" s="25" t="n">
        <x:v>4.820881500075535</x:v>
      </x:c>
      <x:c r="W89" s="19" t="str">
        <x:v>FRAME_GUARD</x:v>
      </x:c>
      <x:c r="X89" s="26" t="n">
        <x:f>IF(AND(J83&gt;0,E89=E83),1-J89/J83,"")</x:f>
        <x:v>-0.8324022346368716</x:v>
      </x:c>
      <x:c r="Y89" s="26" t="n">
        <x:f>IF(AND(K83&gt;0,E89=E83),1-K89/K83,"")</x:f>
        <x:v>-0.04148536534625258</x:v>
      </x:c>
      <x:c r="Z89" s="26" t="n">
        <x:f>IF(AND(ISNUMBER(P83),P83&gt;0,E89=E83),1-P89/P83,"")</x:f>
        <x:v>0.027853589905999177</x:v>
      </x:c>
      <x:c r="AA89" s="26" t="n">
        <x:f>IF(AND(ISNUMBER(R89),ISNUMBER(R83),R83&gt;0,E89=E83),1-R89/R83,"")</x:f>
        <x:v>-0.439436938373833</x:v>
      </x:c>
      <x:c r="AB89" s="26" t="n">
        <x:v>0.05513150654267795</x:v>
      </x:c>
      <x:c r="AC89" s="19" t="str">
        <x:v>D:/Codex/GRL研究/outputs/grid84/per_date.csv</x:v>
      </x:c>
    </x:row>
    <x:row r="90" ht="36" customHeight="1">
      <x:c r="A90" s="19" t="str">
        <x:v>GRID84</x:v>
      </x:c>
      <x:c r="B90" s="19" t="str">
        <x:v>2036-03-03_9</x:v>
      </x:c>
      <x:c r="C90" s="19" t="str">
        <x:v>META_CONTEXT0</x:v>
      </x:c>
      <x:c r="D90" s="21" t="n">
        <x:v>2</x:v>
      </x:c>
      <x:c r="E90" s="21" t="n">
        <x:v>1720</x:v>
      </x:c>
      <x:c r="F90" s="21" t="n">
        <x:v>1</x:v>
      </x:c>
      <x:c r="G90" s="21" t="n">
        <x:v>0</x:v>
      </x:c>
      <x:c r="H90" s="22" t="n">
        <x:v>2292538.4912719727</x:v>
      </x:c>
      <x:c r="I90" s="23"/>
      <x:c r="J90" s="24" t="n">
        <x:v>5964</x:v>
      </x:c>
      <x:c r="K90" s="25" t="n">
        <x:v>70.91859645000477</x:v>
      </x:c>
      <x:c r="L90" s="25" t="n">
        <x:v>26.251103000176954</x:v>
      </x:c>
      <x:c r="M90" s="25" t="n">
        <x:v>38.801035649998084</x:v>
      </x:c>
      <x:c r="N90" s="25" t="n">
        <x:v>1.2256685499487503</x:v>
      </x:c>
      <x:c r="O90" s="25" t="n">
        <x:v>4.6407892498809815</x:v>
      </x:c>
      <x:c r="P90" s="25" t="n">
        <x:v>0.0343018974998813</x:v>
      </x:c>
      <x:c r="Q90" s="25" t="n">
        <x:v>1.1124851519992962</x:v>
      </x:c>
      <x:c r="R90" s="25" t="n">
        <x:v>3.028828027500185</x:v>
      </x:c>
      <x:c r="S90" s="25" t="n">
        <x:v>3.093030805500584</x:v>
      </x:c>
      <x:c r="T90" s="25" t="n">
        <x:v>68.73138850000396</x:v>
      </x:c>
      <x:c r="U90" s="25" t="n">
        <x:v>73.10580440000558</x:v>
      </x:c>
      <x:c r="V90" s="25" t="n">
        <x:v>3.093179146621402</x:v>
      </x:c>
      <x:c r="W90" s="19" t="str">
        <x:v>FRAME_GUARD</x:v>
      </x:c>
      <x:c r="X90" s="26" t="n">
        <x:f>IF(AND(J84&gt;0,E90=E84),1-J90/J84,"")</x:f>
        <x:v>-0.16735173223722843</x:v>
      </x:c>
      <x:c r="Y90" s="26" t="n">
        <x:f>IF(AND(K84&gt;0,E90=E84),1-K90/K84,"")</x:f>
        <x:v>-0.029749734810393003</x:v>
      </x:c>
      <x:c r="Z90" s="26" t="n">
        <x:f>IF(AND(ISNUMBER(P84),P84&gt;0,E90=E84),1-P90/P84,"")</x:f>
        <x:v>0.01404796149384735</x:v>
      </x:c>
      <x:c r="AA90" s="26" t="n">
        <x:f>IF(AND(ISNUMBER(R90),ISNUMBER(R84),R84&gt;0,E90=E84),1-R90/R84,"")</x:f>
        <x:v>0.2395517048892416</x:v>
      </x:c>
      <x:c r="AB90" s="26" t="n">
        <x:v>0.04361591037411448</x:v>
      </x:c>
      <x:c r="AC90" s="19" t="str">
        <x:v>D:/Codex/GRL研究/outputs/grid84/per_date.csv</x:v>
      </x:c>
    </x:row>
    <x:row r="91" ht="36" customHeight="1">
      <x:c r="A91" s="19" t="str">
        <x:v>GRID84</x:v>
      </x:c>
      <x:c r="B91" s="19" t="str">
        <x:v>2036-05-05_9</x:v>
      </x:c>
      <x:c r="C91" s="19" t="str">
        <x:v>META_CONTEXT0</x:v>
      </x:c>
      <x:c r="D91" s="21" t="n">
        <x:v>2</x:v>
      </x:c>
      <x:c r="E91" s="21" t="n">
        <x:v>2017</x:v>
      </x:c>
      <x:c r="F91" s="21" t="n">
        <x:v>1</x:v>
      </x:c>
      <x:c r="G91" s="21" t="n">
        <x:v>1</x:v>
      </x:c>
      <x:c r="H91" s="22" t="n">
        <x:v>1779479.3731079102</x:v>
      </x:c>
      <x:c r="I91" s="23" t="n">
        <x:v>0</x:v>
      </x:c>
      <x:c r="J91" s="24" t="n">
        <x:v>1536</x:v>
      </x:c>
      <x:c r="K91" s="25" t="n">
        <x:v>45.32951930003037</x:v>
      </x:c>
      <x:c r="L91" s="25" t="n">
        <x:v>9.922828699933234</x:v>
      </x:c>
      <x:c r="M91" s="25" t="n">
        <x:v>30.79360149999593</x:v>
      </x:c>
      <x:c r="N91" s="25" t="n">
        <x:v>0.3293998500066664</x:v>
      </x:c>
      <x:c r="O91" s="25" t="n">
        <x:v>4.28368925009454</x:v>
      </x:c>
      <x:c r="P91" s="25" t="n">
        <x:v>0.031571100001019654</x:v>
      </x:c>
      <x:c r="Q91" s="25" t="n">
        <x:v>0.6763366240001776</x:v>
      </x:c>
      <x:c r="R91" s="25" t="n">
        <x:v>3.478250189999744</x:v>
      </x:c>
      <x:c r="S91" s="25" t="n">
        <x:v>3.622895517999641</x:v>
      </x:c>
      <x:c r="T91" s="25" t="n">
        <x:v>44.53678330005641</x:v>
      </x:c>
      <x:c r="U91" s="25" t="n">
        <x:v>46.122255300004326</x:v>
      </x:c>
      <x:c r="V91" s="25" t="n">
        <x:v>1.1210980025445667</x:v>
      </x:c>
      <x:c r="W91" s="19" t="str">
        <x:v>FRAME_GUARD</x:v>
      </x:c>
      <x:c r="X91" s="26" t="n">
        <x:f>IF(AND(J85&gt;0,E91=E85),1-J91/J85,"")</x:f>
        <x:v>-2.383259911894273</x:v>
      </x:c>
      <x:c r="Y91" s="26" t="n">
        <x:f>IF(AND(K85&gt;0,E91=E85),1-K91/K85,"")</x:f>
        <x:v>-0.2681225970718095</x:v>
      </x:c>
      <x:c r="Z91" s="26" t="n">
        <x:f>IF(AND(ISNUMBER(P85),P85&gt;0,E91=E85),1-P91/P85,"")</x:f>
        <x:v>-0.11735657587702653</x:v>
      </x:c>
      <x:c r="AA91" s="26" t="n">
        <x:f>IF(AND(ISNUMBER(R91),ISNUMBER(R85),R85&gt;0,E91=E85),1-R91/R85,"")</x:f>
        <x:v>0.12485751117337118</x:v>
      </x:c>
      <x:c r="AB91" s="26" t="n">
        <x:v>0.0247321837922913</x:v>
      </x:c>
      <x:c r="AC91" s="19" t="str">
        <x:v>D:/Codex/GRL研究/outputs/grid84/per_date.csv</x:v>
      </x:c>
    </x:row>
    <x:row r="92" ht="36" customHeight="1">
      <x:c r="A92" s="19" t="str">
        <x:v>GRID84</x:v>
      </x:c>
      <x:c r="B92" s="19" t="str">
        <x:v>2036-07-07_9</x:v>
      </x:c>
      <x:c r="C92" s="19" t="str">
        <x:v>META_CONTEXT0</x:v>
      </x:c>
      <x:c r="D92" s="21" t="n">
        <x:v>2</x:v>
      </x:c>
      <x:c r="E92" s="21" t="n">
        <x:v>2017</x:v>
      </x:c>
      <x:c r="F92" s="21" t="n">
        <x:v>1</x:v>
      </x:c>
      <x:c r="G92" s="21" t="n">
        <x:v>1</x:v>
      </x:c>
      <x:c r="H92" s="22" t="n">
        <x:v>1411964.749206543</x:v>
      </x:c>
      <x:c r="I92" s="23" t="n">
        <x:v>0.0037755148170666164</x:v>
      </x:c>
      <x:c r="J92" s="24" t="n">
        <x:v>4685</x:v>
      </x:c>
      <x:c r="K92" s="25" t="n">
        <x:v>49.3444395999486</x:v>
      </x:c>
      <x:c r="L92" s="25" t="n">
        <x:v>19.486298449888636</x:v>
      </x:c>
      <x:c r="M92" s="25" t="n">
        <x:v>24.589202050005042</x:v>
      </x:c>
      <x:c r="N92" s="25" t="n">
        <x:v>1.2243684999466495</x:v>
      </x:c>
      <x:c r="O92" s="25" t="n">
        <x:v>4.044570600108273</x:v>
      </x:c>
      <x:c r="P92" s="25" t="n">
        <x:v>0.030920199999673055</x:v>
      </x:c>
      <x:c r="Q92" s="25" t="n">
        <x:v>0.671197593999677</x:v>
      </x:c>
      <x:c r="R92" s="25" t="n">
        <x:v>4.040872255000613</x:v>
      </x:c>
      <x:c r="S92" s="25" t="n">
        <x:v>4.272065011000559</x:v>
      </x:c>
      <x:c r="T92" s="25" t="n">
        <x:v>49.013597599954664</x:v>
      </x:c>
      <x:c r="U92" s="25" t="n">
        <x:v>49.67528159994254</x:v>
      </x:c>
      <x:c r="V92" s="25" t="n">
        <x:v>0.4678812433940638</x:v>
      </x:c>
      <x:c r="W92" s="19" t="str">
        <x:v>FRAME_GUARD</x:v>
      </x:c>
      <x:c r="X92" s="26" t="n">
        <x:f>IF(AND(J86&gt;0,E92=E86),1-J92/J86,"")</x:f>
        <x:v>-0.3501440922190202</x:v>
      </x:c>
      <x:c r="Y92" s="26" t="n">
        <x:f>IF(AND(K86&gt;0,E92=E86),1-K92/K86,"")</x:f>
        <x:v>-0.14195340597626815</x:v>
      </x:c>
      <x:c r="Z92" s="26" t="n">
        <x:f>IF(AND(ISNUMBER(P86),P86&gt;0,E92=E86),1-P92/P86,"")</x:f>
        <x:v>0.0860867059027508</x:v>
      </x:c>
      <x:c r="AA92" s="26" t="n">
        <x:f>IF(AND(ISNUMBER(R92),ISNUMBER(R86),R86&gt;0,E92=E86),1-R92/R86,"")</x:f>
        <x:v>-0.3132709396603064</x:v>
      </x:c>
      <x:c r="AB92" s="26" t="n">
        <x:v>0.009481944615995825</x:v>
      </x:c>
      <x:c r="AC92" s="19" t="str">
        <x:v>D:/Codex/GRL研究/outputs/grid84/per_date.csv</x:v>
      </x:c>
    </x:row>
    <x:row r="93" ht="36" customHeight="1">
      <x:c r="A93" s="19" t="str">
        <x:v>GRID84</x:v>
      </x:c>
      <x:c r="B93" s="19" t="str">
        <x:v>2036-09-01_9</x:v>
      </x:c>
      <x:c r="C93" s="19" t="str">
        <x:v>META_CONTEXT0</x:v>
      </x:c>
      <x:c r="D93" s="21" t="n">
        <x:v>2</x:v>
      </x:c>
      <x:c r="E93" s="21" t="n">
        <x:v>2017</x:v>
      </x:c>
      <x:c r="F93" s="21" t="n">
        <x:v>1</x:v>
      </x:c>
      <x:c r="G93" s="21" t="n">
        <x:v>1</x:v>
      </x:c>
      <x:c r="H93" s="22" t="n">
        <x:v>1392539.194595337</x:v>
      </x:c>
      <x:c r="I93" s="23" t="n">
        <x:v>-0.00030211563703952393</x:v>
      </x:c>
      <x:c r="J93" s="24" t="n">
        <x:v>1664</x:v>
      </x:c>
      <x:c r="K93" s="25" t="n">
        <x:v>39.523580699938975</x:v>
      </x:c>
      <x:c r="L93" s="25" t="n">
        <x:v>10.428653150027458</x:v>
      </x:c>
      <x:c r="M93" s="25" t="n">
        <x:v>24.34311914999489</x:v>
      </x:c>
      <x:c r="N93" s="25" t="n">
        <x:v>0.44235269994896953</x:v>
      </x:c>
      <x:c r="O93" s="25" t="n">
        <x:v>4.309455699967657</x:v>
      </x:c>
      <x:c r="P93" s="25" t="n">
        <x:v>0.02805118000069342</x:v>
      </x:c>
      <x:c r="Q93" s="25" t="n">
        <x:v>0.6591608999994785</x:v>
      </x:c>
      <x:c r="R93" s="25" t="n">
        <x:v>1.8312138900017998</x:v>
      </x:c>
      <x:c r="S93" s="25" t="n">
        <x:v>1.895707098002076</x:v>
      </x:c>
      <x:c r="T93" s="25" t="n">
        <x:v>39.3087901999279</x:v>
      </x:c>
      <x:c r="U93" s="25" t="n">
        <x:v>39.73837119995005</x:v>
      </x:c>
      <x:c r="V93" s="25" t="n">
        <x:v>0.30375963818456325</x:v>
      </x:c>
      <x:c r="W93" s="19" t="str">
        <x:v>FRAME_GUARD</x:v>
      </x:c>
      <x:c r="X93" s="26" t="n">
        <x:f>IF(AND(J87&gt;0,E93=E87),1-J93/J87,"")</x:f>
        <x:v>-0.5683317624882187</x:v>
      </x:c>
      <x:c r="Y93" s="26" t="n">
        <x:f>IF(AND(K87&gt;0,E93=E87),1-K93/K87,"")</x:f>
        <x:v>-0.03533894984409991</x:v>
      </x:c>
      <x:c r="Z93" s="26" t="n">
        <x:f>IF(AND(ISNUMBER(P87),P87&gt;0,E93=E87),1-P93/P87,"")</x:f>
        <x:v>0.00047319630926301315</x:v>
      </x:c>
      <x:c r="AA93" s="26" t="n">
        <x:f>IF(AND(ISNUMBER(R93),ISNUMBER(R87),R87&gt;0,E93=E87),1-R93/R87,"")</x:f>
        <x:v>-0.8304234902603578</x:v>
      </x:c>
      <x:c r="AB93" s="26" t="n">
        <x:v>0.007685529317059885</x:v>
      </x:c>
      <x:c r="AC93" s="19" t="str">
        <x:v>D:/Codex/GRL研究/outputs/grid84/per_date.csv</x:v>
      </x:c>
    </x:row>
    <x:row r="94" ht="36" customHeight="1">
      <x:c r="A94" s="19" t="str">
        <x:v>GRID84</x:v>
      </x:c>
      <x:c r="B94" s="19" t="str">
        <x:v>2036-11-03_9</x:v>
      </x:c>
      <x:c r="C94" s="19" t="str">
        <x:v>META_CONTEXT0</x:v>
      </x:c>
      <x:c r="D94" s="21" t="n">
        <x:v>2</x:v>
      </x:c>
      <x:c r="E94" s="21" t="n">
        <x:v>519</x:v>
      </x:c>
      <x:c r="F94" s="21" t="n">
        <x:v>1</x:v>
      </x:c>
      <x:c r="G94" s="21" t="n">
        <x:v>0</x:v>
      </x:c>
      <x:c r="H94" s="22" t="n">
        <x:v>361332.79052734375</x:v>
      </x:c>
      <x:c r="I94" s="23"/>
      <x:c r="J94" s="24" t="n">
        <x:v>0</x:v>
      </x:c>
      <x:c r="K94" s="25" t="n">
        <x:v>14.739772899929449</x:v>
      </x:c>
      <x:c r="L94" s="25" t="n">
        <x:v>1.8754596000617312</x:v>
      </x:c>
      <x:c r="M94" s="25" t="n">
        <x:v>11.94725544999892</x:v>
      </x:c>
      <x:c r="N94" s="25" t="n">
        <x:v>0</x:v>
      </x:c>
      <x:c r="O94" s="25" t="n">
        <x:v>0.9170578498687973</x:v>
      </x:c>
      <x:c r="P94" s="25" t="n">
        <x:v>0.028188450000925472</x:v>
      </x:c>
      <x:c r="Q94" s="25" t="n">
        <x:v>0.8203154910002253</x:v>
      </x:c>
      <x:c r="R94" s="25"/>
      <x:c r="S94" s="25"/>
      <x:c r="T94" s="25" t="n">
        <x:v>14.56813069996133</x:v>
      </x:c>
      <x:c r="U94" s="25" t="n">
        <x:v>14.911415099897567</x:v>
      </x:c>
      <x:c r="V94" s="25" t="n">
        <x:v>0.24273872707046842</x:v>
      </x:c>
      <x:c r="W94" s="19" t="str">
        <x:v>FRAME_GUARD</x:v>
      </x:c>
      <x:c r="X94" s="26" t="str">
        <x:f>IF(AND(J88&gt;0,E94=E88),1-J94/J88,"")</x:f>
      </x:c>
      <x:c r="Y94" s="26" t="n">
        <x:f>IF(AND(K88&gt;0,E94=E88),1-K94/K88,"")</x:f>
        <x:v>-0.014637297814362515</x:v>
      </x:c>
      <x:c r="Z94" s="26" t="n">
        <x:f>IF(AND(ISNUMBER(P88),P88&gt;0,E94=E88),1-P94/P88,"")</x:f>
        <x:v>0.004883891692600062</x:v>
      </x:c>
      <x:c r="AA94" s="26" t="str">
        <x:f>IF(AND(ISNUMBER(R94),ISNUMBER(R88),R88&gt;0,E94=E88),1-R94/R88,"")</x:f>
      </x:c>
      <x:c r="AB94" s="26" t="n">
        <x:v>0.016468281344526704</x:v>
      </x:c>
      <x:c r="AC94" s="19" t="str">
        <x:v>D:/Codex/GRL研究/outputs/grid84/per_date.csv</x:v>
      </x:c>
    </x:row>
    <x:row r="95" ht="36" customHeight="1">
      <x:c r="A95" s="19" t="str">
        <x:v>GRID84</x:v>
      </x:c>
      <x:c r="B95" s="19" t="str">
        <x:v>2036-01-07_9</x:v>
      </x:c>
      <x:c r="C95" s="19" t="str">
        <x:v>META_CONTEXT1</x:v>
      </x:c>
      <x:c r="D95" s="21" t="n">
        <x:v>2</x:v>
      </x:c>
      <x:c r="E95" s="21" t="n">
        <x:v>2017</x:v>
      </x:c>
      <x:c r="F95" s="21" t="n">
        <x:v>1</x:v>
      </x:c>
      <x:c r="G95" s="21" t="n">
        <x:v>1</x:v>
      </x:c>
      <x:c r="H95" s="22" t="n">
        <x:v>2412707.07421875</x:v>
      </x:c>
      <x:c r="I95" s="23" t="n">
        <x:v>0.0008663102138171119</x:v>
      </x:c>
      <x:c r="J95" s="24" t="n">
        <x:v>1432</x:v>
      </x:c>
      <x:c r="K95" s="25" t="n">
        <x:v>83.43237135001436</x:v>
      </x:c>
      <x:c r="L95" s="25" t="n">
        <x:v>15.234804949925092</x:v>
      </x:c>
      <x:c r="M95" s="25" t="n">
        <x:v>62.96516304999932</x:v>
      </x:c>
      <x:c r="N95" s="25" t="n">
        <x:v>0.5272736999813787</x:v>
      </x:c>
      <x:c r="O95" s="25" t="n">
        <x:v>4.705129650108574</x:v>
      </x:c>
      <x:c r="P95" s="25" t="n">
        <x:v>0.03473241999818125</x:v>
      </x:c>
      <x:c r="Q95" s="25" t="n">
        <x:v>0.8476488040007091</x:v>
      </x:c>
      <x:c r="R95" s="25" t="n">
        <x:v>3.222812760001034</x:v>
      </x:c>
      <x:c r="S95" s="25" t="n">
        <x:v>3.5061247120011103</x:v>
      </x:c>
      <x:c r="T95" s="25" t="n">
        <x:v>80.7817755000251</x:v>
      </x:c>
      <x:c r="U95" s="25" t="n">
        <x:v>86.08296720000362</x:v>
      </x:c>
      <x:c r="V95" s="25" t="n">
        <x:v>3.7485085994246514</x:v>
      </x:c>
      <x:c r="W95" s="19" t="str">
        <x:v>FRAME_GUARD</x:v>
      </x:c>
      <x:c r="X95" s="26" t="n">
        <x:f>IF(AND(J83&gt;0,E95=E83),1-J95/J83,"")</x:f>
        <x:v>0</x:v>
      </x:c>
      <x:c r="Y95" s="26" t="n">
        <x:f>IF(AND(K83&gt;0,E95=E83),1-K95/K83,"")</x:f>
        <x:v>0.006286561354935882</x:v>
      </x:c>
      <x:c r="Z95" s="26" t="n">
        <x:f>IF(AND(ISNUMBER(P83),P83&gt;0,E95=E83),1-P95/P83,"")</x:f>
        <x:v>0.026365628227115967</x:v>
      </x:c>
      <x:c r="AA95" s="26" t="n">
        <x:f>IF(AND(ISNUMBER(R95),ISNUMBER(R83),R83&gt;0,E95=E83),1-R95/R83,"")</x:f>
        <x:v>0.003977525275081328</x:v>
      </x:c>
      <x:c r="AB95" s="26" t="n">
        <x:v>0.04492870739222979</x:v>
      </x:c>
      <x:c r="AC95" s="19" t="str">
        <x:v>D:/Codex/GRL研究/outputs/grid84/per_date.csv</x:v>
      </x:c>
    </x:row>
    <x:row r="96" ht="36" customHeight="1">
      <x:c r="A96" s="19" t="str">
        <x:v>GRID84</x:v>
      </x:c>
      <x:c r="B96" s="19" t="str">
        <x:v>2036-03-03_9</x:v>
      </x:c>
      <x:c r="C96" s="19" t="str">
        <x:v>META_CONTEXT1</x:v>
      </x:c>
      <x:c r="D96" s="21" t="n">
        <x:v>2</x:v>
      </x:c>
      <x:c r="E96" s="21" t="n">
        <x:v>1720</x:v>
      </x:c>
      <x:c r="F96" s="21" t="n">
        <x:v>1</x:v>
      </x:c>
      <x:c r="G96" s="21" t="n">
        <x:v>0</x:v>
      </x:c>
      <x:c r="H96" s="22" t="n">
        <x:v>2300386.2553100586</x:v>
      </x:c>
      <x:c r="I96" s="23"/>
      <x:c r="J96" s="24" t="n">
        <x:v>5109</x:v>
      </x:c>
      <x:c r="K96" s="25" t="n">
        <x:v>70.95282350004891</x:v>
      </x:c>
      <x:c r="L96" s="25" t="n">
        <x:v>23.708581399983814</x:v>
      </x:c>
      <x:c r="M96" s="25" t="n">
        <x:v>41.61214160001509</x:v>
      </x:c>
      <x:c r="N96" s="25" t="n">
        <x:v>1.1221710000081657</x:v>
      </x:c>
      <x:c r="O96" s="25" t="n">
        <x:v>4.509929500041835</x:v>
      </x:c>
      <x:c r="P96" s="25" t="n">
        <x:v>0.03575435250131703</x:v>
      </x:c>
      <x:c r="Q96" s="25" t="n">
        <x:v>0.9039946675009912</x:v>
      </x:c>
      <x:c r="R96" s="25" t="n">
        <x:v>4.054172052499778</x:v>
      </x:c>
      <x:c r="S96" s="25" t="n">
        <x:v>4.6596083704993365</x:v>
      </x:c>
      <x:c r="T96" s="25" t="n">
        <x:v>68.51186580005378</x:v>
      </x:c>
      <x:c r="U96" s="25" t="n">
        <x:v>73.39378120004403</x:v>
      </x:c>
      <x:c r="V96" s="25" t="n">
        <x:v>3.452035484512141</x:v>
      </x:c>
      <x:c r="W96" s="19" t="str">
        <x:v>FRAME_GUARD</x:v>
      </x:c>
      <x:c r="X96" s="26" t="n">
        <x:f>IF(AND(J84&gt;0,E96=E84),1-J96/J84,"")</x:f>
        <x:v>0</x:v>
      </x:c>
      <x:c r="Y96" s="26" t="n">
        <x:f>IF(AND(K84&gt;0,E96=E84),1-K96/K84,"")</x:f>
        <x:v>-0.03024671723066885</x:v>
      </x:c>
      <x:c r="Z96" s="26" t="n">
        <x:f>IF(AND(ISNUMBER(P84),P84&gt;0,E96=E84),1-P96/P84,"")</x:f>
        <x:v>-0.027700486081362552</x:v>
      </x:c>
      <x:c r="AA96" s="26" t="n">
        <x:f>IF(AND(ISNUMBER(R96),ISNUMBER(R84),R84&gt;0,E96=E84),1-R96/R84,"")</x:f>
        <x:v>-0.017881569180293155</x:v>
      </x:c>
      <x:c r="AB96" s="26" t="n">
        <x:v>0.04865254565253153</x:v>
      </x:c>
      <x:c r="AC96" s="19" t="str">
        <x:v>D:/Codex/GRL研究/outputs/grid84/per_date.csv</x:v>
      </x:c>
    </x:row>
    <x:row r="97" ht="36" customHeight="1">
      <x:c r="A97" s="19" t="str">
        <x:v>GRID84</x:v>
      </x:c>
      <x:c r="B97" s="19" t="str">
        <x:v>2036-05-05_9</x:v>
      </x:c>
      <x:c r="C97" s="19" t="str">
        <x:v>META_CONTEXT1</x:v>
      </x:c>
      <x:c r="D97" s="21" t="n">
        <x:v>2</x:v>
      </x:c>
      <x:c r="E97" s="21" t="n">
        <x:v>2017</x:v>
      </x:c>
      <x:c r="F97" s="21" t="n">
        <x:v>1</x:v>
      </x:c>
      <x:c r="G97" s="21" t="n">
        <x:v>1</x:v>
      </x:c>
      <x:c r="H97" s="22" t="n">
        <x:v>1732291.8922729492</x:v>
      </x:c>
      <x:c r="I97" s="23" t="n">
        <x:v>-0.02651757674074451</x:v>
      </x:c>
      <x:c r="J97" s="24" t="n">
        <x:v>454</x:v>
      </x:c>
      <x:c r="K97" s="25" t="n">
        <x:v>35.64872475001721</x:v>
      </x:c>
      <x:c r="L97" s="25" t="n">
        <x:v>7.746575999932247</x:v>
      </x:c>
      <x:c r="M97" s="25" t="n">
        <x:v>23.707709350019286</x:v>
      </x:c>
      <x:c r="N97" s="25" t="n">
        <x:v>0.10251969996170374</x:v>
      </x:c>
      <x:c r="O97" s="25" t="n">
        <x:v>4.091919700103972</x:v>
      </x:c>
      <x:c r="P97" s="25" t="n">
        <x:v>0.02798749999965366</x:v>
      </x:c>
      <x:c r="Q97" s="25" t="n">
        <x:v>0.546086602001358</x:v>
      </x:c>
      <x:c r="R97" s="25" t="n">
        <x:v>3.99503575000017</x:v>
      </x:c>
      <x:c r="S97" s="25" t="n">
        <x:v>3.99503575000017</x:v>
      </x:c>
      <x:c r="T97" s="25" t="n">
        <x:v>35.59995009998602</x:v>
      </x:c>
      <x:c r="U97" s="25" t="n">
        <x:v>35.6974994000484</x:v>
      </x:c>
      <x:c r="V97" s="25" t="n">
        <x:v>0.0689777715741122</x:v>
      </x:c>
      <x:c r="W97" s="19" t="str">
        <x:v>FRAME_GUARD</x:v>
      </x:c>
      <x:c r="X97" s="26" t="n">
        <x:f>IF(AND(J85&gt;0,E97=E85),1-J97/J85,"")</x:f>
        <x:v>0</x:v>
      </x:c>
      <x:c r="Y97" s="26" t="n">
        <x:f>IF(AND(K85&gt;0,E97=E85),1-K97/K85,"")</x:f>
        <x:v>0.002703886774735209</x:v>
      </x:c>
      <x:c r="Z97" s="26" t="n">
        <x:f>IF(AND(ISNUMBER(P85),P85&gt;0,E97=E85),1-P97/P85,"")</x:f>
        <x:v>0.009473310528891887</x:v>
      </x:c>
      <x:c r="AA97" s="26" t="n">
        <x:f>IF(AND(ISNUMBER(R97),ISNUMBER(R85),R85&gt;0,E97=E85),1-R97/R85,"")</x:f>
        <x:v>-0.005167925889415059</x:v>
      </x:c>
      <x:c r="AB97" s="26" t="n">
        <x:v>0.001934929567826375</x:v>
      </x:c>
      <x:c r="AC97" s="19" t="str">
        <x:v>D:/Codex/GRL研究/outputs/grid84/per_date.csv</x:v>
      </x:c>
    </x:row>
    <x:row r="98" ht="36" customHeight="1">
      <x:c r="A98" s="19" t="str">
        <x:v>GRID84</x:v>
      </x:c>
      <x:c r="B98" s="19" t="str">
        <x:v>2036-07-07_9</x:v>
      </x:c>
      <x:c r="C98" s="19" t="str">
        <x:v>META_CONTEXT1</x:v>
      </x:c>
      <x:c r="D98" s="21" t="n">
        <x:v>2</x:v>
      </x:c>
      <x:c r="E98" s="21" t="n">
        <x:v>2017</x:v>
      </x:c>
      <x:c r="F98" s="21" t="n">
        <x:v>1</x:v>
      </x:c>
      <x:c r="G98" s="21" t="n">
        <x:v>1</x:v>
      </x:c>
      <x:c r="H98" s="22" t="n">
        <x:v>1391348.7835388184</x:v>
      </x:c>
      <x:c r="I98" s="23" t="n">
        <x:v>-0.010880517894231834</x:v>
      </x:c>
      <x:c r="J98" s="24" t="n">
        <x:v>3470</x:v>
      </x:c>
      <x:c r="K98" s="25" t="n">
        <x:v>43.29218175005553</x:v>
      </x:c>
      <x:c r="L98" s="25" t="n">
        <x:v>15.639839800074697</x:v>
      </x:c>
      <x:c r="M98" s="25" t="n">
        <x:v>22.706154700017578</x:v>
      </x:c>
      <x:c r="N98" s="25" t="n">
        <x:v>1.0245390999134543</x:v>
      </x:c>
      <x:c r="O98" s="25" t="n">
        <x:v>3.921648150049805</x:v>
      </x:c>
      <x:c r="P98" s="25" t="n">
        <x:v>0.033756349999384816</x:v>
      </x:c>
      <x:c r="Q98" s="25" t="n">
        <x:v>0.6706591639992256</x:v>
      </x:c>
      <x:c r="R98" s="25" t="n">
        <x:v>3.170713102501302</x:v>
      </x:c>
      <x:c r="S98" s="25" t="n">
        <x:v>3.860910700501318</x:v>
      </x:c>
      <x:c r="T98" s="25" t="n">
        <x:v>43.03694410002572</x:v>
      </x:c>
      <x:c r="U98" s="25" t="n">
        <x:v>43.547419400085346</x:v>
      </x:c>
      <x:c r="V98" s="25" t="n">
        <x:v>0.36096054630039826</x:v>
      </x:c>
      <x:c r="W98" s="19" t="str">
        <x:v>FRAME_GUARD</x:v>
      </x:c>
      <x:c r="X98" s="26" t="n">
        <x:f>IF(AND(J86&gt;0,E98=E86),1-J98/J86,"")</x:f>
        <x:v>0</x:v>
      </x:c>
      <x:c r="Y98" s="26" t="n">
        <x:f>IF(AND(K86&gt;0,E98=E86),1-K98/K86,"")</x:f>
        <x:v>-0.0018890639437123546</x:v>
      </x:c>
      <x:c r="Z98" s="26" t="n">
        <x:f>IF(AND(ISNUMBER(P86),P86&gt;0,E98=E86),1-P98/P86,"")</x:f>
        <x:v>0.002258166992333166</x:v>
      </x:c>
      <x:c r="AA98" s="26" t="n">
        <x:f>IF(AND(ISNUMBER(R98),ISNUMBER(R86),R86&gt;0,E98=E86),1-R98/R86,"")</x:f>
        <x:v>-0.030471916146851408</x:v>
      </x:c>
      <x:c r="AB98" s="26" t="n">
        <x:v>0.008337776746489226</x:v>
      </x:c>
      <x:c r="AC98" s="19" t="str">
        <x:v>D:/Codex/GRL研究/outputs/grid84/per_date.csv</x:v>
      </x:c>
    </x:row>
    <x:row r="99" ht="36" customHeight="1">
      <x:c r="A99" s="19" t="str">
        <x:v>GRID84</x:v>
      </x:c>
      <x:c r="B99" s="19" t="str">
        <x:v>2036-09-01_9</x:v>
      </x:c>
      <x:c r="C99" s="19" t="str">
        <x:v>META_CONTEXT1</x:v>
      </x:c>
      <x:c r="D99" s="21" t="n">
        <x:v>2</x:v>
      </x:c>
      <x:c r="E99" s="21" t="n">
        <x:v>2017</x:v>
      </x:c>
      <x:c r="F99" s="21" t="n">
        <x:v>1</x:v>
      </x:c>
      <x:c r="G99" s="21" t="n">
        <x:v>1</x:v>
      </x:c>
      <x:c r="H99" s="22" t="n">
        <x:v>1392633.7291259766</x:v>
      </x:c>
      <x:c r="I99" s="23" t="n">
        <x:v>-0.00023424970504537512</x:v>
      </x:c>
      <x:c r="J99" s="24" t="n">
        <x:v>1061</x:v>
      </x:c>
      <x:c r="K99" s="25" t="n">
        <x:v>39.27926969997861</x:v>
      </x:c>
      <x:c r="L99" s="25" t="n">
        <x:v>9.74641210000118</x:v>
      </x:c>
      <x:c r="M99" s="25" t="n">
        <x:v>24.680685099994662</x:v>
      </x:c>
      <x:c r="N99" s="25" t="n">
        <x:v>0.41569875000459433</x:v>
      </x:c>
      <x:c r="O99" s="25" t="n">
        <x:v>4.436473749978177</x:v>
      </x:c>
      <x:c r="P99" s="25" t="n">
        <x:v>0.02914694999926721</x:v>
      </x:c>
      <x:c r="Q99" s="25" t="n">
        <x:v>0.6639228600000933</x:v>
      </x:c>
      <x:c r="R99" s="25" t="n">
        <x:v>1.0447108500010471</x:v>
      </x:c>
      <x:c r="S99" s="25" t="n">
        <x:v>1.061024010000965</x:v>
      </x:c>
      <x:c r="T99" s="25" t="n">
        <x:v>38.01129009993747</x:v>
      </x:c>
      <x:c r="U99" s="25" t="n">
        <x:v>40.54724930001976</x:v>
      </x:c>
      <x:c r="V99" s="25" t="n">
        <x:v>1.7931939471905989</x:v>
      </x:c>
      <x:c r="W99" s="19" t="str">
        <x:v>FRAME_GUARD</x:v>
      </x:c>
      <x:c r="X99" s="26" t="n">
        <x:f>IF(AND(J87&gt;0,E99=E87),1-J99/J87,"")</x:f>
        <x:v>0</x:v>
      </x:c>
      <x:c r="Y99" s="26" t="n">
        <x:f>IF(AND(K87&gt;0,E99=E87),1-K99/K87,"")</x:f>
        <x:v>-0.028939107277843767</x:v>
      </x:c>
      <x:c r="Z99" s="26" t="n">
        <x:f>IF(AND(ISNUMBER(P87),P87&gt;0,E99=E87),1-P99/P87,"")</x:f>
        <x:v>-0.03857155989092487</x:v>
      </x:c>
      <x:c r="AA99" s="26" t="n">
        <x:f>IF(AND(ISNUMBER(R99),ISNUMBER(R87),R87&gt;0,E99=E87),1-R99/R87,"")</x:f>
        <x:v>-0.044259925513071785</x:v>
      </x:c>
      <x:c r="AB99" s="26" t="n">
        <x:v>0.045652425844148914</x:v>
      </x:c>
      <x:c r="AC99" s="19" t="str">
        <x:v>D:/Codex/GRL研究/outputs/grid84/per_date.csv</x:v>
      </x:c>
    </x:row>
    <x:row r="100" ht="36" customHeight="1">
      <x:c r="A100" s="19" t="str">
        <x:v>GRID84</x:v>
      </x:c>
      <x:c r="B100" s="19" t="str">
        <x:v>2036-11-03_9</x:v>
      </x:c>
      <x:c r="C100" s="19" t="str">
        <x:v>META_CONTEXT1</x:v>
      </x:c>
      <x:c r="D100" s="21" t="n">
        <x:v>2</x:v>
      </x:c>
      <x:c r="E100" s="21" t="n">
        <x:v>519</x:v>
      </x:c>
      <x:c r="F100" s="21" t="n">
        <x:v>1</x:v>
      </x:c>
      <x:c r="G100" s="21" t="n">
        <x:v>0</x:v>
      </x:c>
      <x:c r="H100" s="22" t="n">
        <x:v>361332.79052734375</x:v>
      </x:c>
      <x:c r="I100" s="23"/>
      <x:c r="J100" s="24" t="n">
        <x:v>0</x:v>
      </x:c>
      <x:c r="K100" s="25" t="n">
        <x:v>14.617705849999766</x:v>
      </x:c>
      <x:c r="L100" s="25" t="n">
        <x:v>1.8590915000204404</x:v>
      </x:c>
      <x:c r="M100" s="25" t="n">
        <x:v>11.854132450005636</x:v>
      </x:c>
      <x:c r="N100" s="25" t="n">
        <x:v>0</x:v>
      </x:c>
      <x:c r="O100" s="25" t="n">
        <x:v>0.904481899973689</x:v>
      </x:c>
      <x:c r="P100" s="25" t="n">
        <x:v>0.028301624999585287</x:v>
      </x:c>
      <x:c r="Q100" s="25" t="n">
        <x:v>0.806564033999353</x:v>
      </x:c>
      <x:c r="R100" s="25"/>
      <x:c r="S100" s="25"/>
      <x:c r="T100" s="25" t="n">
        <x:v>14.398849800025346</x:v>
      </x:c>
      <x:c r="U100" s="25" t="n">
        <x:v>14.836561899974186</x:v>
      </x:c>
      <x:c r="V100" s="25" t="n">
        <x:v>0.30950919408122846</x:v>
      </x:c>
      <x:c r="W100" s="19" t="str">
        <x:v>FRAME_GUARD</x:v>
      </x:c>
      <x:c r="X100" s="26" t="str">
        <x:f>IF(AND(J88&gt;0,E100=E88),1-J100/J88,"")</x:f>
      </x:c>
      <x:c r="Y100" s="26" t="n">
        <x:f>IF(AND(K88&gt;0,E100=E88),1-K100/K88,"")</x:f>
        <x:v>-0.006234605145100325</x:v>
      </x:c>
      <x:c r="Z100" s="26" t="n">
        <x:f>IF(AND(ISNUMBER(P88),P88&gt;0,E100=E88),1-P100/P88,"")</x:f>
        <x:v>0.0008885579931467991</x:v>
      </x:c>
      <x:c r="AA100" s="26" t="str">
        <x:f>IF(AND(ISNUMBER(R100),ISNUMBER(R88),R88&gt;0,E100=E88),1-R100/R88,"")</x:f>
      </x:c>
      <x:c r="AB100" s="26" t="n">
        <x:v>0.021173582042029765</x:v>
      </x:c>
      <x:c r="AC100" s="19" t="str">
        <x:v>D:/Codex/GRL研究/outputs/grid84/per_date.csv</x:v>
      </x:c>
    </x:row>
    <x:row r="101" ht="36" customHeight="1">
      <x:c r="A101" s="19" t="str">
        <x:v>GRID84</x:v>
      </x:c>
      <x:c r="B101" s="19" t="str">
        <x:v>2036-01-07_9</x:v>
      </x:c>
      <x:c r="C101" s="19" t="str">
        <x:v>META_CONTEXT2</x:v>
      </x:c>
      <x:c r="D101" s="21" t="n">
        <x:v>2</x:v>
      </x:c>
      <x:c r="E101" s="21" t="n">
        <x:v>2017</x:v>
      </x:c>
      <x:c r="F101" s="21" t="n">
        <x:v>1</x:v>
      </x:c>
      <x:c r="G101" s="21" t="n">
        <x:v>1</x:v>
      </x:c>
      <x:c r="H101" s="22" t="n">
        <x:v>2412707.07421875</x:v>
      </x:c>
      <x:c r="I101" s="23" t="n">
        <x:v>0.0008663102138171119</x:v>
      </x:c>
      <x:c r="J101" s="24" t="n">
        <x:v>1303</x:v>
      </x:c>
      <x:c r="K101" s="25" t="n">
        <x:v>84.082336150017</x:v>
      </x:c>
      <x:c r="L101" s="25" t="n">
        <x:v>14.93160504993648</x:v>
      </x:c>
      <x:c r="M101" s="25" t="n">
        <x:v>63.9366832000087</x:v>
      </x:c>
      <x:c r="N101" s="25" t="n">
        <x:v>0.5345134000162943</x:v>
      </x:c>
      <x:c r="O101" s="25" t="n">
        <x:v>4.679534500055524</x:v>
      </x:c>
      <x:c r="P101" s="25" t="n">
        <x:v>0.03468290999953743</x:v>
      </x:c>
      <x:c r="Q101" s="25" t="n">
        <x:v>0.843328179999225</x:v>
      </x:c>
      <x:c r="R101" s="25" t="n">
        <x:v>3.2123610500009816</x:v>
      </x:c>
      <x:c r="S101" s="25" t="n">
        <x:v>3.4846638500011613</x:v>
      </x:c>
      <x:c r="T101" s="25" t="n">
        <x:v>79.98699000003398</x:v>
      </x:c>
      <x:c r="U101" s="25" t="n">
        <x:v>88.17768230000001</x:v>
      </x:c>
      <x:c r="V101" s="25" t="n">
        <x:v>5.79169406791842</x:v>
      </x:c>
      <x:c r="W101" s="19" t="str">
        <x:v>FRAME_GUARD</x:v>
      </x:c>
      <x:c r="X101" s="26" t="n">
        <x:f>IF(AND(J83&gt;0,E101=E83),1-J101/J83,"")</x:f>
        <x:v>0.09008379888268159</x:v>
      </x:c>
      <x:c r="Y101" s="26" t="n">
        <x:f>IF(AND(K83&gt;0,E101=E83),1-K101/K83,"")</x:f>
        <x:v>-0.0014547834727125508</x:v>
      </x:c>
      <x:c r="Z101" s="26" t="n">
        <x:f>IF(AND(ISNUMBER(P83),P83&gt;0,E101=E83),1-P101/P83,"")</x:f>
        <x:v>0.02775351413971805</x:v>
      </x:c>
      <x:c r="AA101" s="26" t="n">
        <x:f>IF(AND(ISNUMBER(R101),ISNUMBER(R83),R83&gt;0,E101=E83),1-R101/R83,"")</x:f>
        <x:v>0.007207665787295259</x:v>
      </x:c>
      <x:c r="AB101" s="26" t="n">
        <x:v>0.06888122206292016</x:v>
      </x:c>
      <x:c r="AC101" s="19" t="str">
        <x:v>D:/Codex/GRL研究/outputs/grid84/per_date.csv</x:v>
      </x:c>
    </x:row>
    <x:row r="102" ht="36" customHeight="1">
      <x:c r="A102" s="19" t="str">
        <x:v>GRID84</x:v>
      </x:c>
      <x:c r="B102" s="19" t="str">
        <x:v>2036-03-03_9</x:v>
      </x:c>
      <x:c r="C102" s="19" t="str">
        <x:v>META_CONTEXT2</x:v>
      </x:c>
      <x:c r="D102" s="21" t="n">
        <x:v>2</x:v>
      </x:c>
      <x:c r="E102" s="21" t="n">
        <x:v>1720</x:v>
      </x:c>
      <x:c r="F102" s="21" t="n">
        <x:v>1</x:v>
      </x:c>
      <x:c r="G102" s="21" t="n">
        <x:v>0</x:v>
      </x:c>
      <x:c r="H102" s="22" t="n">
        <x:v>2303617.120239258</x:v>
      </x:c>
      <x:c r="I102" s="23"/>
      <x:c r="J102" s="24" t="n">
        <x:v>4521</x:v>
      </x:c>
      <x:c r="K102" s="25" t="n">
        <x:v>72.77309844992669</x:v>
      </x:c>
      <x:c r="L102" s="25" t="n">
        <x:v>22.56025045010756</x:v>
      </x:c>
      <x:c r="M102" s="25" t="n">
        <x:v>44.19693734999419</x:v>
      </x:c>
      <x:c r="N102" s="25" t="n">
        <x:v>1.251741700063576</x:v>
      </x:c>
      <x:c r="O102" s="25" t="n">
        <x:v>4.76416894976137</x:v>
      </x:c>
      <x:c r="P102" s="25" t="n">
        <x:v>0.0383754099989346</x:v>
      </x:c>
      <x:c r="Q102" s="25" t="n">
        <x:v>0.9401115789997667</x:v>
      </x:c>
      <x:c r="R102" s="25" t="n">
        <x:v>3.263705127498815</x:v>
      </x:c>
      <x:c r="S102" s="25" t="n">
        <x:v>3.321940545498564</x:v>
      </x:c>
      <x:c r="T102" s="25" t="n">
        <x:v>66.81363249994683</x:v>
      </x:c>
      <x:c r="U102" s="25" t="n">
        <x:v>78.73256439990655</x:v>
      </x:c>
      <x:c r="V102" s="25" t="n">
        <x:v>8.427957570962176</x:v>
      </x:c>
      <x:c r="W102" s="19" t="str">
        <x:v>FRAME_GUARD</x:v>
      </x:c>
      <x:c r="X102" s="26" t="n">
        <x:f>IF(AND(J84&gt;0,E102=E84),1-J102/J84,"")</x:f>
        <x:v>0.11509101585437465</x:v>
      </x:c>
      <x:c r="Y102" s="26" t="n">
        <x:f>IF(AND(K84&gt;0,E102=E84),1-K102/K84,"")</x:f>
        <x:v>-0.05667741017648953</x:v>
      </x:c>
      <x:c r="Z102" s="26" t="n">
        <x:f>IF(AND(ISNUMBER(P84),P84&gt;0,E102=E84),1-P102/P84,"")</x:f>
        <x:v>-0.10303850441771889</x:v>
      </x:c>
      <x:c r="AA102" s="26" t="n">
        <x:f>IF(AND(ISNUMBER(R102),ISNUMBER(R84),R84&gt;0,E102=E84),1-R102/R84,"")</x:f>
        <x:v>0.18058107709762916</x:v>
      </x:c>
      <x:c r="AB102" s="26" t="n">
        <x:v>0.11581144338331613</x:v>
      </x:c>
      <x:c r="AC102" s="19" t="str">
        <x:v>D:/Codex/GRL研究/outputs/grid84/per_date.csv</x:v>
      </x:c>
    </x:row>
    <x:row r="103" ht="36" customHeight="1">
      <x:c r="A103" s="19" t="str">
        <x:v>GRID84</x:v>
      </x:c>
      <x:c r="B103" s="19" t="str">
        <x:v>2036-05-05_9</x:v>
      </x:c>
      <x:c r="C103" s="19" t="str">
        <x:v>META_CONTEXT2</x:v>
      </x:c>
      <x:c r="D103" s="21" t="n">
        <x:v>2</x:v>
      </x:c>
      <x:c r="E103" s="21" t="n">
        <x:v>2017</x:v>
      </x:c>
      <x:c r="F103" s="21" t="n">
        <x:v>1</x:v>
      </x:c>
      <x:c r="G103" s="21" t="n">
        <x:v>1</x:v>
      </x:c>
      <x:c r="H103" s="22" t="n">
        <x:v>1732291.8922729492</x:v>
      </x:c>
      <x:c r="I103" s="23" t="n">
        <x:v>-0.02651757674074451</x:v>
      </x:c>
      <x:c r="J103" s="24" t="n">
        <x:v>454</x:v>
      </x:c>
      <x:c r="K103" s="25" t="n">
        <x:v>35.74078574991108</x:v>
      </x:c>
      <x:c r="L103" s="25" t="n">
        <x:v>7.77083820002008</x:v>
      </x:c>
      <x:c r="M103" s="25" t="n">
        <x:v>23.72671715001161</x:v>
      </x:c>
      <x:c r="N103" s="25" t="n">
        <x:v>0.10439714996391558</x:v>
      </x:c>
      <x:c r="O103" s="25" t="n">
        <x:v>4.1388332499154785</x:v>
      </x:c>
      <x:c r="P103" s="25" t="n">
        <x:v>0.02804296999856888</x:v>
      </x:c>
      <x:c r="Q103" s="25" t="n">
        <x:v>0.5485265580002822</x:v>
      </x:c>
      <x:c r="R103" s="25" t="n">
        <x:v>3.990880199999083</x:v>
      </x:c>
      <x:c r="S103" s="25" t="n">
        <x:v>3.990880199999083</x:v>
      </x:c>
      <x:c r="T103" s="25" t="n">
        <x:v>35.579292299895314</x:v>
      </x:c>
      <x:c r="U103" s="25" t="n">
        <x:v>35.90227919992685</x:v>
      </x:c>
      <x:c r="V103" s="25" t="n">
        <x:v>0.2283862272467217</x:v>
      </x:c>
      <x:c r="W103" s="19" t="str">
        <x:v>FRAME_GUARD</x:v>
      </x:c>
      <x:c r="X103" s="26" t="n">
        <x:f>IF(AND(J85&gt;0,E103=E85),1-J103/J85,"")</x:f>
        <x:v>0</x:v>
      </x:c>
      <x:c r="Y103" s="26" t="n">
        <x:f>IF(AND(K85&gt;0,E103=E85),1-K103/K85,"")</x:f>
        <x:v>0.00012842080736563677</x:v>
      </x:c>
      <x:c r="Z103" s="26" t="n">
        <x:f>IF(AND(ISNUMBER(P85),P85&gt;0,E103=E85),1-P103/P85,"")</x:f>
        <x:v>0.00751013002362555</x:v>
      </x:c>
      <x:c r="AA103" s="26" t="n">
        <x:f>IF(AND(ISNUMBER(R103),ISNUMBER(R85),R85&gt;0,E103=E85),1-R103/R85,"")</x:f>
        <x:v>-0.004122371897683497</x:v>
      </x:c>
      <x:c r="AB103" s="26" t="n">
        <x:v>0.006390072922425604</x:v>
      </x:c>
      <x:c r="AC103" s="19" t="str">
        <x:v>D:/Codex/GRL研究/outputs/grid84/per_date.csv</x:v>
      </x:c>
    </x:row>
    <x:row r="104" ht="36" customHeight="1">
      <x:c r="A104" s="19" t="str">
        <x:v>GRID84</x:v>
      </x:c>
      <x:c r="B104" s="19" t="str">
        <x:v>2036-07-07_9</x:v>
      </x:c>
      <x:c r="C104" s="19" t="str">
        <x:v>META_CONTEXT2</x:v>
      </x:c>
      <x:c r="D104" s="21" t="n">
        <x:v>2</x:v>
      </x:c>
      <x:c r="E104" s="21" t="n">
        <x:v>2017</x:v>
      </x:c>
      <x:c r="F104" s="21" t="n">
        <x:v>1</x:v>
      </x:c>
      <x:c r="G104" s="21" t="n">
        <x:v>1</x:v>
      </x:c>
      <x:c r="H104" s="22" t="n">
        <x:v>1391348.7835388184</x:v>
      </x:c>
      <x:c r="I104" s="23" t="n">
        <x:v>-0.010880517894231834</x:v>
      </x:c>
      <x:c r="J104" s="24" t="n">
        <x:v>3661</x:v>
      </x:c>
      <x:c r="K104" s="25" t="n">
        <x:v>44.43632065001475</x:v>
      </x:c>
      <x:c r="L104" s="25" t="n">
        <x:v>16.336756899940156</x:v>
      </x:c>
      <x:c r="M104" s="25" t="n">
        <x:v>23.07504395000251</x:v>
      </x:c>
      <x:c r="N104" s="25" t="n">
        <x:v>1.0423410500134196</x:v>
      </x:c>
      <x:c r="O104" s="25" t="n">
        <x:v>3.982178750058665</x:v>
      </x:c>
      <x:c r="P104" s="25" t="n">
        <x:v>0.03449442000019187</x:v>
      </x:c>
      <x:c r="Q104" s="25" t="n">
        <x:v>0.6786866400009604</x:v>
      </x:c>
      <x:c r="R104" s="25" t="n">
        <x:v>3.464080912500411</x:v>
      </x:c>
      <x:c r="S104" s="25" t="n">
        <x:v>3.9828815025006588</x:v>
      </x:c>
      <x:c r="T104" s="25" t="n">
        <x:v>43.69322230002581</x:v>
      </x:c>
      <x:c r="U104" s="25" t="n">
        <x:v>45.17941900000369</x:v>
      </x:c>
      <x:c r="V104" s="25" t="n">
        <x:v>1.0508997647314289</x:v>
      </x:c>
      <x:c r="W104" s="19" t="str">
        <x:v>FRAME_GUARD</x:v>
      </x:c>
      <x:c r="X104" s="26" t="n">
        <x:f>IF(AND(J86&gt;0,E104=E86),1-J104/J86,"")</x:f>
        <x:v>-0.05504322766570602</x:v>
      </x:c>
      <x:c r="Y104" s="26" t="n">
        <x:f>IF(AND(K86&gt;0,E104=E86),1-K104/K86,"")</x:f>
        <x:v>-0.02836729177061703</x:v>
      </x:c>
      <x:c r="Z104" s="26" t="n">
        <x:f>IF(AND(ISNUMBER(P86),P86&gt;0,E104=E86),1-P104/P86,"")</x:f>
        <x:v>-0.019557086004706514</x:v>
      </x:c>
      <x:c r="AA104" s="26" t="n">
        <x:f>IF(AND(ISNUMBER(R104),ISNUMBER(R86),R86&gt;0,E104=E86),1-R104/R86,"")</x:f>
        <x:v>-0.12581554375765736</x:v>
      </x:c>
      <x:c r="AB104" s="26" t="n">
        <x:v>0.023649567501513653</x:v>
      </x:c>
      <x:c r="AC104" s="19" t="str">
        <x:v>D:/Codex/GRL研究/outputs/grid84/per_date.csv</x:v>
      </x:c>
    </x:row>
    <x:row r="105" ht="36" customHeight="1">
      <x:c r="A105" s="19" t="str">
        <x:v>GRID84</x:v>
      </x:c>
      <x:c r="B105" s="19" t="str">
        <x:v>2036-09-01_9</x:v>
      </x:c>
      <x:c r="C105" s="19" t="str">
        <x:v>META_CONTEXT2</x:v>
      </x:c>
      <x:c r="D105" s="21" t="n">
        <x:v>2</x:v>
      </x:c>
      <x:c r="E105" s="21" t="n">
        <x:v>2017</x:v>
      </x:c>
      <x:c r="F105" s="21" t="n">
        <x:v>1</x:v>
      </x:c>
      <x:c r="G105" s="21" t="n">
        <x:v>1</x:v>
      </x:c>
      <x:c r="H105" s="22" t="n">
        <x:v>1392633.7291259766</x:v>
      </x:c>
      <x:c r="I105" s="23" t="n">
        <x:v>-0.00023424970504537512</x:v>
      </x:c>
      <x:c r="J105" s="24" t="n">
        <x:v>933</x:v>
      </x:c>
      <x:c r="K105" s="25" t="n">
        <x:v>38.58871395005917</x:v>
      </x:c>
      <x:c r="L105" s="25" t="n">
        <x:v>9.1647123499788</x:v>
      </x:c>
      <x:c r="M105" s="25" t="n">
        <x:v>24.681661749995328</x:v>
      </x:c>
      <x:c r="N105" s="25" t="n">
        <x:v>0.4090358500197908</x:v>
      </x:c>
      <x:c r="O105" s="25" t="n">
        <x:v>4.3333040000652545</x:v>
      </x:c>
      <x:c r="P105" s="25" t="n">
        <x:v>0.02884444999872357</x:v>
      </x:c>
      <x:c r="Q105" s="25" t="n">
        <x:v>0.6596734519981692</x:v>
      </x:c>
      <x:c r="R105" s="25" t="n">
        <x:v>0.9779978199986543</x:v>
      </x:c>
      <x:c r="S105" s="25" t="n">
        <x:v>1.0186969239985229</x:v>
      </x:c>
      <x:c r="T105" s="25" t="n">
        <x:v>37.340136200073175</x:v>
      </x:c>
      <x:c r="U105" s="25" t="n">
        <x:v>39.83729170004517</x:v>
      </x:c>
      <x:c r="V105" s="25" t="n">
        <x:v>1.7657555877074815</x:v>
      </x:c>
      <x:c r="W105" s="19" t="str">
        <x:v>FRAME_GUARD</x:v>
      </x:c>
      <x:c r="X105" s="26" t="n">
        <x:f>IF(AND(J87&gt;0,E105=E87),1-J105/J87,"")</x:f>
        <x:v>0.12064090480678602</x:v>
      </x:c>
      <x:c r="Y105" s="26" t="n">
        <x:f>IF(AND(K87&gt;0,E105=E87),1-K105/K87,"")</x:f>
        <x:v>-0.010849671749258105</x:v>
      </x:c>
      <x:c r="Z105" s="26" t="n">
        <x:f>IF(AND(ISNUMBER(P87),P87&gt;0,E105=E87),1-P105/P87,"")</x:f>
        <x:v>-0.027792802681696926</x:v>
      </x:c>
      <x:c r="AA105" s="26" t="n">
        <x:f>IF(AND(ISNUMBER(R105),ISNUMBER(R87),R87&gt;0,E105=E87),1-R105/R87,"")</x:f>
        <x:v>0.02242430940320217</x:v>
      </x:c>
      <x:c r="AB105" s="26" t="n">
        <x:v>0.045758342451958645</x:v>
      </x:c>
      <x:c r="AC105" s="19" t="str">
        <x:v>D:/Codex/GRL研究/outputs/grid84/per_date.csv</x:v>
      </x:c>
    </x:row>
    <x:row r="106" ht="36" customHeight="1">
      <x:c r="A106" s="19" t="str">
        <x:v>GRID84</x:v>
      </x:c>
      <x:c r="B106" s="19" t="str">
        <x:v>2036-11-03_9</x:v>
      </x:c>
      <x:c r="C106" s="19" t="str">
        <x:v>META_CONTEXT2</x:v>
      </x:c>
      <x:c r="D106" s="21" t="n">
        <x:v>2</x:v>
      </x:c>
      <x:c r="E106" s="21" t="n">
        <x:v>519</x:v>
      </x:c>
      <x:c r="F106" s="21" t="n">
        <x:v>1</x:v>
      </x:c>
      <x:c r="G106" s="21" t="n">
        <x:v>0</x:v>
      </x:c>
      <x:c r="H106" s="22" t="n">
        <x:v>361332.79052734375</x:v>
      </x:c>
      <x:c r="I106" s="23"/>
      <x:c r="J106" s="24" t="n">
        <x:v>0</x:v>
      </x:c>
      <x:c r="K106" s="25" t="n">
        <x:v>14.584189699977287</x:v>
      </x:c>
      <x:c r="L106" s="25" t="n">
        <x:v>1.861884550044124</x:v>
      </x:c>
      <x:c r="M106" s="25" t="n">
        <x:v>11.815808149993245</x:v>
      </x:c>
      <x:c r="N106" s="25" t="n">
        <x:v>0</x:v>
      </x:c>
      <x:c r="O106" s="25" t="n">
        <x:v>0.9064969999399182</x:v>
      </x:c>
      <x:c r="P106" s="25" t="n">
        <x:v>0.028296625000802992</x:v>
      </x:c>
      <x:c r="Q106" s="25" t="n">
        <x:v>0.782575176000577</x:v>
      </x:c>
      <x:c r="R106" s="25"/>
      <x:c r="S106" s="25"/>
      <x:c r="T106" s="25" t="n">
        <x:v>14.53208859993174</x:v>
      </x:c>
      <x:c r="U106" s="25" t="n">
        <x:v>14.636290800022834</x:v>
      </x:c>
      <x:c r="V106" s="25" t="n">
        <x:v>0.07368208229897055</x:v>
      </x:c>
      <x:c r="W106" s="19" t="str">
        <x:v>FRAME_GUARD</x:v>
      </x:c>
      <x:c r="X106" s="26" t="str">
        <x:f>IF(AND(J88&gt;0,E106=E88),1-J106/J88,"")</x:f>
      </x:c>
      <x:c r="Y106" s="26" t="n">
        <x:f>IF(AND(K88&gt;0,E106=E88),1-K106/K88,"")</x:f>
        <x:v>-0.003927464043074869</x:v>
      </x:c>
      <x:c r="Z106" s="26" t="n">
        <x:f>IF(AND(ISNUMBER(P88),P88&gt;0,E106=E88),1-P106/P88,"")</x:f>
        <x:v>0.0010650692709792686</x:v>
      </x:c>
      <x:c r="AA106" s="26" t="str">
        <x:f>IF(AND(ISNUMBER(R106),ISNUMBER(R88),R88&gt;0,E106=E88),1-R106/R88,"")</x:f>
      </x:c>
      <x:c r="AB106" s="26" t="n">
        <x:v>0.00505218896728183</x:v>
      </x:c>
      <x:c r="AC106" s="19" t="str">
        <x:v>D:/Codex/GRL研究/outputs/grid84/per_date.csv</x:v>
      </x:c>
    </x:row>
    <x:row r="107" ht="36" customHeight="1">
      <x:c r="A107" s="19" t="str">
        <x:v>GRID84</x:v>
      </x:c>
      <x:c r="B107" s="19" t="str">
        <x:v>2036-01-07_9</x:v>
      </x:c>
      <x:c r="C107" s="19" t="str">
        <x:v>META_CONTEXT3</x:v>
      </x:c>
      <x:c r="D107" s="21" t="n">
        <x:v>2</x:v>
      </x:c>
      <x:c r="E107" s="21" t="n">
        <x:v>2017</x:v>
      </x:c>
      <x:c r="F107" s="21" t="n">
        <x:v>1</x:v>
      </x:c>
      <x:c r="G107" s="21" t="n">
        <x:v>1</x:v>
      </x:c>
      <x:c r="H107" s="22" t="n">
        <x:v>2412707.07421875</x:v>
      </x:c>
      <x:c r="I107" s="23" t="n">
        <x:v>0.0008663102138171119</x:v>
      </x:c>
      <x:c r="J107" s="24" t="n">
        <x:v>1302</x:v>
      </x:c>
      <x:c r="K107" s="25" t="n">
        <x:v>83.84421354997176</x:v>
      </x:c>
      <x:c r="L107" s="25" t="n">
        <x:v>14.469132699916372</x:v>
      </x:c>
      <x:c r="M107" s="25" t="n">
        <x:v>64.18331265001689</x:v>
      </x:c>
      <x:c r="N107" s="25" t="n">
        <x:v>0.5363996500946087</x:v>
      </x:c>
      <x:c r="O107" s="25" t="n">
        <x:v>4.655368549943887</x:v>
      </x:c>
      <x:c r="P107" s="25" t="n">
        <x:v>0.03449771999912623</x:v>
      </x:c>
      <x:c r="Q107" s="25" t="n">
        <x:v>0.9481784659999526</x:v>
      </x:c>
      <x:c r="R107" s="25" t="n">
        <x:v>3.453388230000564</x:v>
      </x:c>
      <x:c r="S107" s="25" t="n">
        <x:v>3.7831981660009477</x:v>
      </x:c>
      <x:c r="T107" s="25" t="n">
        <x:v>79.82417349995376</x:v>
      </x:c>
      <x:c r="U107" s="25" t="n">
        <x:v>87.86425359998975</x:v>
      </x:c>
      <x:c r="V107" s="25" t="n">
        <x:v>5.685195160018466</x:v>
      </x:c>
      <x:c r="W107" s="19" t="str">
        <x:v>FRAME_GUARD</x:v>
      </x:c>
      <x:c r="X107" s="26" t="n">
        <x:f>IF(AND(J83&gt;0,E107=E83),1-J107/J83,"")</x:f>
        <x:v>0.09078212290502796</x:v>
      </x:c>
      <x:c r="Y107" s="26" t="n">
        <x:f>IF(AND(K83&gt;0,E107=E83),1-K107/K83,"")</x:f>
        <x:v>0.0013813534353154244</x:v>
      </x:c>
      <x:c r="Z107" s="26" t="n">
        <x:f>IF(AND(ISNUMBER(P83),P83&gt;0,E107=E83),1-P107/P83,"")</x:f>
        <x:v>0.03294484113963403</x:v>
      </x:c>
      <x:c r="AA107" s="26" t="n">
        <x:f>IF(AND(ISNUMBER(R107),ISNUMBER(R83),R83&gt;0,E107=E83),1-R107/R83,"")</x:f>
        <x:v>-0.06728269594848091</x:v>
      </x:c>
      <x:c r="AB107" s="26" t="n">
        <x:v>0.06780664901376944</x:v>
      </x:c>
      <x:c r="AC107" s="19" t="str">
        <x:v>D:/Codex/GRL研究/outputs/grid84/per_date.csv</x:v>
      </x:c>
    </x:row>
    <x:row r="108" ht="36" customHeight="1">
      <x:c r="A108" s="19" t="str">
        <x:v>GRID84</x:v>
      </x:c>
      <x:c r="B108" s="19" t="str">
        <x:v>2036-03-03_9</x:v>
      </x:c>
      <x:c r="C108" s="19" t="str">
        <x:v>META_CONTEXT3</x:v>
      </x:c>
      <x:c r="D108" s="21" t="n">
        <x:v>2</x:v>
      </x:c>
      <x:c r="E108" s="21" t="n">
        <x:v>1720</x:v>
      </x:c>
      <x:c r="F108" s="21" t="n">
        <x:v>1</x:v>
      </x:c>
      <x:c r="G108" s="21" t="n">
        <x:v>0</x:v>
      </x:c>
      <x:c r="H108" s="22" t="n">
        <x:v>2299451.3294067383</x:v>
      </x:c>
      <x:c r="I108" s="23"/>
      <x:c r="J108" s="24" t="n">
        <x:v>3788</x:v>
      </x:c>
      <x:c r="K108" s="25" t="n">
        <x:v>65.27154624995273</x:v>
      </x:c>
      <x:c r="L108" s="25" t="n">
        <x:v>18.727777150143083</x:v>
      </x:c>
      <x:c r="M108" s="25" t="n">
        <x:v>40.886862250003105</x:v>
      </x:c>
      <x:c r="N108" s="25" t="n">
        <x:v>1.4132302499710931</x:v>
      </x:c>
      <x:c r="O108" s="25" t="n">
        <x:v>4.243676599835453</x:v>
      </x:c>
      <x:c r="P108" s="25" t="n">
        <x:v>0.033952082501855316</x:v>
      </x:c>
      <x:c r="Q108" s="25" t="n">
        <x:v>0.9281769785013935</x:v>
      </x:c>
      <x:c r="R108" s="25" t="n">
        <x:v>3.011426469998969</x:v>
      </x:c>
      <x:c r="S108" s="25" t="n">
        <x:v>3.110250213999152</x:v>
      </x:c>
      <x:c r="T108" s="25" t="n">
        <x:v>65.26960119992873</x:v>
      </x:c>
      <x:c r="U108" s="25" t="n">
        <x:v>65.27349129997674</x:v>
      </x:c>
      <x:c r="V108" s="25" t="n">
        <x:v>0.002750716123442647</x:v>
      </x:c>
      <x:c r="W108" s="19" t="str">
        <x:v>FRAME_GUARD</x:v>
      </x:c>
      <x:c r="X108" s="26" t="n">
        <x:f>IF(AND(J84&gt;0,E108=E84),1-J108/J84,"")</x:f>
        <x:v>0.25856331963202195</x:v>
      </x:c>
      <x:c r="Y108" s="26" t="n">
        <x:f>IF(AND(K84&gt;0,E108=E84),1-K108/K84,"")</x:f>
        <x:v>0.05224636687591122</x:v>
      </x:c>
      <x:c r="Z108" s="26" t="n">
        <x:f>IF(AND(ISNUMBER(P84),P84&gt;0,E108=E84),1-P108/P84,"")</x:f>
        <x:v>0.02410282246487494</x:v>
      </x:c>
      <x:c r="AA108" s="26" t="n">
        <x:f>IF(AND(ISNUMBER(R108),ISNUMBER(R84),R84&gt;0,E108=E84),1-R108/R84,"")</x:f>
        <x:v>0.24392071647191416</x:v>
      </x:c>
      <x:c r="AB108" s="26" t="n">
        <x:v>0.000042142652985559366</x:v>
      </x:c>
      <x:c r="AC108" s="19" t="str">
        <x:v>D:/Codex/GRL研究/outputs/grid84/per_date.csv</x:v>
      </x:c>
    </x:row>
    <x:row r="109" ht="36" customHeight="1">
      <x:c r="A109" s="19" t="str">
        <x:v>GRID84</x:v>
      </x:c>
      <x:c r="B109" s="19" t="str">
        <x:v>2036-05-05_9</x:v>
      </x:c>
      <x:c r="C109" s="19" t="str">
        <x:v>META_CONTEXT3</x:v>
      </x:c>
      <x:c r="D109" s="21" t="n">
        <x:v>2</x:v>
      </x:c>
      <x:c r="E109" s="21" t="n">
        <x:v>2017</x:v>
      </x:c>
      <x:c r="F109" s="21" t="n">
        <x:v>1</x:v>
      </x:c>
      <x:c r="G109" s="21" t="n">
        <x:v>1</x:v>
      </x:c>
      <x:c r="H109" s="22" t="n">
        <x:v>1732291.8922729492</x:v>
      </x:c>
      <x:c r="I109" s="23" t="n">
        <x:v>-0.02651757674074451</x:v>
      </x:c>
      <x:c r="J109" s="24" t="n">
        <x:v>454</x:v>
      </x:c>
      <x:c r="K109" s="25" t="n">
        <x:v>35.61777680005798</x:v>
      </x:c>
      <x:c r="L109" s="25" t="n">
        <x:v>7.747644599994601</x:v>
      </x:c>
      <x:c r="M109" s="25" t="n">
        <x:v>23.67359600000782</x:v>
      </x:c>
      <x:c r="N109" s="25" t="n">
        <x:v>0.10255995000443363</x:v>
      </x:c>
      <x:c r="O109" s="25" t="n">
        <x:v>4.093976250051128</x:v>
      </x:c>
      <x:c r="P109" s="25" t="n">
        <x:v>0.027944720000596134</x:v>
      </x:c>
      <x:c r="Q109" s="25" t="n">
        <x:v>0.5520725960008508</x:v>
      </x:c>
      <x:c r="R109" s="25" t="n">
        <x:v>3.9801462000014</x:v>
      </x:c>
      <x:c r="S109" s="25" t="n">
        <x:v>3.9801462000014</x:v>
      </x:c>
      <x:c r="T109" s="25" t="n">
        <x:v>35.4928392001093</x:v>
      </x:c>
      <x:c r="U109" s="25" t="n">
        <x:v>35.74271440000666</x:v>
      </x:c>
      <x:c r="V109" s="25" t="n">
        <x:v>0.17668844829776756</x:v>
      </x:c>
      <x:c r="W109" s="19" t="str">
        <x:v>FRAME_GUARD</x:v>
      </x:c>
      <x:c r="X109" s="26" t="n">
        <x:f>IF(AND(J85&gt;0,E109=E85),1-J109/J85,"")</x:f>
        <x:v>0</x:v>
      </x:c>
      <x:c r="Y109" s="26" t="n">
        <x:f>IF(AND(K85&gt;0,E109=E85),1-K109/K85,"")</x:f>
        <x:v>0.00356967567526556</x:v>
      </x:c>
      <x:c r="Z109" s="26" t="n">
        <x:f>IF(AND(ISNUMBER(P85),P85&gt;0,E109=E85),1-P109/P85,"")</x:f>
        <x:v>0.010987369692538218</x:v>
      </x:c>
      <x:c r="AA109" s="26" t="n">
        <x:f>IF(AND(ISNUMBER(R109),ISNUMBER(R85),R85&gt;0,E109=E85),1-R109/R85,"")</x:f>
        <x:v>-0.001421652006962315</x:v>
      </x:c>
      <x:c r="AB109" s="26" t="n">
        <x:v>0.004960681552069244</x:v>
      </x:c>
      <x:c r="AC109" s="19" t="str">
        <x:v>D:/Codex/GRL研究/outputs/grid84/per_date.csv</x:v>
      </x:c>
    </x:row>
    <x:row r="110" ht="36" customHeight="1">
      <x:c r="A110" s="19" t="str">
        <x:v>GRID84</x:v>
      </x:c>
      <x:c r="B110" s="19" t="str">
        <x:v>2036-07-07_9</x:v>
      </x:c>
      <x:c r="C110" s="19" t="str">
        <x:v>META_CONTEXT3</x:v>
      </x:c>
      <x:c r="D110" s="21" t="n">
        <x:v>2</x:v>
      </x:c>
      <x:c r="E110" s="21" t="n">
        <x:v>2017</x:v>
      </x:c>
      <x:c r="F110" s="21" t="n">
        <x:v>1</x:v>
      </x:c>
      <x:c r="G110" s="21" t="n">
        <x:v>1</x:v>
      </x:c>
      <x:c r="H110" s="22" t="n">
        <x:v>1411964.749206543</x:v>
      </x:c>
      <x:c r="I110" s="23" t="n">
        <x:v>0.0037755148170666164</x:v>
      </x:c>
      <x:c r="J110" s="24" t="n">
        <x:v>4415</x:v>
      </x:c>
      <x:c r="K110" s="25" t="n">
        <x:v>49.24833034993571</x:v>
      </x:c>
      <x:c r="L110" s="25" t="n">
        <x:v>19.330876500003797</x:v>
      </x:c>
      <x:c r="M110" s="25" t="n">
        <x:v>24.814307250027923</x:v>
      </x:c>
      <x:c r="N110" s="25" t="n">
        <x:v>1.055722900056935</x:v>
      </x:c>
      <x:c r="O110" s="25" t="n">
        <x:v>4.047423699847059</x:v>
      </x:c>
      <x:c r="P110" s="25" t="n">
        <x:v>0.03128299000090919</x:v>
      </x:c>
      <x:c r="Q110" s="25" t="n">
        <x:v>0.6719033140006649</x:v>
      </x:c>
      <x:c r="R110" s="25" t="n">
        <x:v>4.271167242500541</x:v>
      </x:c>
      <x:c r="S110" s="25" t="n">
        <x:v>4.635004608500694</x:v>
      </x:c>
      <x:c r="T110" s="25" t="n">
        <x:v>48.92624569994223</x:v>
      </x:c>
      <x:c r="U110" s="25" t="n">
        <x:v>49.5704149999292</x:v>
      </x:c>
      <x:c r="V110" s="25" t="n">
        <x:v>0.455496480252978</x:v>
      </x:c>
      <x:c r="W110" s="19" t="str">
        <x:v>FRAME_GUARD</x:v>
      </x:c>
      <x:c r="X110" s="26" t="n">
        <x:f>IF(AND(J86&gt;0,E110=E86),1-J110/J86,"")</x:f>
        <x:v>-0.2723342939481268</x:v>
      </x:c>
      <x:c r="Y110" s="26" t="n">
        <x:f>IF(AND(K86&gt;0,E110=E86),1-K110/K86,"")</x:f>
        <x:v>-0.13972919821774799</x:v>
      </x:c>
      <x:c r="Z110" s="26" t="n">
        <x:f>IF(AND(ISNUMBER(P86),P86&gt;0,E110=E86),1-P110/P86,"")</x:f>
        <x:v>0.07536366384290738</x:v>
      </x:c>
      <x:c r="AA110" s="26" t="n">
        <x:f>IF(AND(ISNUMBER(R110),ISNUMBER(R86),R86&gt;0,E110=E86),1-R110/R86,"")</x:f>
        <x:v>-0.3881160957423422</x:v>
      </x:c>
      <x:c r="AB110" s="26" t="n">
        <x:v>0.009248973051805656</x:v>
      </x:c>
      <x:c r="AC110" s="19" t="str">
        <x:v>D:/Codex/GRL研究/outputs/grid84/per_date.csv</x:v>
      </x:c>
    </x:row>
    <x:row r="111" ht="36" customHeight="1">
      <x:c r="A111" s="19" t="str">
        <x:v>GRID84</x:v>
      </x:c>
      <x:c r="B111" s="19" t="str">
        <x:v>2036-09-01_9</x:v>
      </x:c>
      <x:c r="C111" s="19" t="str">
        <x:v>META_CONTEXT3</x:v>
      </x:c>
      <x:c r="D111" s="21" t="n">
        <x:v>2</x:v>
      </x:c>
      <x:c r="E111" s="21" t="n">
        <x:v>2017</x:v>
      </x:c>
      <x:c r="F111" s="21" t="n">
        <x:v>1</x:v>
      </x:c>
      <x:c r="G111" s="21" t="n">
        <x:v>1</x:v>
      </x:c>
      <x:c r="H111" s="22" t="n">
        <x:v>1392633.7291259766</x:v>
      </x:c>
      <x:c r="I111" s="23" t="n">
        <x:v>-0.00023424970504537512</x:v>
      </x:c>
      <x:c r="J111" s="24" t="n">
        <x:v>1586</x:v>
      </x:c>
      <x:c r="K111" s="25" t="n">
        <x:v>38.86738600004901</x:v>
      </x:c>
      <x:c r="L111" s="25" t="n">
        <x:v>10.261083999916082</x:v>
      </x:c>
      <x:c r="M111" s="25" t="n">
        <x:v>23.830557050037896</x:v>
      </x:c>
      <x:c r="N111" s="25" t="n">
        <x:v>0.46353240001735685</x:v>
      </x:c>
      <x:c r="O111" s="25" t="n">
        <x:v>4.312212550077675</x:v>
      </x:c>
      <x:c r="P111" s="25" t="n">
        <x:v>0.02825646999990567</x:v>
      </x:c>
      <x:c r="Q111" s="25" t="n">
        <x:v>0.6560903359992516</x:v>
      </x:c>
      <x:c r="R111" s="25" t="n">
        <x:v>1.9582691325016637</x:v>
      </x:c>
      <x:c r="S111" s="25" t="n">
        <x:v>2.0936734665018593</x:v>
      </x:c>
      <x:c r="T111" s="25" t="n">
        <x:v>38.8013645000683</x:v>
      </x:c>
      <x:c r="U111" s="25" t="n">
        <x:v>38.933407500029716</x:v>
      </x:c>
      <x:c r="V111" s="25" t="n">
        <x:v>0.09336850068093047</x:v>
      </x:c>
      <x:c r="W111" s="19" t="str">
        <x:v>FRAME_GUARD</x:v>
      </x:c>
      <x:c r="X111" s="26" t="n">
        <x:f>IF(AND(J87&gt;0,E111=E87),1-J111/J87,"")</x:f>
        <x:v>-0.49481621112158347</x:v>
      </x:c>
      <x:c r="Y111" s="26" t="n">
        <x:f>IF(AND(K87&gt;0,E111=E87),1-K111/K87,"")</x:f>
        <x:v>-0.018149618324893924</x:v>
      </x:c>
      <x:c r="Z111" s="26" t="n">
        <x:f>IF(AND(ISNUMBER(P87),P87&gt;0,E111=E87),1-P111/P87,"")</x:f>
        <x:v>-0.006841749327149538</x:v>
      </x:c>
      <x:c r="AA111" s="26" t="n">
        <x:f>IF(AND(ISNUMBER(R111),ISNUMBER(R87),R87&gt;0,E111=E87),1-R111/R87,"")</x:f>
        <x:v>-0.957423892399208</x:v>
      </x:c>
      <x:c r="AB111" s="26" t="n">
        <x:v>0.0024022325731093094</x:v>
      </x:c>
      <x:c r="AC111" s="19" t="str">
        <x:v>D:/Codex/GRL研究/outputs/grid84/per_date.csv</x:v>
      </x:c>
    </x:row>
    <x:row r="112" ht="36" customHeight="1">
      <x:c r="A112" s="19" t="str">
        <x:v>GRID84</x:v>
      </x:c>
      <x:c r="B112" s="19" t="str">
        <x:v>2036-11-03_9</x:v>
      </x:c>
      <x:c r="C112" s="19" t="str">
        <x:v>META_CONTEXT3</x:v>
      </x:c>
      <x:c r="D112" s="21" t="n">
        <x:v>2</x:v>
      </x:c>
      <x:c r="E112" s="21" t="n">
        <x:v>519</x:v>
      </x:c>
      <x:c r="F112" s="21" t="n">
        <x:v>1</x:v>
      </x:c>
      <x:c r="G112" s="21" t="n">
        <x:v>0</x:v>
      </x:c>
      <x:c r="H112" s="22" t="n">
        <x:v>361332.79052734375</x:v>
      </x:c>
      <x:c r="I112" s="23"/>
      <x:c r="J112" s="24" t="n">
        <x:v>0</x:v>
      </x:c>
      <x:c r="K112" s="25" t="n">
        <x:v>14.514853999991828</x:v>
      </x:c>
      <x:c r="L112" s="25" t="n">
        <x:v>1.8601856000259431</x:v>
      </x:c>
      <x:c r="M112" s="25" t="n">
        <x:v>11.750717150000128</x:v>
      </x:c>
      <x:c r="N112" s="25" t="n">
        <x:v>0</x:v>
      </x:c>
      <x:c r="O112" s="25" t="n">
        <x:v>0.9039512499657576</x:v>
      </x:c>
      <x:c r="P112" s="25" t="n">
        <x:v>0.027590095000778067</x:v>
      </x:c>
      <x:c r="Q112" s="25" t="n">
        <x:v>0.7877869810003224</x:v>
      </x:c>
      <x:c r="R112" s="25"/>
      <x:c r="S112" s="25"/>
      <x:c r="T112" s="25" t="n">
        <x:v>14.451388799978304</x:v>
      </x:c>
      <x:c r="U112" s="25" t="n">
        <x:v>14.578319200005353</x:v>
      </x:c>
      <x:c r="V112" s="25" t="n">
        <x:v>0.08975334659784781</x:v>
      </x:c>
      <x:c r="W112" s="19" t="str">
        <x:v>FRAME_GUARD</x:v>
      </x:c>
      <x:c r="X112" s="26" t="str">
        <x:f>IF(AND(J88&gt;0,E112=E88),1-J112/J88,"")</x:f>
      </x:c>
      <x:c r="Y112" s="26" t="n">
        <x:f>IF(AND(K88&gt;0,E112=E88),1-K112/K88,"")</x:f>
        <x:v>0.0008453766073838187</x:v>
      </x:c>
      <x:c r="Z112" s="26" t="n">
        <x:f>IF(AND(ISNUMBER(P88),P88&gt;0,E112=E88),1-P112/P88,"")</x:f>
        <x:v>0.026007177971675732</x:v>
      </x:c>
      <x:c r="AA112" s="26" t="str">
        <x:f>IF(AND(ISNUMBER(R112),ISNUMBER(R88),R88&gt;0,E112=E88),1-R112/R88,"")</x:f>
      </x:c>
      <x:c r="AB112" s="26" t="n">
        <x:v>0.0061835514568660726</x:v>
      </x:c>
      <x:c r="AC112" s="19" t="str">
        <x:v>D:/Codex/GRL研究/outputs/grid84/per_date.csv</x:v>
      </x:c>
    </x:row>
    <x:row r="113" ht="36" customHeight="1">
      <x:c r="A113" s="19" t="str">
        <x:v>GRID84</x:v>
      </x:c>
      <x:c r="B113" s="19" t="str">
        <x:v>2036-01-07_9</x:v>
      </x:c>
      <x:c r="C113" s="19" t="str">
        <x:v>META_CONTEXT4</x:v>
      </x:c>
      <x:c r="D113" s="21" t="n">
        <x:v>2</x:v>
      </x:c>
      <x:c r="E113" s="21" t="n">
        <x:v>2017</x:v>
      </x:c>
      <x:c r="F113" s="21" t="n">
        <x:v>1</x:v>
      </x:c>
      <x:c r="G113" s="21" t="n">
        <x:v>1</x:v>
      </x:c>
      <x:c r="H113" s="22" t="n">
        <x:v>2412707.07421875</x:v>
      </x:c>
      <x:c r="I113" s="23" t="n">
        <x:v>0.0008663102138171119</x:v>
      </x:c>
      <x:c r="J113" s="24" t="n">
        <x:v>1359</x:v>
      </x:c>
      <x:c r="K113" s="25" t="n">
        <x:v>83.680963449935</x:v>
      </x:c>
      <x:c r="L113" s="25" t="n">
        <x:v>15.073077400062175</x:v>
      </x:c>
      <x:c r="M113" s="25" t="n">
        <x:v>63.384892050002236</x:v>
      </x:c>
      <x:c r="N113" s="25" t="n">
        <x:v>0.5350161999849661</x:v>
      </x:c>
      <x:c r="O113" s="25" t="n">
        <x:v>4.68797779988563</x:v>
      </x:c>
      <x:c r="P113" s="25" t="n">
        <x:v>0.03492267999899921</x:v>
      </x:c>
      <x:c r="Q113" s="25" t="n">
        <x:v>0.8427468320012113</x:v>
      </x:c>
      <x:c r="R113" s="25" t="n">
        <x:v>3.251922300000296</x:v>
      </x:c>
      <x:c r="S113" s="25" t="n">
        <x:v>3.5079686600006244</x:v>
      </x:c>
      <x:c r="T113" s="25" t="n">
        <x:v>80.98115749995486</x:v>
      </x:c>
      <x:c r="U113" s="25" t="n">
        <x:v>86.38076939991515</x:v>
      </x:c>
      <x:c r="V113" s="25" t="n">
        <x:v>3.8181021902375</x:v>
      </x:c>
      <x:c r="W113" s="19" t="str">
        <x:v>FRAME_GUARD</x:v>
      </x:c>
      <x:c r="X113" s="26" t="n">
        <x:f>IF(AND(J83&gt;0,E113=E83),1-J113/J83,"")</x:f>
        <x:v>0.050977653631284925</x:v>
      </x:c>
      <x:c r="Y113" s="26" t="n">
        <x:f>IF(AND(K83&gt;0,E113=E83),1-K113/K83,"")</x:f>
        <x:v>0.0033257284499738082</x:v>
      </x:c>
      <x:c r="Z113" s="26" t="n">
        <x:f>IF(AND(ISNUMBER(P83),P83&gt;0,E113=E83),1-P113/P83,"")</x:f>
        <x:v>0.021032176760745425</x:v>
      </x:c>
      <x:c r="AA113" s="26" t="n">
        <x:f>IF(AND(ISNUMBER(R113),ISNUMBER(R83),R83&gt;0,E113=E83),1-R113/R83,"")</x:f>
        <x:v>-0.0050188881771726646</x:v>
      </x:c>
      <x:c r="AB113" s="26" t="n">
        <x:v>0.04562689090598019</x:v>
      </x:c>
      <x:c r="AC113" s="19" t="str">
        <x:v>D:/Codex/GRL研究/outputs/grid84/per_date.csv</x:v>
      </x:c>
    </x:row>
    <x:row r="114" ht="36" customHeight="1">
      <x:c r="A114" s="19" t="str">
        <x:v>GRID84</x:v>
      </x:c>
      <x:c r="B114" s="19" t="str">
        <x:v>2036-03-03_9</x:v>
      </x:c>
      <x:c r="C114" s="19" t="str">
        <x:v>META_CONTEXT4</x:v>
      </x:c>
      <x:c r="D114" s="21" t="n">
        <x:v>2</x:v>
      </x:c>
      <x:c r="E114" s="21" t="n">
        <x:v>1720</x:v>
      </x:c>
      <x:c r="F114" s="21" t="n">
        <x:v>1</x:v>
      </x:c>
      <x:c r="G114" s="21" t="n">
        <x:v>0</x:v>
      </x:c>
      <x:c r="H114" s="22" t="n">
        <x:v>2303617.120239258</x:v>
      </x:c>
      <x:c r="I114" s="23"/>
      <x:c r="J114" s="24" t="n">
        <x:v>4385</x:v>
      </x:c>
      <x:c r="K114" s="25" t="n">
        <x:v>66.39018519999809</x:v>
      </x:c>
      <x:c r="L114" s="25" t="n">
        <x:v>20.051850400002877</x:v>
      </x:c>
      <x:c r="M114" s="25" t="n">
        <x:v>40.95700529998612</x:v>
      </x:c>
      <x:c r="N114" s="25" t="n">
        <x:v>1.0643344999753026</x:v>
      </x:c>
      <x:c r="O114" s="25" t="n">
        <x:v>4.316995000033785</x:v>
      </x:c>
      <x:c r="P114" s="25" t="n">
        <x:v>0.034110767499896597</x:v>
      </x:c>
      <x:c r="Q114" s="25" t="n">
        <x:v>0.8824603330008332</x:v>
      </x:c>
      <x:c r="R114" s="25" t="n">
        <x:v>3.004894607499591</x:v>
      </x:c>
      <x:c r="S114" s="25" t="n">
        <x:v>3.0990676014995553</x:v>
      </x:c>
      <x:c r="T114" s="25" t="n">
        <x:v>66.36842009996326</x:v>
      </x:c>
      <x:c r="U114" s="25" t="n">
        <x:v>66.41195030003291</x:v>
      </x:c>
      <x:c r="V114" s="25" t="n">
        <x:v>0.030780499655659325</x:v>
      </x:c>
      <x:c r="W114" s="19" t="str">
        <x:v>FRAME_GUARD</x:v>
      </x:c>
      <x:c r="X114" s="26" t="n">
        <x:f>IF(AND(J84&gt;0,E114=E84),1-J114/J84,"")</x:f>
        <x:v>0.14171070659620277</x:v>
      </x:c>
      <x:c r="Y114" s="26" t="n">
        <x:f>IF(AND(K84&gt;0,E114=E84),1-K114/K84,"")</x:f>
        <x:v>0.03600354454411503</x:v>
      </x:c>
      <x:c r="Z114" s="26" t="n">
        <x:f>IF(AND(ISNUMBER(P84),P84&gt;0,E114=E84),1-P114/P84,"")</x:f>
        <x:v>0.019541681283117063</x:v>
      </x:c>
      <x:c r="AA114" s="26" t="n">
        <x:f>IF(AND(ISNUMBER(R114),ISNUMBER(R84),R84&gt;0,E114=E84),1-R114/R84,"")</x:f>
        <x:v>0.24556067214336563</x:v>
      </x:c>
      <x:c r="AB114" s="26" t="n">
        <x:v>0.00046363027250088484</x:v>
      </x:c>
      <x:c r="AC114" s="19" t="str">
        <x:v>D:/Codex/GRL研究/outputs/grid84/per_date.csv</x:v>
      </x:c>
    </x:row>
    <x:row r="115" ht="36" customHeight="1">
      <x:c r="A115" s="19" t="str">
        <x:v>GRID84</x:v>
      </x:c>
      <x:c r="B115" s="19" t="str">
        <x:v>2036-05-05_9</x:v>
      </x:c>
      <x:c r="C115" s="19" t="str">
        <x:v>META_CONTEXT4</x:v>
      </x:c>
      <x:c r="D115" s="21" t="n">
        <x:v>2</x:v>
      </x:c>
      <x:c r="E115" s="21" t="n">
        <x:v>2017</x:v>
      </x:c>
      <x:c r="F115" s="21" t="n">
        <x:v>1</x:v>
      </x:c>
      <x:c r="G115" s="21" t="n">
        <x:v>1</x:v>
      </x:c>
      <x:c r="H115" s="22" t="n">
        <x:v>1737961.4846801758</x:v>
      </x:c>
      <x:c r="I115" s="23" t="n">
        <x:v>-0.023331480575255137</x:v>
      </x:c>
      <x:c r="J115" s="24" t="n">
        <x:v>128</x:v>
      </x:c>
      <x:c r="K115" s="25" t="n">
        <x:v>37.611924750062826</x:v>
      </x:c>
      <x:c r="L115" s="25" t="n">
        <x:v>6.956506299973626</x:v>
      </x:c>
      <x:c r="M115" s="25" t="n">
        <x:v>26.489508350014148</x:v>
      </x:c>
      <x:c r="N115" s="25" t="n">
        <x:v>0.09883159999117197</x:v>
      </x:c>
      <x:c r="O115" s="25" t="n">
        <x:v>4.0670785000838805</x:v>
      </x:c>
      <x:c r="P115" s="25" t="n">
        <x:v>0.02792936000078043</x:v>
      </x:c>
      <x:c r="Q115" s="25" t="n">
        <x:v>0.6357968999997575</x:v>
      </x:c>
      <x:c r="R115" s="25" t="n">
        <x:v>3.1003884999990987</x:v>
      </x:c>
      <x:c r="S115" s="25" t="n">
        <x:v>3.1003884999990987</x:v>
      </x:c>
      <x:c r="T115" s="25" t="n">
        <x:v>37.43219770008727</x:v>
      </x:c>
      <x:c r="U115" s="25" t="n">
        <x:v>37.79165180003838</x:v>
      </x:c>
      <x:c r="V115" s="25" t="n">
        <x:v>0.25417243160073566</x:v>
      </x:c>
      <x:c r="W115" s="19" t="str">
        <x:v>FRAME_GUARD</x:v>
      </x:c>
      <x:c r="X115" s="26" t="n">
        <x:f>IF(AND(J85&gt;0,E115=E85),1-J115/J85,"")</x:f>
        <x:v>0.7180616740088106</x:v>
      </x:c>
      <x:c r="Y115" s="26" t="n">
        <x:f>IF(AND(K85&gt;0,E115=E85),1-K115/K85,"")</x:f>
        <x:v>-0.05221790196410003</x:v>
      </x:c>
      <x:c r="Z115" s="26" t="n">
        <x:f>IF(AND(ISNUMBER(P85),P85&gt;0,E115=E85),1-P115/P85,"")</x:f>
        <x:v>0.011530987013410487</x:v>
      </x:c>
      <x:c r="AA115" s="26" t="n">
        <x:f>IF(AND(ISNUMBER(R115),ISNUMBER(R85),R85&gt;0,E115=E85),1-R115/R85,"")</x:f>
        <x:v>0.2199291137769278</x:v>
      </x:c>
      <x:c r="AB115" s="26" t="n">
        <x:v>0.00675776188774575</x:v>
      </x:c>
      <x:c r="AC115" s="19" t="str">
        <x:v>D:/Codex/GRL研究/outputs/grid84/per_date.csv</x:v>
      </x:c>
    </x:row>
    <x:row r="116" ht="36" customHeight="1">
      <x:c r="A116" s="19" t="str">
        <x:v>GRID84</x:v>
      </x:c>
      <x:c r="B116" s="19" t="str">
        <x:v>2036-07-07_9</x:v>
      </x:c>
      <x:c r="C116" s="19" t="str">
        <x:v>META_CONTEXT4</x:v>
      </x:c>
      <x:c r="D116" s="21" t="n">
        <x:v>2</x:v>
      </x:c>
      <x:c r="E116" s="21" t="n">
        <x:v>2017</x:v>
      </x:c>
      <x:c r="F116" s="21" t="n">
        <x:v>1</x:v>
      </x:c>
      <x:c r="G116" s="21" t="n">
        <x:v>1</x:v>
      </x:c>
      <x:c r="H116" s="22" t="n">
        <x:v>1396410.2720947266</x:v>
      </x:c>
      <x:c r="I116" s="23" t="n">
        <x:v>-0.007282270640677879</x:v>
      </x:c>
      <x:c r="J116" s="24" t="n">
        <x:v>2729</x:v>
      </x:c>
      <x:c r="K116" s="25" t="n">
        <x:v>42.517444999966756</x:v>
      </x:c>
      <x:c r="L116" s="25" t="n">
        <x:v>14.35966450014348</x:v>
      </x:c>
      <x:c r="M116" s="25" t="n">
        <x:v>23.05233629999566</x:v>
      </x:c>
      <x:c r="N116" s="25" t="n">
        <x:v>1.1556560499338957</x:v>
      </x:c>
      <x:c r="O116" s="25" t="n">
        <x:v>3.9497881498937204</x:v>
      </x:c>
      <x:c r="P116" s="25" t="n">
        <x:v>0.0345322199998918</x:v>
      </x:c>
      <x:c r="Q116" s="25" t="n">
        <x:v>0.6814827279993914</x:v>
      </x:c>
      <x:c r="R116" s="25" t="n">
        <x:v>3.0071898549993397</x:v>
      </x:c>
      <x:c r="S116" s="25" t="n">
        <x:v>3.826073970998878</x:v>
      </x:c>
      <x:c r="T116" s="25" t="n">
        <x:v>42.50479989998712</x:v>
      </x:c>
      <x:c r="U116" s="25" t="n">
        <x:v>42.53009009994639</x:v>
      </x:c>
      <x:c r="V116" s="25" t="n">
        <x:v>0.01788287188876518</x:v>
      </x:c>
      <x:c r="W116" s="19" t="str">
        <x:v>FRAME_GUARD</x:v>
      </x:c>
      <x:c r="X116" s="26" t="n">
        <x:f>IF(AND(J86&gt;0,E116=E86),1-J116/J86,"")</x:f>
        <x:v>0.21354466858789622</x:v>
      </x:c>
      <x:c r="Y116" s="26" t="n">
        <x:f>IF(AND(K86&gt;0,E116=E86),1-K116/K86,"")</x:f>
        <x:v>0.016040276781838836</x:v>
      </x:c>
      <x:c r="Z116" s="26" t="n">
        <x:f>IF(AND(ISNUMBER(P86),P86&gt;0,E116=E86),1-P116/P86,"")</x:f>
        <x:v>-0.020674346638305252</x:v>
      </x:c>
      <x:c r="AA116" s="26" t="n">
        <x:f>IF(AND(ISNUMBER(R116),ISNUMBER(R86),R86&gt;0,E116=E86),1-R116/R86,"")</x:f>
        <x:v>0.022672631701067147</x:v>
      </x:c>
      <x:c r="AB116" s="26" t="n">
        <x:v>0.0004206008119438777</x:v>
      </x:c>
      <x:c r="AC116" s="19" t="str">
        <x:v>D:/Codex/GRL研究/outputs/grid84/per_date.csv</x:v>
      </x:c>
    </x:row>
    <x:row r="117" ht="36" customHeight="1">
      <x:c r="A117" s="19" t="str">
        <x:v>GRID84</x:v>
      </x:c>
      <x:c r="B117" s="19" t="str">
        <x:v>2036-09-01_9</x:v>
      </x:c>
      <x:c r="C117" s="19" t="str">
        <x:v>META_CONTEXT4</x:v>
      </x:c>
      <x:c r="D117" s="21" t="n">
        <x:v>2</x:v>
      </x:c>
      <x:c r="E117" s="21" t="n">
        <x:v>2017</x:v>
      </x:c>
      <x:c r="F117" s="21" t="n">
        <x:v>1</x:v>
      </x:c>
      <x:c r="G117" s="21" t="n">
        <x:v>1</x:v>
      </x:c>
      <x:c r="H117" s="22" t="n">
        <x:v>1392539.194595337</x:v>
      </x:c>
      <x:c r="I117" s="23" t="n">
        <x:v>-0.00030211563703952393</x:v>
      </x:c>
      <x:c r="J117" s="24" t="n">
        <x:v>640</x:v>
      </x:c>
      <x:c r="K117" s="25" t="n">
        <x:v>37.52789224998378</x:v>
      </x:c>
      <x:c r="L117" s="25" t="n">
        <x:v>9.208300249971217</x:v>
      </x:c>
      <x:c r="M117" s="25" t="n">
        <x:v>23.59147325001686</x:v>
      </x:c>
      <x:c r="N117" s="25" t="n">
        <x:v>0.39676305001194123</x:v>
      </x:c>
      <x:c r="O117" s="25" t="n">
        <x:v>4.33135569998376</x:v>
      </x:c>
      <x:c r="P117" s="25" t="n">
        <x:v>0.02866435000032652</x:v>
      </x:c>
      <x:c r="Q117" s="25" t="n">
        <x:v>0.6564452960004563</x:v>
      </x:c>
      <x:c r="R117" s="25" t="n">
        <x:v>0.6958281474985597</x:v>
      </x:c>
      <x:c r="S117" s="25" t="n">
        <x:v>0.6988544694985648</x:v>
      </x:c>
      <x:c r="T117" s="25" t="n">
        <x:v>37.08906020001086</x:v>
      </x:c>
      <x:c r="U117" s="25" t="n">
        <x:v>37.966724299956695</x:v>
      </x:c>
      <x:c r="V117" s="25" t="n">
        <x:v>0.6206022366756858</x:v>
      </x:c>
      <x:c r="W117" s="19" t="str">
        <x:v>FRAME_GUARD</x:v>
      </x:c>
      <x:c r="X117" s="26" t="n">
        <x:f>IF(AND(J87&gt;0,E117=E87),1-J117/J87,"")</x:f>
        <x:v>0.3967954759660698</x:v>
      </x:c>
      <x:c r="Y117" s="26" t="n">
        <x:f>IF(AND(K87&gt;0,E117=E87),1-K117/K87,"")</x:f>
        <x:v>0.01693905602989232</x:v>
      </x:c>
      <x:c r="Z117" s="26" t="n">
        <x:f>IF(AND(ISNUMBER(P87),P87&gt;0,E117=E87),1-P117/P87,"")</x:f>
        <x:v>-0.021375433582141667</x:v>
      </x:c>
      <x:c r="AA117" s="26" t="n">
        <x:f>IF(AND(ISNUMBER(R117),ISNUMBER(R87),R87&gt;0,E117=E87),1-R117/R87,"")</x:f>
        <x:v>0.304472190103112</x:v>
      </x:c>
      <x:c r="AB117" s="26" t="n">
        <x:v>0.01653709279864909</x:v>
      </x:c>
      <x:c r="AC117" s="19" t="str">
        <x:v>D:/Codex/GRL研究/outputs/grid84/per_date.csv</x:v>
      </x:c>
    </x:row>
    <x:row r="118" ht="36" customHeight="1">
      <x:c r="A118" s="19" t="str">
        <x:v>GRID84</x:v>
      </x:c>
      <x:c r="B118" s="19" t="str">
        <x:v>2036-11-03_9</x:v>
      </x:c>
      <x:c r="C118" s="19" t="str">
        <x:v>META_CONTEXT4</x:v>
      </x:c>
      <x:c r="D118" s="21" t="n">
        <x:v>2</x:v>
      </x:c>
      <x:c r="E118" s="21" t="n">
        <x:v>519</x:v>
      </x:c>
      <x:c r="F118" s="21" t="n">
        <x:v>1</x:v>
      </x:c>
      <x:c r="G118" s="21" t="n">
        <x:v>0</x:v>
      </x:c>
      <x:c r="H118" s="22" t="n">
        <x:v>361332.79052734375</x:v>
      </x:c>
      <x:c r="I118" s="23"/>
      <x:c r="J118" s="24" t="n">
        <x:v>0</x:v>
      </x:c>
      <x:c r="K118" s="25" t="n">
        <x:v>14.626996850007345</x:v>
      </x:c>
      <x:c r="L118" s="25" t="n">
        <x:v>1.8586811000041052</x:v>
      </x:c>
      <x:c r="M118" s="25" t="n">
        <x:v>11.86212594997778</x:v>
      </x:c>
      <x:c r="N118" s="25" t="n">
        <x:v>0</x:v>
      </x:c>
      <x:c r="O118" s="25" t="n">
        <x:v>0.9061898000254587</x:v>
      </x:c>
      <x:c r="P118" s="25" t="n">
        <x:v>0.028179910001017536</x:v>
      </x:c>
      <x:c r="Q118" s="25" t="n">
        <x:v>0.7905592449985154</x:v>
      </x:c>
      <x:c r="R118" s="25"/>
      <x:c r="S118" s="25"/>
      <x:c r="T118" s="25" t="n">
        <x:v>14.511591100028454</x:v>
      </x:c>
      <x:c r="U118" s="25" t="n">
        <x:v>14.742402599986235</x:v>
      </x:c>
      <x:c r="V118" s="25" t="n">
        <x:v>0.16320837679598552</x:v>
      </x:c>
      <x:c r="W118" s="19" t="str">
        <x:v>FRAME_GUARD</x:v>
      </x:c>
      <x:c r="X118" s="26" t="str">
        <x:f>IF(AND(J88&gt;0,E118=E88),1-J118/J88,"")</x:f>
      </x:c>
      <x:c r="Y118" s="26" t="n">
        <x:f>IF(AND(K88&gt;0,E118=E88),1-K118/K88,"")</x:f>
        <x:v>-0.006874166908072299</x:v>
      </x:c>
      <x:c r="Z118" s="26" t="n">
        <x:f>IF(AND(ISNUMBER(P88),P88&gt;0,E118=E88),1-P118/P88,"")</x:f>
        <x:v>0.005185373025310858</x:v>
      </x:c>
      <x:c r="AA118" s="26" t="str">
        <x:f>IF(AND(ISNUMBER(R118),ISNUMBER(R88),R88&gt;0,E118=E88),1-R118/R88,"")</x:f>
      </x:c>
      <x:c r="AB118" s="26" t="n">
        <x:v>0.011158023651034256</x:v>
      </x:c>
      <x:c r="AC118" s="19" t="str">
        <x:v>D:/Codex/GRL研究/outputs/grid84/per_date.csv</x:v>
      </x:c>
    </x:row>
    <x:row r="119" ht="36" customHeight="1">
      <x:c r="A119" s="19" t="str">
        <x:v>GRID86</x:v>
      </x:c>
      <x:c r="B119" s="19" t="str">
        <x:v>2036-01-07_9</x:v>
      </x:c>
      <x:c r="C119" s="19" t="str">
        <x:v>FIXED_256</x:v>
      </x:c>
      <x:c r="D119" s="21" t="n">
        <x:v>2</x:v>
      </x:c>
      <x:c r="E119" s="21" t="n">
        <x:v>2017</x:v>
      </x:c>
      <x:c r="F119" s="21" t="n">
        <x:v>1</x:v>
      </x:c>
      <x:c r="G119" s="21" t="n">
        <x:v>1</x:v>
      </x:c>
      <x:c r="H119" s="22" t="n">
        <x:v>2412707.07421875</x:v>
      </x:c>
      <x:c r="I119" s="23" t="n">
        <x:v>0.0008663102138171119</x:v>
      </x:c>
      <x:c r="J119" s="24" t="n">
        <x:v>1280</x:v>
      </x:c>
      <x:c r="K119" s="25" t="n">
        <x:v>81.1281632999162</x:v>
      </x:c>
      <x:c r="L119" s="25" t="n">
        <x:v>14.152910899989365</x:v>
      </x:c>
      <x:c r="M119" s="25" t="n">
        <x:v>61.92040990006717</x:v>
      </x:c>
      <x:c r="N119" s="25" t="n">
        <x:v>0.5066611000729608</x:v>
      </x:c>
      <x:c r="O119" s="25" t="n">
        <x:v>4.548181399786699</x:v>
      </x:c>
      <x:c r="P119" s="25" t="n">
        <x:v>0.033902650001255086</x:v>
      </x:c>
      <x:c r="Q119" s="25" t="n">
        <x:v>0.955000502000464</x:v>
      </x:c>
      <x:c r="R119" s="25" t="n">
        <x:v>3.149406959999032</x:v>
      </x:c>
      <x:c r="S119" s="25"/>
      <x:c r="T119" s="25" t="n">
        <x:v>80.95467819991609</x:v>
      </x:c>
      <x:c r="U119" s="25" t="n">
        <x:v>81.3016483999163</x:v>
      </x:c>
      <x:c r="V119" s="25" t="n">
        <x:v>0.24534498128980423</x:v>
      </x:c>
      <x:c r="W119" s="19" t="str">
        <x:v>FRAME_GUARD</x:v>
      </x:c>
      <x:c r="X119" s="26" t="n">
        <x:f>IF(AND(J131&gt;0,E119=E131),1-J119/J131,"")</x:f>
        <x:v>0.1061452513966481</x:v>
      </x:c>
      <x:c r="Y119" s="26" t="n">
        <x:f>IF(AND(K131&gt;0,E119=E131),1-K119/K131,"")</x:f>
        <x:v>0.00035016753659133926</x:v>
      </x:c>
      <x:c r="Z119" s="26" t="n">
        <x:f>IF(AND(ISNUMBER(P131),P131&gt;0,E119=E131),1-P119/P131,"")</x:f>
        <x:v>-0.0014834976947959433</x:v>
      </x:c>
      <x:c r="AA119" s="26" t="n">
        <x:f>IF(AND(ISNUMBER(R119),ISNUMBER(R131),R131&gt;0,E119=E131),1-R119/R131,"")</x:f>
        <x:v>0.0010295836942514347</x:v>
      </x:c>
      <x:c r="AB119" s="26" t="n">
        <x:v>0.0030241653614517076</x:v>
      </x:c>
      <x:c r="AC119" s="19" t="str">
        <x:v>D:/Codex/GRL研究/outputs/grid86/per_date.csv</x:v>
      </x:c>
    </x:row>
    <x:row r="120" ht="36" customHeight="1">
      <x:c r="A120" s="19" t="str">
        <x:v>GRID86</x:v>
      </x:c>
      <x:c r="B120" s="19" t="str">
        <x:v>2036-03-03_9</x:v>
      </x:c>
      <x:c r="C120" s="19" t="str">
        <x:v>FIXED_256</x:v>
      </x:c>
      <x:c r="D120" s="21" t="n">
        <x:v>2</x:v>
      </x:c>
      <x:c r="E120" s="21" t="n">
        <x:v>1720</x:v>
      </x:c>
      <x:c r="F120" s="21" t="n">
        <x:v>1</x:v>
      </x:c>
      <x:c r="G120" s="21" t="n">
        <x:v>0</x:v>
      </x:c>
      <x:c r="H120" s="22" t="n">
        <x:v>2292538.4912719727</x:v>
      </x:c>
      <x:c r="I120" s="23"/>
      <x:c r="J120" s="24" t="n">
        <x:v>2560</x:v>
      </x:c>
      <x:c r="K120" s="25" t="n">
        <x:v>60.645897449885524</x:v>
      </x:c>
      <x:c r="L120" s="25" t="n">
        <x:v>17.186977400229807</x:v>
      </x:c>
      <x:c r="M120" s="25" t="n">
        <x:v>38.34873120006887</x:v>
      </x:c>
      <x:c r="N120" s="25" t="n">
        <x:v>0.9076937499958149</x:v>
      </x:c>
      <x:c r="O120" s="25" t="n">
        <x:v>4.202495099591033</x:v>
      </x:c>
      <x:c r="P120" s="25" t="n">
        <x:v>0.034099627502655494</x:v>
      </x:c>
      <x:c r="Q120" s="25" t="n">
        <x:v>0.9626831010008723</x:v>
      </x:c>
      <x:c r="R120" s="25" t="n">
        <x:v>2.403279559997099</x:v>
      </x:c>
      <x:c r="S120" s="25"/>
      <x:c r="T120" s="25" t="n">
        <x:v>59.76044840001123</x:v>
      </x:c>
      <x:c r="U120" s="25" t="n">
        <x:v>61.53134649975982</x:v>
      </x:c>
      <x:c r="V120" s="25" t="n">
        <x:v>1.2522140551226006</x:v>
      </x:c>
      <x:c r="W120" s="19" t="str">
        <x:v>FRAME_GUARD</x:v>
      </x:c>
      <x:c r="X120" s="26" t="n">
        <x:f>IF(AND(J132&gt;0,E120=E132),1-J120/J132,"")</x:f>
        <x:v>0.4989234683891173</x:v>
      </x:c>
      <x:c r="Y120" s="26" t="n">
        <x:f>IF(AND(K132&gt;0,E120=E132),1-K120/K132,"")</x:f>
        <x:v>0.12477131805299069</x:v>
      </x:c>
      <x:c r="Z120" s="26" t="n">
        <x:f>IF(AND(ISNUMBER(P132),P132&gt;0,E120=E132),1-P120/P132,"")</x:f>
        <x:v>0.03106397360712232</x:v>
      </x:c>
      <x:c r="AA120" s="26" t="n">
        <x:f>IF(AND(ISNUMBER(R120),ISNUMBER(R132),R132&gt;0,E120=E132),1-R120/R132,"")</x:f>
        <x:v>0.39683718208886165</x:v>
      </x:c>
      <x:c r="AB120" s="26" t="n">
        <x:v>0.020647959841922733</x:v>
      </x:c>
      <x:c r="AC120" s="19" t="str">
        <x:v>D:/Codex/GRL研究/outputs/grid86/per_date.csv</x:v>
      </x:c>
    </x:row>
    <x:row r="121" ht="36" customHeight="1">
      <x:c r="A121" s="19" t="str">
        <x:v>GRID86</x:v>
      </x:c>
      <x:c r="B121" s="19" t="str">
        <x:v>2036-05-05_9</x:v>
      </x:c>
      <x:c r="C121" s="19" t="str">
        <x:v>FIXED_256</x:v>
      </x:c>
      <x:c r="D121" s="21" t="n">
        <x:v>2</x:v>
      </x:c>
      <x:c r="E121" s="21" t="n">
        <x:v>2017</x:v>
      </x:c>
      <x:c r="F121" s="21" t="n">
        <x:v>1</x:v>
      </x:c>
      <x:c r="G121" s="21" t="n">
        <x:v>1</x:v>
      </x:c>
      <x:c r="H121" s="22" t="n">
        <x:v>1737961.4846801758</x:v>
      </x:c>
      <x:c r="I121" s="23" t="n">
        <x:v>-0.023331480575255137</x:v>
      </x:c>
      <x:c r="J121" s="24" t="n">
        <x:v>256</x:v>
      </x:c>
      <x:c r="K121" s="25" t="n">
        <x:v>38.18427259995951</x:v>
      </x:c>
      <x:c r="L121" s="25" t="n">
        <x:v>7.380605649865174</x:v>
      </x:c>
      <x:c r="M121" s="25" t="n">
        <x:v>26.600124250009685</x:v>
      </x:c>
      <x:c r="N121" s="25" t="n">
        <x:v>0.09873574997618562</x:v>
      </x:c>
      <x:c r="O121" s="25" t="n">
        <x:v>4.104806950108468</x:v>
      </x:c>
      <x:c r="P121" s="25" t="n">
        <x:v>0.02822779000271112</x:v>
      </x:c>
      <x:c r="Q121" s="25" t="n">
        <x:v>0.6384145899985627</x:v>
      </x:c>
      <x:c r="R121" s="25" t="n">
        <x:v>3.450936150002235</x:v>
      </x:c>
      <x:c r="S121" s="25"/>
      <x:c r="T121" s="25" t="n">
        <x:v>38.13051299991639</x:v>
      </x:c>
      <x:c r="U121" s="25" t="n">
        <x:v>38.238032200002635</x:v>
      </x:c>
      <x:c r="V121" s="25" t="n">
        <x:v>0.07602755548873663</x:v>
      </x:c>
      <x:c r="W121" s="19" t="str">
        <x:v>FRAME_GUARD</x:v>
      </x:c>
      <x:c r="X121" s="26" t="n">
        <x:f>IF(AND(J133&gt;0,E121=E133),1-J121/J133,"")</x:f>
        <x:v>0.4361233480176211</x:v>
      </x:c>
      <x:c r="Y121" s="26" t="n">
        <x:f>IF(AND(K133&gt;0,E121=E133),1-K121/K133,"")</x:f>
        <x:v>-0.06376825613425341</x:v>
      </x:c>
      <x:c r="Z121" s="26" t="n">
        <x:f>IF(AND(ISNUMBER(P133),P133&gt;0,E121=E133),1-P121/P133,"")</x:f>
        <x:v>0.0014521288546744948</x:v>
      </x:c>
      <x:c r="AA121" s="26" t="n">
        <x:f>IF(AND(ISNUMBER(R121),ISNUMBER(R133),R133&gt;0,E121=E133),1-R121/R133,"")</x:f>
        <x:v>0.13682592714594777</x:v>
      </x:c>
      <x:c r="AB121" s="26" t="n">
        <x:v>0.0019910698911367306</x:v>
      </x:c>
      <x:c r="AC121" s="19" t="str">
        <x:v>D:/Codex/GRL研究/outputs/grid86/per_date.csv</x:v>
      </x:c>
    </x:row>
    <x:row r="122" ht="36" customHeight="1">
      <x:c r="A122" s="19" t="str">
        <x:v>GRID86</x:v>
      </x:c>
      <x:c r="B122" s="19" t="str">
        <x:v>2036-07-07_9</x:v>
      </x:c>
      <x:c r="C122" s="19" t="str">
        <x:v>FIXED_256</x:v>
      </x:c>
      <x:c r="D122" s="21" t="n">
        <x:v>2</x:v>
      </x:c>
      <x:c r="E122" s="21" t="n">
        <x:v>2017</x:v>
      </x:c>
      <x:c r="F122" s="21" t="n">
        <x:v>1</x:v>
      </x:c>
      <x:c r="G122" s="21" t="n">
        <x:v>1</x:v>
      </x:c>
      <x:c r="H122" s="22" t="n">
        <x:v>1391348.7835388184</x:v>
      </x:c>
      <x:c r="I122" s="23" t="n">
        <x:v>-0.010880517894231834</x:v>
      </x:c>
      <x:c r="J122" s="24" t="n">
        <x:v>2560</x:v>
      </x:c>
      <x:c r="K122" s="25" t="n">
        <x:v>41.661454649940424</x:v>
      </x:c>
      <x:c r="L122" s="25" t="n">
        <x:v>13.609141649969388</x:v>
      </x:c>
      <x:c r="M122" s="25" t="n">
        <x:v>23.026843999999983</x:v>
      </x:c>
      <x:c r="N122" s="25" t="n">
        <x:v>1.1604405998186849</x:v>
      </x:c>
      <x:c r="O122" s="25" t="n">
        <x:v>3.8650284001523687</x:v>
      </x:c>
      <x:c r="P122" s="25" t="n">
        <x:v>0.03406071999561388</x:v>
      </x:c>
      <x:c r="Q122" s="25" t="n">
        <x:v>0.6790626059994973</x:v>
      </x:c>
      <x:c r="R122" s="25" t="n">
        <x:v>2.22179219250138</x:v>
      </x:c>
      <x:c r="S122" s="25"/>
      <x:c r="T122" s="25" t="n">
        <x:v>41.62756810017163</x:v>
      </x:c>
      <x:c r="U122" s="25" t="n">
        <x:v>41.69534119970922</x:v>
      </x:c>
      <x:c r="V122" s="25" t="n">
        <x:v>0.047922818265060466</x:v>
      </x:c>
      <x:c r="W122" s="19" t="str">
        <x:v>FRAME_GUARD</x:v>
      </x:c>
      <x:c r="X122" s="26" t="n">
        <x:f>IF(AND(J134&gt;0,E122=E134),1-J122/J134,"")</x:f>
        <x:v>0.26224783861671475</x:v>
      </x:c>
      <x:c r="Y122" s="26" t="n">
        <x:f>IF(AND(K134&gt;0,E122=E134),1-K122/K134,"")</x:f>
        <x:v>0.05214052414321646</x:v>
      </x:c>
      <x:c r="Z122" s="26" t="n">
        <x:f>IF(AND(ISNUMBER(P134),P134&gt;0,E122=E134),1-P122/P134,"")</x:f>
        <x:v>-0.00982707580210418</x:v>
      </x:c>
      <x:c r="AA122" s="26" t="n">
        <x:f>IF(AND(ISNUMBER(R122),ISNUMBER(R134),R134&gt;0,E122=E134),1-R122/R134,"")</x:f>
        <x:v>0.3062153527128365</x:v>
      </x:c>
      <x:c r="AB122" s="26" t="n">
        <x:v>0.0011502915264896781</x:v>
      </x:c>
      <x:c r="AC122" s="19" t="str">
        <x:v>D:/Codex/GRL研究/outputs/grid86/per_date.csv</x:v>
      </x:c>
    </x:row>
    <x:row r="123" ht="36" customHeight="1">
      <x:c r="A123" s="19" t="str">
        <x:v>GRID86</x:v>
      </x:c>
      <x:c r="B123" s="19" t="str">
        <x:v>2036-09-01_9</x:v>
      </x:c>
      <x:c r="C123" s="19" t="str">
        <x:v>FIXED_256</x:v>
      </x:c>
      <x:c r="D123" s="21" t="n">
        <x:v>2</x:v>
      </x:c>
      <x:c r="E123" s="21" t="n">
        <x:v>2017</x:v>
      </x:c>
      <x:c r="F123" s="21" t="n">
        <x:v>1</x:v>
      </x:c>
      <x:c r="G123" s="21" t="n">
        <x:v>1</x:v>
      </x:c>
      <x:c r="H123" s="22" t="n">
        <x:v>1392539.194595337</x:v>
      </x:c>
      <x:c r="I123" s="23" t="n">
        <x:v>-0.00030211563703952393</x:v>
      </x:c>
      <x:c r="J123" s="24" t="n">
        <x:v>1024</x:v>
      </x:c>
      <x:c r="K123" s="25" t="n">
        <x:v>38.60552640012247</x:v>
      </x:c>
      <x:c r="L123" s="25" t="n">
        <x:v>9.462189949907042</x:v>
      </x:c>
      <x:c r="M123" s="25" t="n">
        <x:v>24.23217049995219</x:v>
      </x:c>
      <x:c r="N123" s="25" t="n">
        <x:v>0.6262815000955015</x:v>
      </x:c>
      <x:c r="O123" s="25" t="n">
        <x:v>4.284884450167738</x:v>
      </x:c>
      <x:c r="P123" s="25" t="n">
        <x:v>0.028212329997768387</x:v>
      </x:c>
      <x:c r="Q123" s="25" t="n">
        <x:v>0.662462174000684</x:v>
      </x:c>
      <x:c r="R123" s="25" t="n">
        <x:v>1.1009259774989912</x:v>
      </x:c>
      <x:c r="S123" s="25"/>
      <x:c r="T123" s="25" t="n">
        <x:v>38.29471900028875</x:v>
      </x:c>
      <x:c r="U123" s="25" t="n">
        <x:v>38.91633379995619</x:v>
      </x:c>
      <x:c r="V123" s="25" t="n">
        <x:v>0.43954804013076465</x:v>
      </x:c>
      <x:c r="W123" s="19" t="str">
        <x:v>FRAME_GUARD</x:v>
      </x:c>
      <x:c r="X123" s="26" t="n">
        <x:f>IF(AND(J135&gt;0,E123=E135),1-J123/J135,"")</x:f>
        <x:v>0.03487276154571162</x:v>
      </x:c>
      <x:c r="Y123" s="26" t="n">
        <x:f>IF(AND(K135&gt;0,E123=E135),1-K123/K135,"")</x:f>
        <x:v>-0.012402061668287834</x:v>
      </x:c>
      <x:c r="Z123" s="26" t="n">
        <x:f>IF(AND(ISNUMBER(P135),P135&gt;0,E123=E135),1-P123/P135,"")</x:f>
        <x:v>0.00002941901614739173</x:v>
      </x:c>
      <x:c r="AA123" s="26" t="n">
        <x:f>IF(AND(ISNUMBER(R123),ISNUMBER(R135),R135&gt;0,E123=E135),1-R123/R135,"")</x:f>
        <x:v>0.031018177064808472</x:v>
      </x:c>
      <x:c r="AB123" s="26" t="n">
        <x:v>0.01138562483451515</x:v>
      </x:c>
      <x:c r="AC123" s="19" t="str">
        <x:v>D:/Codex/GRL研究/outputs/grid86/per_date.csv</x:v>
      </x:c>
    </x:row>
    <x:row r="124" ht="36" customHeight="1">
      <x:c r="A124" s="19" t="str">
        <x:v>GRID86</x:v>
      </x:c>
      <x:c r="B124" s="19" t="str">
        <x:v>2036-11-03_9</x:v>
      </x:c>
      <x:c r="C124" s="19" t="str">
        <x:v>FIXED_256</x:v>
      </x:c>
      <x:c r="D124" s="21" t="n">
        <x:v>2</x:v>
      </x:c>
      <x:c r="E124" s="21" t="n">
        <x:v>519</x:v>
      </x:c>
      <x:c r="F124" s="21" t="n">
        <x:v>1</x:v>
      </x:c>
      <x:c r="G124" s="21" t="n">
        <x:v>0</x:v>
      </x:c>
      <x:c r="H124" s="22" t="n">
        <x:v>361332.79052734375</x:v>
      </x:c>
      <x:c r="I124" s="23"/>
      <x:c r="J124" s="24" t="n">
        <x:v>0</x:v>
      </x:c>
      <x:c r="K124" s="25" t="n">
        <x:v>14.722845750005945</x:v>
      </x:c>
      <x:c r="L124" s="25" t="n">
        <x:v>1.8851539999159286</x:v>
      </x:c>
      <x:c r="M124" s="25" t="n">
        <x:v>11.920726100004686</x:v>
      </x:c>
      <x:c r="N124" s="25" t="n">
        <x:v>0</x:v>
      </x:c>
      <x:c r="O124" s="25" t="n">
        <x:v>0.9169656500853307</x:v>
      </x:c>
      <x:c r="P124" s="25" t="n">
        <x:v>0.02849071000018738</x:v>
      </x:c>
      <x:c r="Q124" s="25" t="n">
        <x:v>0.8026130450020763</x:v>
      </x:c>
      <x:c r="R124" s="25"/>
      <x:c r="S124" s="25"/>
      <x:c r="T124" s="25" t="n">
        <x:v>14.63591599999927</x:v>
      </x:c>
      <x:c r="U124" s="25" t="n">
        <x:v>14.80977550001262</x:v>
      </x:c>
      <x:c r="V124" s="25" t="n">
        <x:v>0.12293723143314246</x:v>
      </x:c>
      <x:c r="W124" s="19" t="str">
        <x:v>FRAME_GUARD</x:v>
      </x:c>
      <x:c r="X124" s="26" t="str">
        <x:f>IF(AND(J136&gt;0,E124=E136),1-J124/J136,"")</x:f>
      </x:c>
      <x:c r="Y124" s="26" t="n">
        <x:f>IF(AND(K136&gt;0,E124=E136),1-K124/K136,"")</x:f>
        <x:v>-0.004508998370052808</x:v>
      </x:c>
      <x:c r="Z124" s="26" t="n">
        <x:f>IF(AND(ISNUMBER(P136),P136&gt;0,E124=E136),1-P124/P136,"")</x:f>
        <x:v>0.01403588251830501</x:v>
      </x:c>
      <x:c r="AA124" s="26" t="str">
        <x:f>IF(AND(ISNUMBER(R124),ISNUMBER(R136),R136&gt;0,E124=E136),1-R124/R136,"")</x:f>
      </x:c>
      <x:c r="AB124" s="26" t="n">
        <x:v>0.0083500998054736</x:v>
      </x:c>
      <x:c r="AC124" s="19" t="str">
        <x:v>D:/Codex/GRL研究/outputs/grid86/per_date.csv</x:v>
      </x:c>
    </x:row>
    <x:row r="125" ht="36" customHeight="1">
      <x:c r="A125" s="19" t="str">
        <x:v>GRID86</x:v>
      </x:c>
      <x:c r="B125" s="19" t="str">
        <x:v>2036-01-07_9</x:v>
      </x:c>
      <x:c r="C125" s="19" t="str">
        <x:v>FIXED_512</x:v>
      </x:c>
      <x:c r="D125" s="21" t="n">
        <x:v>2</x:v>
      </x:c>
      <x:c r="E125" s="21" t="n">
        <x:v>2017</x:v>
      </x:c>
      <x:c r="F125" s="21" t="n">
        <x:v>1</x:v>
      </x:c>
      <x:c r="G125" s="21" t="n">
        <x:v>1</x:v>
      </x:c>
      <x:c r="H125" s="22" t="n">
        <x:v>2410469.042236328</x:v>
      </x:c>
      <x:c r="I125" s="23" t="n">
        <x:v>-0.00006209540836654703</x:v>
      </x:c>
      <x:c r="J125" s="24" t="n">
        <x:v>3072</x:v>
      </x:c>
      <x:c r="K125" s="25" t="n">
        <x:v>83.03303935005897</x:v>
      </x:c>
      <x:c r="L125" s="25" t="n">
        <x:v>18.848084900022513</x:v>
      </x:c>
      <x:c r="M125" s="25" t="n">
        <x:v>58.882692550036154</x:v>
      </x:c>
      <x:c r="N125" s="25" t="n">
        <x:v>0.609276949933701</x:v>
      </x:c>
      <x:c r="O125" s="25" t="n">
        <x:v>4.692984950066602</x:v>
      </x:c>
      <x:c r="P125" s="25" t="n">
        <x:v>0.03314766000039522</x:v>
      </x:c>
      <x:c r="Q125" s="25" t="n">
        <x:v>0.9976688000009661</x:v>
      </x:c>
      <x:c r="R125" s="25" t="n">
        <x:v>3.546164637502443</x:v>
      </x:c>
      <x:c r="S125" s="25"/>
      <x:c r="T125" s="25" t="n">
        <x:v>82.98509000011836</x:v>
      </x:c>
      <x:c r="U125" s="25" t="n">
        <x:v>83.08098869999958</x:v>
      </x:c>
      <x:c r="V125" s="25" t="n">
        <x:v>0.06781062099298274</x:v>
      </x:c>
      <x:c r="W125" s="19" t="str">
        <x:v>FRAME_GUARD</x:v>
      </x:c>
      <x:c r="X125" s="26" t="n">
        <x:f>IF(AND(J131&gt;0,E125=E131),1-J125/J131,"")</x:f>
        <x:v>-1.1452513966480447</x:v>
      </x:c>
      <x:c r="Y125" s="26" t="n">
        <x:f>IF(AND(K131&gt;0,E125=E131),1-K125/K131,"")</x:f>
        <x:v>-0.02312144758366297</x:v>
      </x:c>
      <x:c r="Z125" s="26" t="n">
        <x:f>IF(AND(ISNUMBER(P131),P131&gt;0,E125=E131),1-P125/P131,"")</x:f>
        <x:v>0.020818889486080683</x:v>
      </x:c>
      <x:c r="AA125" s="26" t="n">
        <x:f>IF(AND(ISNUMBER(R125),ISNUMBER(R131),R131&gt;0,E125=E131),1-R125/R131,"")</x:f>
        <x:v>-0.1248192466735476</x:v>
      </x:c>
      <x:c r="AB125" s="26" t="n">
        <x:v>0.0008166703462112227</x:v>
      </x:c>
      <x:c r="AC125" s="19" t="str">
        <x:v>D:/Codex/GRL研究/outputs/grid86/per_date.csv</x:v>
      </x:c>
    </x:row>
    <x:row r="126" ht="36" customHeight="1">
      <x:c r="A126" s="19" t="str">
        <x:v>GRID86</x:v>
      </x:c>
      <x:c r="B126" s="19" t="str">
        <x:v>2036-03-03_9</x:v>
      </x:c>
      <x:c r="C126" s="19" t="str">
        <x:v>FIXED_512</x:v>
      </x:c>
      <x:c r="D126" s="21" t="n">
        <x:v>2</x:v>
      </x:c>
      <x:c r="E126" s="21" t="n">
        <x:v>1720</x:v>
      </x:c>
      <x:c r="F126" s="21" t="n">
        <x:v>1</x:v>
      </x:c>
      <x:c r="G126" s="21" t="n">
        <x:v>0</x:v>
      </x:c>
      <x:c r="H126" s="22" t="n">
        <x:v>2300386.2553100586</x:v>
      </x:c>
      <x:c r="I126" s="23"/>
      <x:c r="J126" s="24" t="n">
        <x:v>5120</x:v>
      </x:c>
      <x:c r="K126" s="25" t="n">
        <x:v>68.86625944992556</x:v>
      </x:c>
      <x:c r="L126" s="25" t="n">
        <x:v>23.379624149994925</x:v>
      </x:c>
      <x:c r="M126" s="25" t="n">
        <x:v>40.12318185004915</x:v>
      </x:c>
      <x:c r="N126" s="25" t="n">
        <x:v>0.9440186500105483</x:v>
      </x:c>
      <x:c r="O126" s="25" t="n">
        <x:v>4.419434799870942</x:v>
      </x:c>
      <x:c r="P126" s="25" t="n">
        <x:v>0.03482102249781746</x:v>
      </x:c>
      <x:c r="Q126" s="25" t="n">
        <x:v>1.1008399485002136</x:v>
      </x:c>
      <x:c r="R126" s="25" t="n">
        <x:v>3.4255005575027084</x:v>
      </x:c>
      <x:c r="S126" s="25"/>
      <x:c r="T126" s="25" t="n">
        <x:v>68.84756469989225</x:v>
      </x:c>
      <x:c r="U126" s="25" t="n">
        <x:v>68.88495419995888</x:v>
      </x:c>
      <x:c r="V126" s="25" t="n">
        <x:v>0.026438369042294595</x:v>
      </x:c>
      <x:c r="W126" s="19" t="str">
        <x:v>FRAME_GUARD</x:v>
      </x:c>
      <x:c r="X126" s="26" t="n">
        <x:f>IF(AND(J132&gt;0,E126=E132),1-J126/J132,"")</x:f>
        <x:v>-0.00215306322176545</x:v>
      </x:c>
      <x:c r="Y126" s="26" t="n">
        <x:f>IF(AND(K132&gt;0,E126=E132),1-K126/K132,"")</x:f>
        <x:v>0.0061368035853364145</x:v>
      </x:c>
      <x:c r="Z126" s="26" t="n">
        <x:f>IF(AND(ISNUMBER(P132),P132&gt;0,E126=E132),1-P126/P132,"")</x:f>
        <x:v>0.010565638250892628</x:v>
      </x:c>
      <x:c r="AA126" s="26" t="n">
        <x:f>IF(AND(ISNUMBER(R126),ISNUMBER(R132),R132&gt;0,E126=E132),1-R126/R132,"")</x:f>
        <x:v>0.1402853819378369</x:v>
      </x:c>
      <x:c r="AB126" s="26" t="n">
        <x:v>0.00038390888736331924</x:v>
      </x:c>
      <x:c r="AC126" s="19" t="str">
        <x:v>D:/Codex/GRL研究/outputs/grid86/per_date.csv</x:v>
      </x:c>
    </x:row>
    <x:row r="127" ht="36" customHeight="1">
      <x:c r="A127" s="19" t="str">
        <x:v>GRID86</x:v>
      </x:c>
      <x:c r="B127" s="19" t="str">
        <x:v>2036-05-05_9</x:v>
      </x:c>
      <x:c r="C127" s="19" t="str">
        <x:v>FIXED_512</x:v>
      </x:c>
      <x:c r="D127" s="21" t="n">
        <x:v>2</x:v>
      </x:c>
      <x:c r="E127" s="21" t="n">
        <x:v>2017</x:v>
      </x:c>
      <x:c r="F127" s="21" t="n">
        <x:v>1</x:v>
      </x:c>
      <x:c r="G127" s="21" t="n">
        <x:v>1</x:v>
      </x:c>
      <x:c r="H127" s="22" t="n">
        <x:v>1779479.3731079102</x:v>
      </x:c>
      <x:c r="I127" s="23" t="n">
        <x:v>0</x:v>
      </x:c>
      <x:c r="J127" s="24" t="n">
        <x:v>1536</x:v>
      </x:c>
      <x:c r="K127" s="25" t="n">
        <x:v>46.063264899959904</x:v>
      </x:c>
      <x:c r="L127" s="25" t="n">
        <x:v>10.07985710000139</x:v>
      </x:c>
      <x:c r="M127" s="25" t="n">
        <x:v>31.334403399960138</x:v>
      </x:c>
      <x:c r="N127" s="25" t="n">
        <x:v>0.30324450000262004</x:v>
      </x:c>
      <x:c r="O127" s="25" t="n">
        <x:v>4.345759899995755</x:v>
      </x:c>
      <x:c r="P127" s="25" t="n">
        <x:v>0.03229057999997167</x:v>
      </x:c>
      <x:c r="Q127" s="25" t="n">
        <x:v>0.6967383639996109</x:v>
      </x:c>
      <x:c r="R127" s="25" t="n">
        <x:v>2.995215095000094</x:v>
      </x:c>
      <x:c r="S127" s="25"/>
      <x:c r="T127" s="25" t="n">
        <x:v>45.587949800006754</x:v>
      </x:c>
      <x:c r="U127" s="25" t="n">
        <x:v>46.538579999913054</x:v>
      </x:c>
      <x:c r="V127" s="25" t="n">
        <x:v>0.6721970607544678</x:v>
      </x:c>
      <x:c r="W127" s="19" t="str">
        <x:v>FRAME_GUARD</x:v>
      </x:c>
      <x:c r="X127" s="26" t="n">
        <x:f>IF(AND(J133&gt;0,E127=E133),1-J127/J133,"")</x:f>
        <x:v>-2.383259911894273</x:v>
      </x:c>
      <x:c r="Y127" s="26" t="n">
        <x:f>IF(AND(K133&gt;0,E127=E133),1-K127/K133,"")</x:f>
        <x:v>-0.2832675768853712</x:v>
      </x:c>
      <x:c r="Z127" s="26" t="n">
        <x:f>IF(AND(ISNUMBER(P133),P133&gt;0,E127=E133),1-P127/P133,"")</x:f>
        <x:v>-0.1422675991964908</x:v>
      </x:c>
      <x:c r="AA127" s="26" t="n">
        <x:f>IF(AND(ISNUMBER(R127),ISNUMBER(R133),R133&gt;0,E127=E133),1-R127/R133,"")</x:f>
        <x:v>0.25081430074459843</x:v>
      </x:c>
      <x:c r="AB127" s="26" t="n">
        <x:v>0.014592909604092196</x:v>
      </x:c>
      <x:c r="AC127" s="19" t="str">
        <x:v>D:/Codex/GRL研究/outputs/grid86/per_date.csv</x:v>
      </x:c>
    </x:row>
    <x:row r="128" ht="36" customHeight="1">
      <x:c r="A128" s="19" t="str">
        <x:v>GRID86</x:v>
      </x:c>
      <x:c r="B128" s="19" t="str">
        <x:v>2036-07-07_9</x:v>
      </x:c>
      <x:c r="C128" s="19" t="str">
        <x:v>FIXED_512</x:v>
      </x:c>
      <x:c r="D128" s="21" t="n">
        <x:v>2</x:v>
      </x:c>
      <x:c r="E128" s="21" t="n">
        <x:v>2017</x:v>
      </x:c>
      <x:c r="F128" s="21" t="n">
        <x:v>1</x:v>
      </x:c>
      <x:c r="G128" s="21" t="n">
        <x:v>1</x:v>
      </x:c>
      <x:c r="H128" s="22" t="n">
        <x:v>1406653.906539917</x:v>
      </x:c>
      <x:c r="I128" s="23" t="n">
        <x:v>0</x:v>
      </x:c>
      <x:c r="J128" s="24" t="n">
        <x:v>5120</x:v>
      </x:c>
      <x:c r="K128" s="25" t="n">
        <x:v>50.43724790001215</x:v>
      </x:c>
      <x:c r="L128" s="25" t="n">
        <x:v>21.00226090007709</x:v>
      </x:c>
      <x:c r="M128" s="25" t="n">
        <x:v>24.28863209998235</x:v>
      </x:c>
      <x:c r="N128" s="25" t="n">
        <x:v>1.0197697000476182</x:v>
      </x:c>
      <x:c r="O128" s="25" t="n">
        <x:v>4.126585199905094</x:v>
      </x:c>
      <x:c r="P128" s="25" t="n">
        <x:v>0.031065109998598926</x:v>
      </x:c>
      <x:c r="Q128" s="25" t="n">
        <x:v>0.6821675980032886</x:v>
      </x:c>
      <x:c r="R128" s="25" t="n">
        <x:v>3.565455729999301</x:v>
      </x:c>
      <x:c r="S128" s="25"/>
      <x:c r="T128" s="25" t="n">
        <x:v>50.24667429996043</x:v>
      </x:c>
      <x:c r="U128" s="25" t="n">
        <x:v>50.627821500063874</x:v>
      </x:c>
      <x:c r="V128" s="25" t="n">
        <x:v>0.26951176982340963</x:v>
      </x:c>
      <x:c r="W128" s="19" t="str">
        <x:v>FRAME_GUARD</x:v>
      </x:c>
      <x:c r="X128" s="26" t="n">
        <x:f>IF(AND(J134&gt;0,E128=E134),1-J128/J134,"")</x:f>
        <x:v>-0.4755043227665705</x:v>
      </x:c>
      <x:c r="Y128" s="26" t="n">
        <x:f>IF(AND(K134&gt;0,E128=E134),1-K128/K134,"")</x:f>
        <x:v>-0.14752170225128092</x:v>
      </x:c>
      <x:c r="Z128" s="26" t="n">
        <x:f>IF(AND(ISNUMBER(P134),P134&gt;0,E128=E134),1-P128/P134,"")</x:f>
        <x:v>0.0789863163962613</x:v>
      </x:c>
      <x:c r="AA128" s="26" t="n">
        <x:f>IF(AND(ISNUMBER(R128),ISNUMBER(R134),R134&gt;0,E128=E134),1-R128/R134,"")</x:f>
        <x:v>-0.1133617511143652</x:v>
      </x:c>
      <x:c r="AB128" s="26" t="n">
        <x:v>0.005343506655194497</x:v>
      </x:c>
      <x:c r="AC128" s="19" t="str">
        <x:v>D:/Codex/GRL研究/outputs/grid86/per_date.csv</x:v>
      </x:c>
    </x:row>
    <x:row r="129" ht="36" customHeight="1">
      <x:c r="A129" s="19" t="str">
        <x:v>GRID86</x:v>
      </x:c>
      <x:c r="B129" s="19" t="str">
        <x:v>2036-09-01_9</x:v>
      </x:c>
      <x:c r="C129" s="19" t="str">
        <x:v>FIXED_512</x:v>
      </x:c>
      <x:c r="D129" s="21" t="n">
        <x:v>2</x:v>
      </x:c>
      <x:c r="E129" s="21" t="n">
        <x:v>2017</x:v>
      </x:c>
      <x:c r="F129" s="21" t="n">
        <x:v>1</x:v>
      </x:c>
      <x:c r="G129" s="21" t="n">
        <x:v>1</x:v>
      </x:c>
      <x:c r="H129" s="22" t="n">
        <x:v>1392539.194595337</x:v>
      </x:c>
      <x:c r="I129" s="23" t="n">
        <x:v>-0.00030211563703952393</x:v>
      </x:c>
      <x:c r="J129" s="24" t="n">
        <x:v>2048</x:v>
      </x:c>
      <x:c r="K129" s="25" t="n">
        <x:v>40.618867150060396</x:v>
      </x:c>
      <x:c r="L129" s="25" t="n">
        <x:v>11.716946650078171</x:v>
      </x:c>
      <x:c r="M129" s="25" t="n">
        <x:v>24.139655900013167</x:v>
      </x:c>
      <x:c r="N129" s="25" t="n">
        <x:v>0.4005039000257966</x:v>
      </x:c>
      <x:c r="O129" s="25" t="n">
        <x:v>4.361760699943261</x:v>
      </x:c>
      <x:c r="P129" s="25" t="n">
        <x:v>0.028152929998032032</x:v>
      </x:c>
      <x:c r="Q129" s="25" t="n">
        <x:v>0.6628303420006705</x:v>
      </x:c>
      <x:c r="R129" s="25" t="n">
        <x:v>1.6998833600024228</x:v>
      </x:c>
      <x:c r="S129" s="25"/>
      <x:c r="T129" s="25" t="n">
        <x:v>40.55337459994189</x:v>
      </x:c>
      <x:c r="U129" s="25" t="n">
        <x:v>40.6843597001789</x:v>
      </x:c>
      <x:c r="V129" s="25" t="n">
        <x:v>0.0926204526119911</x:v>
      </x:c>
      <x:c r="W129" s="19" t="str">
        <x:v>FRAME_GUARD</x:v>
      </x:c>
      <x:c r="X129" s="26" t="n">
        <x:f>IF(AND(J135&gt;0,E129=E135),1-J129/J135,"")</x:f>
        <x:v>-0.9302544769085768</x:v>
      </x:c>
      <x:c r="Y129" s="26" t="n">
        <x:f>IF(AND(K135&gt;0,E129=E135),1-K129/K135,"")</x:f>
        <x:v>-0.06520046946493596</x:v>
      </x:c>
      <x:c r="Z129" s="26" t="n">
        <x:f>IF(AND(ISNUMBER(P135),P135&gt;0,E129=E135),1-P129/P135,"")</x:f>
        <x:v>0.0021348194652242025</x:v>
      </x:c>
      <x:c r="AA129" s="26" t="n">
        <x:f>IF(AND(ISNUMBER(R129),ISNUMBER(R135),R135&gt;0,E129=E135),1-R129/R135,"")</x:f>
        <x:v>-0.49615515540313004</x:v>
      </x:c>
      <x:c r="AB129" s="26" t="n">
        <x:v>0.0022802322937717228</x:v>
      </x:c>
      <x:c r="AC129" s="19" t="str">
        <x:v>D:/Codex/GRL研究/outputs/grid86/per_date.csv</x:v>
      </x:c>
    </x:row>
    <x:row r="130" ht="36" customHeight="1">
      <x:c r="A130" s="19" t="str">
        <x:v>GRID86</x:v>
      </x:c>
      <x:c r="B130" s="19" t="str">
        <x:v>2036-11-03_9</x:v>
      </x:c>
      <x:c r="C130" s="19" t="str">
        <x:v>FIXED_512</x:v>
      </x:c>
      <x:c r="D130" s="21" t="n">
        <x:v>2</x:v>
      </x:c>
      <x:c r="E130" s="21" t="n">
        <x:v>519</x:v>
      </x:c>
      <x:c r="F130" s="21" t="n">
        <x:v>1</x:v>
      </x:c>
      <x:c r="G130" s="21" t="n">
        <x:v>0</x:v>
      </x:c>
      <x:c r="H130" s="22" t="n">
        <x:v>361332.79052734375</x:v>
      </x:c>
      <x:c r="I130" s="23"/>
      <x:c r="J130" s="24" t="n">
        <x:v>0</x:v>
      </x:c>
      <x:c r="K130" s="25" t="n">
        <x:v>14.642000000039843</x:v>
      </x:c>
      <x:c r="L130" s="25" t="n">
        <x:v>1.8848276499957137</x:v>
      </x:c>
      <x:c r="M130" s="25" t="n">
        <x:v>11.843477800055553</x:v>
      </x:c>
      <x:c r="N130" s="25" t="n">
        <x:v>0</x:v>
      </x:c>
      <x:c r="O130" s="25" t="n">
        <x:v>0.9136945499885769</x:v>
      </x:c>
      <x:c r="P130" s="25" t="n">
        <x:v>0.028448475000186577</x:v>
      </x:c>
      <x:c r="Q130" s="25" t="n">
        <x:v>0.8111119559966811</x:v>
      </x:c>
      <x:c r="R130" s="25"/>
      <x:c r="S130" s="25"/>
      <x:c r="T130" s="25" t="n">
        <x:v>14.458357600065938</x:v>
      </x:c>
      <x:c r="U130" s="25" t="n">
        <x:v>14.825642400013749</x:v>
      </x:c>
      <x:c r="V130" s="25" t="n">
        <x:v>0.25970957266984157</x:v>
      </x:c>
      <x:c r="W130" s="19" t="str">
        <x:v>FRAME_GUARD</x:v>
      </x:c>
      <x:c r="X130" s="26" t="str">
        <x:f>IF(AND(J136&gt;0,E130=E136),1-J130/J136,"")</x:f>
      </x:c>
      <x:c r="Y130" s="26" t="n">
        <x:f>IF(AND(K136&gt;0,E130=E136),1-K130/K136,"")</x:f>
        <x:v>0.00100693820225628</x:v>
      </x:c>
      <x:c r="Z130" s="26" t="n">
        <x:f>IF(AND(ISNUMBER(P136),P136&gt;0,E130=E136),1-P130/P136,"")</x:f>
        <x:v>0.015497488582259078</x:v>
      </x:c>
      <x:c r="AA130" s="26" t="str">
        <x:f>IF(AND(ISNUMBER(R130),ISNUMBER(R136),R136&gt;0,E130=E136),1-R130/R136,"")</x:f>
      </x:c>
      <x:c r="AB130" s="26" t="n">
        <x:v>0.017737301780435383</x:v>
      </x:c>
      <x:c r="AC130" s="19" t="str">
        <x:v>D:/Codex/GRL研究/outputs/grid86/per_date.csv</x:v>
      </x:c>
    </x:row>
    <x:row r="131" ht="36" customHeight="1">
      <x:c r="A131" s="19" t="str">
        <x:v>GRID86</x:v>
      </x:c>
      <x:c r="B131" s="19" t="str">
        <x:v>2036-01-07_9</x:v>
      </x:c>
      <x:c r="C131" s="19" t="str">
        <x:v>FRAME_GUARD</x:v>
      </x:c>
      <x:c r="D131" s="21" t="n">
        <x:v>2</x:v>
      </x:c>
      <x:c r="E131" s="21" t="n">
        <x:v>2017</x:v>
      </x:c>
      <x:c r="F131" s="21" t="n">
        <x:v>1</x:v>
      </x:c>
      <x:c r="G131" s="21" t="n">
        <x:v>1</x:v>
      </x:c>
      <x:c r="H131" s="22" t="n">
        <x:v>2412707.07421875</x:v>
      </x:c>
      <x:c r="I131" s="23" t="n">
        <x:v>0.0008663102138171119</x:v>
      </x:c>
      <x:c r="J131" s="24" t="n">
        <x:v>1432</x:v>
      </x:c>
      <x:c r="K131" s="25" t="n">
        <x:v>81.15658170020833</x:v>
      </x:c>
      <x:c r="L131" s="25" t="n">
        <x:v>14.5738842501014</x:v>
      </x:c>
      <x:c r="M131" s="25" t="n">
        <x:v>61.518761550021736</x:v>
      </x:c>
      <x:c r="N131" s="25" t="n">
        <x:v>0.5066684000084933</x:v>
      </x:c>
      <x:c r="O131" s="25" t="n">
        <x:v>4.557267500076705</x:v>
      </x:c>
      <x:c r="P131" s="25" t="n">
        <x:v>0.033852429999387756</x:v>
      </x:c>
      <x:c r="Q131" s="25" t="n">
        <x:v>0.956210254002352</x:v>
      </x:c>
      <x:c r="R131" s="25" t="n">
        <x:v>3.152652879997913</x:v>
      </x:c>
      <x:c r="S131" s="25"/>
      <x:c r="T131" s="25" t="n">
        <x:v>80.75313990005816</x:v>
      </x:c>
      <x:c r="U131" s="25" t="n">
        <x:v>81.56002350035851</x:v>
      </x:c>
      <x:c r="V131" s="25" t="n">
        <x:v>0.570552865400595</x:v>
      </x:c>
      <x:c r="W131" s="19" t="str">
        <x:v>FRAME_GUARD</x:v>
      </x:c>
      <x:c r="X131" s="26" t="n">
        <x:f>IF(AND(J131&gt;0,E131=E131),1-J131/J131,"")</x:f>
        <x:v>0</x:v>
      </x:c>
      <x:c r="Y131" s="26" t="n">
        <x:f>IF(AND(K131&gt;0,E131=E131),1-K131/K131,"")</x:f>
        <x:v>0</x:v>
      </x:c>
      <x:c r="Z131" s="26" t="n">
        <x:f>IF(AND(ISNUMBER(P131),P131&gt;0,E131=E131),1-P131/P131,"")</x:f>
        <x:v>0</x:v>
      </x:c>
      <x:c r="AA131" s="26" t="n">
        <x:f>IF(AND(ISNUMBER(R131),ISNUMBER(R131),R131&gt;0,E131=E131),1-R131/R131,"")</x:f>
        <x:v>0</x:v>
      </x:c>
      <x:c r="AB131" s="26" t="n">
        <x:v>0.007030272264401328</x:v>
      </x:c>
      <x:c r="AC131" s="19" t="str">
        <x:v>D:/Codex/GRL研究/outputs/grid86/per_date.csv</x:v>
      </x:c>
    </x:row>
    <x:row r="132" ht="36" customHeight="1">
      <x:c r="A132" s="19" t="str">
        <x:v>GRID86</x:v>
      </x:c>
      <x:c r="B132" s="19" t="str">
        <x:v>2036-03-03_9</x:v>
      </x:c>
      <x:c r="C132" s="19" t="str">
        <x:v>FRAME_GUARD</x:v>
      </x:c>
      <x:c r="D132" s="21" t="n">
        <x:v>2</x:v>
      </x:c>
      <x:c r="E132" s="21" t="n">
        <x:v>1720</x:v>
      </x:c>
      <x:c r="F132" s="21" t="n">
        <x:v>1</x:v>
      </x:c>
      <x:c r="G132" s="21" t="n">
        <x:v>0</x:v>
      </x:c>
      <x:c r="H132" s="22" t="n">
        <x:v>2300386.2553100586</x:v>
      </x:c>
      <x:c r="I132" s="23"/>
      <x:c r="J132" s="24" t="n">
        <x:v>5109</x:v>
      </x:c>
      <x:c r="K132" s="25" t="n">
        <x:v>69.29148770007669</x:v>
      </x:c>
      <x:c r="L132" s="25" t="n">
        <x:v>23.603016199755075</x:v>
      </x:c>
      <x:c r="M132" s="25" t="n">
        <x:v>40.32755325002654</x:v>
      </x:c>
      <x:c r="N132" s="25" t="n">
        <x:v>0.9342985499024508</x:v>
      </x:c>
      <x:c r="O132" s="25" t="n">
        <x:v>4.426619700392621</x:v>
      </x:c>
      <x:c r="P132" s="25" t="n">
        <x:v>0.035192857499168895</x:v>
      </x:c>
      <x:c r="Q132" s="25" t="n">
        <x:v>0.9442828544999036</x:v>
      </x:c>
      <x:c r="R132" s="25" t="n">
        <x:v>3.9844623849992766</x:v>
      </x:c>
      <x:c r="S132" s="25"/>
      <x:c r="T132" s="25" t="n">
        <x:v>68.99158300021372</x:v>
      </x:c>
      <x:c r="U132" s="25" t="n">
        <x:v>69.59139239993965</x:v>
      </x:c>
      <x:c r="V132" s="25" t="n">
        <x:v>0.4241292939656358</x:v>
      </x:c>
      <x:c r="W132" s="19" t="str">
        <x:v>FRAME_GUARD</x:v>
      </x:c>
      <x:c r="X132" s="26" t="n">
        <x:f>IF(AND(J132&gt;0,E132=E132),1-J132/J132,"")</x:f>
        <x:v>0</x:v>
      </x:c>
      <x:c r="Y132" s="26" t="n">
        <x:f>IF(AND(K132&gt;0,E132=E132),1-K132/K132,"")</x:f>
        <x:v>0</x:v>
      </x:c>
      <x:c r="Z132" s="26" t="n">
        <x:f>IF(AND(ISNUMBER(P132),P132&gt;0,E132=E132),1-P132/P132,"")</x:f>
        <x:v>0</x:v>
      </x:c>
      <x:c r="AA132" s="26" t="n">
        <x:f>IF(AND(ISNUMBER(R132),ISNUMBER(R132),R132&gt;0,E132=E132),1-R132/R132,"")</x:f>
        <x:v>0</x:v>
      </x:c>
      <x:c r="AB132" s="26" t="n">
        <x:v>0.006120943683608722</x:v>
      </x:c>
      <x:c r="AC132" s="19" t="str">
        <x:v>D:/Codex/GRL研究/outputs/grid86/per_date.csv</x:v>
      </x:c>
    </x:row>
    <x:row r="133" ht="36" customHeight="1">
      <x:c r="A133" s="19" t="str">
        <x:v>GRID86</x:v>
      </x:c>
      <x:c r="B133" s="19" t="str">
        <x:v>2036-05-05_9</x:v>
      </x:c>
      <x:c r="C133" s="19" t="str">
        <x:v>FRAME_GUARD</x:v>
      </x:c>
      <x:c r="D133" s="21" t="n">
        <x:v>2</x:v>
      </x:c>
      <x:c r="E133" s="21" t="n">
        <x:v>2017</x:v>
      </x:c>
      <x:c r="F133" s="21" t="n">
        <x:v>1</x:v>
      </x:c>
      <x:c r="G133" s="21" t="n">
        <x:v>1</x:v>
      </x:c>
      <x:c r="H133" s="22" t="n">
        <x:v>1732291.8922729492</x:v>
      </x:c>
      <x:c r="I133" s="23" t="n">
        <x:v>-0.02651757674074451</x:v>
      </x:c>
      <x:c r="J133" s="24" t="n">
        <x:v>454</x:v>
      </x:c>
      <x:c r="K133" s="25" t="n">
        <x:v>35.895292400171456</x:v>
      </x:c>
      <x:c r="L133" s="25" t="n">
        <x:v>7.856027600188099</x:v>
      </x:c>
      <x:c r="M133" s="25" t="n">
        <x:v>23.81774475002385</x:v>
      </x:c>
      <x:c r="N133" s="25" t="n">
        <x:v>0.10114599998632912</x:v>
      </x:c>
      <x:c r="O133" s="25" t="n">
        <x:v>4.120374049973179</x:v>
      </x:c>
      <x:c r="P133" s="25" t="n">
        <x:v>0.028268840000964697</x:v>
      </x:c>
      <x:c r="Q133" s="25" t="n">
        <x:v>0.5507159020015178</x:v>
      </x:c>
      <x:c r="R133" s="25" t="n">
        <x:v>3.9979608499961614</x:v>
      </x:c>
      <x:c r="S133" s="25"/>
      <x:c r="T133" s="25" t="n">
        <x:v>35.89307730015571</x:v>
      </x:c>
      <x:c r="U133" s="25" t="n">
        <x:v>35.8975075001872</x:v>
      </x:c>
      <x:c r="V133" s="25" t="n">
        <x:v>0.003132624484281457</x:v>
      </x:c>
      <x:c r="W133" s="19" t="str">
        <x:v>FRAME_GUARD</x:v>
      </x:c>
      <x:c r="X133" s="26" t="n">
        <x:f>IF(AND(J133&gt;0,E133=E133),1-J133/J133,"")</x:f>
        <x:v>0</x:v>
      </x:c>
      <x:c r="Y133" s="26" t="n">
        <x:f>IF(AND(K133&gt;0,E133=E133),1-K133/K133,"")</x:f>
        <x:v>0</x:v>
      </x:c>
      <x:c r="Z133" s="26" t="n">
        <x:f>IF(AND(ISNUMBER(P133),P133&gt;0,E133=E133),1-P133/P133,"")</x:f>
        <x:v>0</x:v>
      </x:c>
      <x:c r="AA133" s="26" t="n">
        <x:f>IF(AND(ISNUMBER(R133),ISNUMBER(R133),R133&gt;0,E133=E133),1-R133/R133,"")</x:f>
        <x:v>0</x:v>
      </x:c>
      <x:c r="AB133" s="26" t="n">
        <x:v>0.0000872711788876943</x:v>
      </x:c>
      <x:c r="AC133" s="19" t="str">
        <x:v>D:/Codex/GRL研究/outputs/grid86/per_date.csv</x:v>
      </x:c>
    </x:row>
    <x:row r="134" ht="36" customHeight="1">
      <x:c r="A134" s="19" t="str">
        <x:v>GRID86</x:v>
      </x:c>
      <x:c r="B134" s="19" t="str">
        <x:v>2036-07-07_9</x:v>
      </x:c>
      <x:c r="C134" s="19" t="str">
        <x:v>FRAME_GUARD</x:v>
      </x:c>
      <x:c r="D134" s="21" t="n">
        <x:v>2</x:v>
      </x:c>
      <x:c r="E134" s="21" t="n">
        <x:v>2017</x:v>
      </x:c>
      <x:c r="F134" s="21" t="n">
        <x:v>1</x:v>
      </x:c>
      <x:c r="G134" s="21" t="n">
        <x:v>1</x:v>
      </x:c>
      <x:c r="H134" s="22" t="n">
        <x:v>1391348.7835388184</x:v>
      </x:c>
      <x:c r="I134" s="23" t="n">
        <x:v>-0.010880517894231834</x:v>
      </x:c>
      <x:c r="J134" s="24" t="n">
        <x:v>3470</x:v>
      </x:c>
      <x:c r="K134" s="25" t="n">
        <x:v>43.95319740015475</x:v>
      </x:c>
      <x:c r="L134" s="25" t="n">
        <x:v>15.895470600065892</x:v>
      </x:c>
      <x:c r="M134" s="25" t="n">
        <x:v>22.92428684996048</x:v>
      </x:c>
      <x:c r="N134" s="25" t="n">
        <x:v>1.1688086999674852</x:v>
      </x:c>
      <x:c r="O134" s="25" t="n">
        <x:v>3.964631250160892</x:v>
      </x:c>
      <x:c r="P134" s="25" t="n">
        <x:v>0.03372926000083678</x:v>
      </x:c>
      <x:c r="Q134" s="25" t="n">
        <x:v>0.6807739720011886</x:v>
      </x:c>
      <x:c r="R134" s="25" t="n">
        <x:v>3.2024234049989877</x:v>
      </x:c>
      <x:c r="S134" s="25"/>
      <x:c r="T134" s="25" t="n">
        <x:v>43.9085051001457</x:v>
      </x:c>
      <x:c r="U134" s="25" t="n">
        <x:v>43.997889700163796</x:v>
      </x:c>
      <x:c r="V134" s="25" t="n">
        <x:v>0.06320445680644068</x:v>
      </x:c>
      <x:c r="W134" s="19" t="str">
        <x:v>FRAME_GUARD</x:v>
      </x:c>
      <x:c r="X134" s="26" t="n">
        <x:f>IF(AND(J134&gt;0,E134=E134),1-J134/J134,"")</x:f>
        <x:v>0</x:v>
      </x:c>
      <x:c r="Y134" s="26" t="n">
        <x:f>IF(AND(K134&gt;0,E134=E134),1-K134/K134,"")</x:f>
        <x:v>0</x:v>
      </x:c>
      <x:c r="Z134" s="26" t="n">
        <x:f>IF(AND(ISNUMBER(P134),P134&gt;0,E134=E134),1-P134/P134,"")</x:f>
        <x:v>0</x:v>
      </x:c>
      <x:c r="AA134" s="26" t="n">
        <x:f>IF(AND(ISNUMBER(R134),ISNUMBER(R134),R134&gt;0,E134=E134),1-R134/R134,"")</x:f>
        <x:v>0</x:v>
      </x:c>
      <x:c r="AB134" s="26" t="n">
        <x:v>0.0014379945156440008</x:v>
      </x:c>
      <x:c r="AC134" s="19" t="str">
        <x:v>D:/Codex/GRL研究/outputs/grid86/per_date.csv</x:v>
      </x:c>
    </x:row>
    <x:row r="135" ht="36" customHeight="1">
      <x:c r="A135" s="19" t="str">
        <x:v>GRID86</x:v>
      </x:c>
      <x:c r="B135" s="19" t="str">
        <x:v>2036-09-01_9</x:v>
      </x:c>
      <x:c r="C135" s="19" t="str">
        <x:v>FRAME_GUARD</x:v>
      </x:c>
      <x:c r="D135" s="21" t="n">
        <x:v>2</x:v>
      </x:c>
      <x:c r="E135" s="21" t="n">
        <x:v>2017</x:v>
      </x:c>
      <x:c r="F135" s="21" t="n">
        <x:v>1</x:v>
      </x:c>
      <x:c r="G135" s="21" t="n">
        <x:v>1</x:v>
      </x:c>
      <x:c r="H135" s="22" t="n">
        <x:v>1392633.7291259766</x:v>
      </x:c>
      <x:c r="I135" s="23" t="n">
        <x:v>-0.00023424970504537512</x:v>
      </x:c>
      <x:c r="J135" s="24" t="n">
        <x:v>1061</x:v>
      </x:c>
      <x:c r="K135" s="25" t="n">
        <x:v>38.1326034999438</x:v>
      </x:c>
      <x:c r="L135" s="25" t="n">
        <x:v>9.39791404994321</x:v>
      </x:c>
      <x:c r="M135" s="25" t="n">
        <x:v>24.069606000030035</x:v>
      </x:c>
      <x:c r="N135" s="25" t="n">
        <x:v>0.3934915999561781</x:v>
      </x:c>
      <x:c r="O135" s="25" t="n">
        <x:v>4.271591850014374</x:v>
      </x:c>
      <x:c r="P135" s="25" t="n">
        <x:v>0.02821316000117803</x:v>
      </x:c>
      <x:c r="Q135" s="25" t="n">
        <x:v>0.6607509059978474</x:v>
      </x:c>
      <x:c r="R135" s="25" t="n">
        <x:v>1.136167832502906</x:v>
      </x:c>
      <x:c r="S135" s="25"/>
      <x:c r="T135" s="25" t="n">
        <x:v>37.88239110005816</x:v>
      </x:c>
      <x:c r="U135" s="25" t="n">
        <x:v>38.38281589982944</x:v>
      </x:c>
      <x:c r="V135" s="25" t="n">
        <x:v>0.35385376939219304</x:v>
      </x:c>
      <x:c r="W135" s="19" t="str">
        <x:v>FRAME_GUARD</x:v>
      </x:c>
      <x:c r="X135" s="26" t="n">
        <x:f>IF(AND(J135&gt;0,E135=E135),1-J135/J135,"")</x:f>
        <x:v>0</x:v>
      </x:c>
      <x:c r="Y135" s="26" t="n">
        <x:f>IF(AND(K135&gt;0,E135=E135),1-K135/K135,"")</x:f>
        <x:v>0</x:v>
      </x:c>
      <x:c r="Z135" s="26" t="n">
        <x:f>IF(AND(ISNUMBER(P135),P135&gt;0,E135=E135),1-P135/P135,"")</x:f>
        <x:v>0</x:v>
      </x:c>
      <x:c r="AA135" s="26" t="n">
        <x:f>IF(AND(ISNUMBER(R135),ISNUMBER(R135),R135&gt;0,E135=E135),1-R135/R135,"")</x:f>
        <x:v>0</x:v>
      </x:c>
      <x:c r="AB135" s="26" t="n">
        <x:v>0.009279559665856923</x:v>
      </x:c>
      <x:c r="AC135" s="19" t="str">
        <x:v>D:/Codex/GRL研究/outputs/grid86/per_date.csv</x:v>
      </x:c>
    </x:row>
    <x:row r="136" ht="36" customHeight="1">
      <x:c r="A136" s="19" t="str">
        <x:v>GRID86</x:v>
      </x:c>
      <x:c r="B136" s="19" t="str">
        <x:v>2036-11-03_9</x:v>
      </x:c>
      <x:c r="C136" s="19" t="str">
        <x:v>FRAME_GUARD</x:v>
      </x:c>
      <x:c r="D136" s="21" t="n">
        <x:v>2</x:v>
      </x:c>
      <x:c r="E136" s="21" t="n">
        <x:v>519</x:v>
      </x:c>
      <x:c r="F136" s="21" t="n">
        <x:v>1</x:v>
      </x:c>
      <x:c r="G136" s="21" t="n">
        <x:v>0</x:v>
      </x:c>
      <x:c r="H136" s="22" t="n">
        <x:v>361332.79052734375</x:v>
      </x:c>
      <x:c r="I136" s="23"/>
      <x:c r="J136" s="24" t="n">
        <x:v>0</x:v>
      </x:c>
      <x:c r="K136" s="25" t="n">
        <x:v>14.656758450044435</x:v>
      </x:c>
      <x:c r="L136" s="25" t="n">
        <x:v>1.8826066498622822</x:v>
      </x:c>
      <x:c r="M136" s="25" t="n">
        <x:v>11.866034800026682</x:v>
      </x:c>
      <x:c r="N136" s="25" t="n">
        <x:v>0</x:v>
      </x:c>
      <x:c r="O136" s="25" t="n">
        <x:v>0.908117000155471</x:v>
      </x:c>
      <x:c r="P136" s="25" t="n">
        <x:v>0.028896295002050446</x:v>
      </x:c>
      <x:c r="Q136" s="25" t="n">
        <x:v>0.7936826499999778</x:v>
      </x:c>
      <x:c r="R136" s="25"/>
      <x:c r="S136" s="25"/>
      <x:c r="T136" s="25" t="n">
        <x:v>14.47384630007582</x:v>
      </x:c>
      <x:c r="U136" s="25" t="n">
        <x:v>14.83967060001305</x:v>
      </x:c>
      <x:c r="V136" s="25" t="n">
        <x:v>0.2586768432084372</x:v>
      </x:c>
      <x:c r="W136" s="19" t="str">
        <x:v>FRAME_GUARD</x:v>
      </x:c>
      <x:c r="X136" s="26" t="str">
        <x:f>IF(AND(J136&gt;0,E136=E136),1-J136/J136,"")</x:f>
      </x:c>
      <x:c r="Y136" s="26" t="n">
        <x:f>IF(AND(K136&gt;0,E136=E136),1-K136/K136,"")</x:f>
        <x:v>0</x:v>
      </x:c>
      <x:c r="Z136" s="26" t="n">
        <x:f>IF(AND(ISNUMBER(P136),P136&gt;0,E136=E136),1-P136/P136,"")</x:f>
        <x:v>0</x:v>
      </x:c>
      <x:c r="AA136" s="26" t="str">
        <x:f>IF(AND(ISNUMBER(R136),ISNUMBER(R136),R136&gt;0,E136=E136),1-R136/R136,"")</x:f>
      </x:c>
      <x:c r="AB136" s="26" t="n">
        <x:v>0.017648980440668514</x:v>
      </x:c>
      <x:c r="AC136" s="19" t="str">
        <x:v>D:/Codex/GRL研究/outputs/grid86/per_date.csv</x:v>
      </x:c>
    </x:row>
    <x:row r="137" ht="36" customHeight="1">
      <x:c r="A137" s="19" t="str">
        <x:v>GRID88</x:v>
      </x:c>
      <x:c r="B137" s="19" t="str">
        <x:v>2035-01-01_8</x:v>
      </x:c>
      <x:c r="C137" s="19" t="str">
        <x:v>FIXED_512</x:v>
      </x:c>
      <x:c r="D137" s="21" t="n">
        <x:v>2</x:v>
      </x:c>
      <x:c r="E137" s="21" t="n">
        <x:v>2017</x:v>
      </x:c>
      <x:c r="F137" s="21" t="n">
        <x:v>1</x:v>
      </x:c>
      <x:c r="G137" s="21" t="n">
        <x:v>1</x:v>
      </x:c>
      <x:c r="H137" s="22" t="n">
        <x:v>2553054.755126953</x:v>
      </x:c>
      <x:c r="I137" s="23" t="n">
        <x:v>0</x:v>
      </x:c>
      <x:c r="J137" s="24" t="n">
        <x:v>1024</x:v>
      </x:c>
      <x:c r="K137" s="25" t="n">
        <x:v>84.00393210005859</x:v>
      </x:c>
      <x:c r="L137" s="25" t="n">
        <x:v>14.301717199930863</x:v>
      </x:c>
      <x:c r="M137" s="25" t="n">
        <x:v>64.29523454996524</x:v>
      </x:c>
      <x:c r="N137" s="25" t="n">
        <x:v>0.2065670499468979</x:v>
      </x:c>
      <x:c r="O137" s="25" t="n">
        <x:v>5.200413300215587</x:v>
      </x:c>
      <x:c r="P137" s="25" t="n">
        <x:v>0.03624883000156838</x:v>
      </x:c>
      <x:c r="Q137" s="25" t="n">
        <x:v>1.0174786620016636</x:v>
      </x:c>
      <x:c r="R137" s="25" t="n">
        <x:v>3.3690975974992394</x:v>
      </x:c>
      <x:c r="S137" s="25" t="n">
        <x:v>3.447173999499246</x:v>
      </x:c>
      <x:c r="T137" s="25" t="n">
        <x:v>83.6178743999044</x:v>
      </x:c>
      <x:c r="U137" s="25" t="n">
        <x:v>84.38998980021279</x:v>
      </x:c>
      <x:c r="V137" s="25" t="n">
        <x:v>0.545968035416631</x:v>
      </x:c>
      <x:c r="W137" s="19" t="str">
        <x:v>FRAME_GUARD</x:v>
      </x:c>
      <x:c r="X137" s="26" t="n">
        <x:f>IF(AND(J150&gt;0,E137=E150),1-J137/J150,"")</x:f>
        <x:v>-0.33507170795306385</x:v>
      </x:c>
      <x:c r="Y137" s="26" t="n">
        <x:f>IF(AND(K150&gt;0,E137=E150),1-K137/K150,"")</x:f>
        <x:v>-0.0056850209596641665</x:v>
      </x:c>
      <x:c r="Z137" s="26" t="n">
        <x:f>IF(AND(ISNUMBER(P150),P150&gt;0,E137=E150),1-P137/P150,"")</x:f>
        <x:v>-0.006012401692367497</x:v>
      </x:c>
      <x:c r="AA137" s="26" t="n">
        <x:f>IF(AND(ISNUMBER(R137),ISNUMBER(R150),R150&gt;0,E137=E150),1-R137/R150,"")</x:f>
        <x:v>-0.19425038851175258</x:v>
      </x:c>
      <x:c r="AB137" s="26" t="n">
        <x:v>0.006499315231652712</x:v>
      </x:c>
      <x:c r="AC137" s="19" t="str">
        <x:v>D:/Codex/GRL研究/outputs/grid88/per_date.csv</x:v>
      </x:c>
    </x:row>
    <x:row r="138" ht="36" customHeight="1">
      <x:c r="A138" s="19" t="str">
        <x:v>GRID88</x:v>
      </x:c>
      <x:c r="B138" s="19" t="str">
        <x:v>2035-02-19_8</x:v>
      </x:c>
      <x:c r="C138" s="19" t="str">
        <x:v>FIXED_512</x:v>
      </x:c>
      <x:c r="D138" s="21" t="n">
        <x:v>2</x:v>
      </x:c>
      <x:c r="E138" s="21" t="n">
        <x:v>2017</x:v>
      </x:c>
      <x:c r="F138" s="21" t="n">
        <x:v>1</x:v>
      </x:c>
      <x:c r="G138" s="21" t="n">
        <x:v>1</x:v>
      </x:c>
      <x:c r="H138" s="22" t="n">
        <x:v>3045316.8497924805</x:v>
      </x:c>
      <x:c r="I138" s="23" t="n">
        <x:v>0.004232882712517316</x:v>
      </x:c>
      <x:c r="J138" s="24" t="n">
        <x:v>9728</x:v>
      </x:c>
      <x:c r="K138" s="25" t="n">
        <x:v>169.11330784999518</x:v>
      </x:c>
      <x:c r="L138" s="25" t="n">
        <x:v>39.530469649809675</x:v>
      </x:c>
      <x:c r="M138" s="25" t="n">
        <x:v>121.15794204995473</x:v>
      </x:c>
      <x:c r="N138" s="25" t="n">
        <x:v>1.914239850029844</x:v>
      </x:c>
      <x:c r="O138" s="25" t="n">
        <x:v>6.510656300200935</x:v>
      </x:c>
      <x:c r="P138" s="25" t="n">
        <x:v>0.07267712000029852</x:v>
      </x:c>
      <x:c r="Q138" s="25" t="n">
        <x:v>2.668588312002682</x:v>
      </x:c>
      <x:c r="R138" s="25" t="n">
        <x:v>4.418672769998374</x:v>
      </x:c>
      <x:c r="S138" s="25" t="n">
        <x:v>4.528576234003122</x:v>
      </x:c>
      <x:c r="T138" s="25" t="n">
        <x:v>168.98060780017113</x:v>
      </x:c>
      <x:c r="U138" s="25" t="n">
        <x:v>169.24600789981923</x:v>
      </x:c>
      <x:c r="V138" s="25" t="n">
        <x:v>0.18766621018876015</x:v>
      </x:c>
      <x:c r="W138" s="19" t="str">
        <x:v>FRAME_GUARD</x:v>
      </x:c>
      <x:c r="X138" s="26" t="n">
        <x:f>IF(AND(J151&gt;0,E138=E151),1-J138/J151,"")</x:f>
        <x:v>-0.41952429592879037</x:v>
      </x:c>
      <x:c r="Y138" s="26" t="n">
        <x:f>IF(AND(K151&gt;0,E138=E151),1-K138/K151,"")</x:f>
        <x:v>-0.12909696606266108</x:v>
      </x:c>
      <x:c r="Z138" s="26" t="n">
        <x:f>IF(AND(ISNUMBER(P151),P151&gt;0,E138=E151),1-P138/P151,"")</x:f>
        <x:v>-0.31514591314676954</x:v>
      </x:c>
      <x:c r="AA138" s="26" t="n">
        <x:f>IF(AND(ISNUMBER(R138),ISNUMBER(R151),R151&gt;0,E138=E151),1-R138/R151,"")</x:f>
        <x:v>-0.07894907831947129</x:v>
      </x:c>
      <x:c r="AB138" s="26" t="n">
        <x:v>0.001109706933029904</x:v>
      </x:c>
      <x:c r="AC138" s="19" t="str">
        <x:v>D:/Codex/GRL研究/outputs/grid88/per_date.csv</x:v>
      </x:c>
    </x:row>
    <x:row r="139" ht="36" customHeight="1">
      <x:c r="A139" s="19" t="str">
        <x:v>GRID88</x:v>
      </x:c>
      <x:c r="B139" s="19" t="str">
        <x:v>2035-03-05_0</x:v>
      </x:c>
      <x:c r="C139" s="19" t="str">
        <x:v>FIXED_512</x:v>
      </x:c>
      <x:c r="D139" s="21" t="n">
        <x:v>2</x:v>
      </x:c>
      <x:c r="E139" s="21" t="n">
        <x:v>2017</x:v>
      </x:c>
      <x:c r="F139" s="21" t="n">
        <x:v>1</x:v>
      </x:c>
      <x:c r="G139" s="21" t="n">
        <x:v>1</x:v>
      </x:c>
      <x:c r="H139" s="22" t="n">
        <x:v>2977102.2490234375</x:v>
      </x:c>
      <x:c r="I139" s="23" t="n">
        <x:v>0.004381702222445716</x:v>
      </x:c>
      <x:c r="J139" s="24" t="n">
        <x:v>5632</x:v>
      </x:c>
      <x:c r="K139" s="25" t="n">
        <x:v>126.01890454988461</x:v>
      </x:c>
      <x:c r="L139" s="25" t="n">
        <x:v>26.547484849736065</x:v>
      </x:c>
      <x:c r="M139" s="25" t="n">
        <x:v>93.19247074996747</x:v>
      </x:c>
      <x:c r="N139" s="25" t="n">
        <x:v>1.4813905501141562</x:v>
      </x:c>
      <x:c r="O139" s="25" t="n">
        <x:v>4.797558400066919</x:v>
      </x:c>
      <x:c r="P139" s="25" t="n">
        <x:v>0.03954712999911861</x:v>
      </x:c>
      <x:c r="Q139" s="25" t="n">
        <x:v>2.130242920001323</x:v>
      </x:c>
      <x:c r="R139" s="25" t="n">
        <x:v>4.522885100001076</x:v>
      </x:c>
      <x:c r="S139" s="25" t="n">
        <x:v>4.69244501999965</x:v>
      </x:c>
      <x:c r="T139" s="25" t="n">
        <x:v>125.99054279982374</x:v>
      </x:c>
      <x:c r="U139" s="25" t="n">
        <x:v>126.04726629994548</x:v>
      </x:c>
      <x:c r="V139" s="25" t="n">
        <x:v>0.04010957158871414</x:v>
      </x:c>
      <x:c r="W139" s="19" t="str">
        <x:v>FRAME_GUARD</x:v>
      </x:c>
      <x:c r="X139" s="26" t="n">
        <x:f>IF(AND(J152&gt;0,E139=E152),1-J139/J152,"")</x:f>
        <x:v>-0.5139784946236559</x:v>
      </x:c>
      <x:c r="Y139" s="26" t="n">
        <x:f>IF(AND(K152&gt;0,E139=E152),1-K139/K152,"")</x:f>
        <x:v>-0.01578124758124866</x:v>
      </x:c>
      <x:c r="Z139" s="26" t="n">
        <x:f>IF(AND(ISNUMBER(P152),P152&gt;0,E139=E152),1-P139/P152,"")</x:f>
        <x:v>-0.011308295731091933</x:v>
      </x:c>
      <x:c r="AA139" s="26" t="n">
        <x:f>IF(AND(ISNUMBER(R139),ISNUMBER(R152),R152&gt;0,E139=E152),1-R139/R152,"")</x:f>
        <x:v>0.056025419754248795</x:v>
      </x:c>
      <x:c r="AB139" s="26" t="n">
        <x:v>0.00031828217942361775</x:v>
      </x:c>
      <x:c r="AC139" s="19" t="str">
        <x:v>D:/Codex/GRL研究/outputs/grid88/per_date.csv</x:v>
      </x:c>
    </x:row>
    <x:row r="140" ht="36" customHeight="1">
      <x:c r="A140" s="19" t="str">
        <x:v>GRID88</x:v>
      </x:c>
      <x:c r="B140" s="19" t="str">
        <x:v>2035-04-02_9</x:v>
      </x:c>
      <x:c r="C140" s="19" t="str">
        <x:v>FIXED_512</x:v>
      </x:c>
      <x:c r="D140" s="21" t="n">
        <x:v>2</x:v>
      </x:c>
      <x:c r="E140" s="21" t="n">
        <x:v>2017</x:v>
      </x:c>
      <x:c r="F140" s="21" t="n">
        <x:v>1</x:v>
      </x:c>
      <x:c r="G140" s="21" t="n">
        <x:v>1</x:v>
      </x:c>
      <x:c r="H140" s="22" t="n">
        <x:v>2180623.315185547</x:v>
      </x:c>
      <x:c r="I140" s="23" t="n">
        <x:v>-0.045851475258830376</x:v>
      </x:c>
      <x:c r="J140" s="24" t="n">
        <x:v>4608</x:v>
      </x:c>
      <x:c r="K140" s="25" t="n">
        <x:v>67.11214740003197</x:v>
      </x:c>
      <x:c r="L140" s="25" t="n">
        <x:v>19.71831504997681</x:v>
      </x:c>
      <x:c r="M140" s="25" t="n">
        <x:v>41.49218095008473</x:v>
      </x:c>
      <x:c r="N140" s="25" t="n">
        <x:v>0.9165992499110871</x:v>
      </x:c>
      <x:c r="O140" s="25" t="n">
        <x:v>4.985052150059346</x:v>
      </x:c>
      <x:c r="P140" s="25" t="n">
        <x:v>0.03549147000085212</x:v>
      </x:c>
      <x:c r="Q140" s="25" t="n">
        <x:v>0.7110095479982554</x:v>
      </x:c>
      <x:c r="R140" s="25" t="n">
        <x:v>3.3622536399998344</x:v>
      </x:c>
      <x:c r="S140" s="25" t="n">
        <x:v>3.8173846479985514</x:v>
      </x:c>
      <x:c r="T140" s="25" t="n">
        <x:v>66.99757680001494</x:v>
      </x:c>
      <x:c r="U140" s="25" t="n">
        <x:v>67.226718000049</x:v>
      </x:c>
      <x:c r="V140" s="25" t="n">
        <x:v>0.16202729639330998</x:v>
      </x:c>
      <x:c r="W140" s="19" t="str">
        <x:v>FRAME_GUARD</x:v>
      </x:c>
      <x:c r="X140" s="26" t="n">
        <x:f>IF(AND(J153&gt;0,E140=E153),1-J140/J153,"")</x:f>
        <x:v>-0.7594501718213058</x:v>
      </x:c>
      <x:c r="Y140" s="26" t="n">
        <x:f>IF(AND(K153&gt;0,E140=E153),1-K140/K153,"")</x:f>
        <x:v>-0.1150580920018367</x:v>
      </x:c>
      <x:c r="Z140" s="26" t="n">
        <x:f>IF(AND(ISNUMBER(P153),P153&gt;0,E140=E153),1-P140/P153,"")</x:f>
        <x:v>-0.02855789058720748</x:v>
      </x:c>
      <x:c r="AA140" s="26" t="n">
        <x:f>IF(AND(ISNUMBER(R140),ISNUMBER(R153),R153&gt;0,E140=E153),1-R140/R153,"")</x:f>
        <x:v>-0.10208728616015605</x:v>
      </x:c>
      <x:c r="AB140" s="26" t="n">
        <x:v>0.0024142767393140036</x:v>
      </x:c>
      <x:c r="AC140" s="19" t="str">
        <x:v>D:/Codex/GRL研究/outputs/grid88/per_date.csv</x:v>
      </x:c>
    </x:row>
    <x:row r="141" ht="36" customHeight="1">
      <x:c r="A141" s="19" t="str">
        <x:v>GRID88</x:v>
      </x:c>
      <x:c r="B141" s="19" t="str">
        <x:v>2035-04-09_3</x:v>
      </x:c>
      <x:c r="C141" s="19" t="str">
        <x:v>FIXED_512</x:v>
      </x:c>
      <x:c r="D141" s="21" t="n">
        <x:v>2</x:v>
      </x:c>
      <x:c r="E141" s="21" t="n">
        <x:v>2017</x:v>
      </x:c>
      <x:c r="F141" s="21" t="n">
        <x:v>1</x:v>
      </x:c>
      <x:c r="G141" s="21" t="n">
        <x:v>1</x:v>
      </x:c>
      <x:c r="H141" s="22" t="n">
        <x:v>1884687.6395874023</x:v>
      </x:c>
      <x:c r="I141" s="23" t="n">
        <x:v>-0.0119996759444978</x:v>
      </x:c>
      <x:c r="J141" s="24" t="n">
        <x:v>3072</x:v>
      </x:c>
      <x:c r="K141" s="25" t="n">
        <x:v>50.32122119990163</x:v>
      </x:c>
      <x:c r="L141" s="25" t="n">
        <x:v>14.110124399980123</x:v>
      </x:c>
      <x:c r="M141" s="25" t="n">
        <x:v>31.674892999952135</x:v>
      </x:c>
      <x:c r="N141" s="25" t="n">
        <x:v>0.6195656000963936</x:v>
      </x:c>
      <x:c r="O141" s="25" t="n">
        <x:v>3.9166381998729776</x:v>
      </x:c>
      <x:c r="P141" s="25" t="n">
        <x:v>0.02779463000188116</x:v>
      </x:c>
      <x:c r="Q141" s="25" t="n">
        <x:v>0.6926500260001904</x:v>
      </x:c>
      <x:c r="R141" s="25" t="n">
        <x:v>3.3281788499980394</x:v>
      </x:c>
      <x:c r="S141" s="25" t="n">
        <x:v>3.817563769997469</x:v>
      </x:c>
      <x:c r="T141" s="25" t="n">
        <x:v>50.11100129999977</x:v>
      </x:c>
      <x:c r="U141" s="25" t="n">
        <x:v>50.53144109980349</x:v>
      </x:c>
      <x:c r="V141" s="25" t="n">
        <x:v>0.29729583352192246</x:v>
      </x:c>
      <x:c r="W141" s="19" t="str">
        <x:v>FRAME_GUARD</x:v>
      </x:c>
      <x:c r="X141" s="26" t="n">
        <x:f>IF(AND(J154&gt;0,E141=E154),1-J141/J154,"")</x:f>
        <x:v>-0.933291378225299</x:v>
      </x:c>
      <x:c r="Y141" s="26" t="n">
        <x:f>IF(AND(K154&gt;0,E141=E154),1-K141/K154,"")</x:f>
        <x:v>-0.12630210846359846</x:v>
      </x:c>
      <x:c r="Z141" s="26" t="n">
        <x:f>IF(AND(ISNUMBER(P154),P154&gt;0,E141=E154),1-P141/P154,"")</x:f>
        <x:v>-0.00857417393794524</x:v>
      </x:c>
      <x:c r="AA141" s="26" t="n">
        <x:f>IF(AND(ISNUMBER(R141),ISNUMBER(R154),R154&gt;0,E141=E154),1-R141/R154,"")</x:f>
        <x:v>-0.18433302352244785</x:v>
      </x:c>
      <x:c r="AB141" s="26" t="n">
        <x:v>0.005907961421303973</x:v>
      </x:c>
      <x:c r="AC141" s="19" t="str">
        <x:v>D:/Codex/GRL研究/outputs/grid88/per_date.csv</x:v>
      </x:c>
    </x:row>
    <x:row r="142" ht="36" customHeight="1">
      <x:c r="A142" s="19" t="str">
        <x:v>GRID88</x:v>
      </x:c>
      <x:c r="B142" s="19" t="str">
        <x:v>2035-05-14_14</x:v>
      </x:c>
      <x:c r="C142" s="19" t="str">
        <x:v>FIXED_512</x:v>
      </x:c>
      <x:c r="D142" s="21" t="n">
        <x:v>2</x:v>
      </x:c>
      <x:c r="E142" s="21" t="n">
        <x:v>747</x:v>
      </x:c>
      <x:c r="F142" s="21" t="n">
        <x:v>1</x:v>
      </x:c>
      <x:c r="G142" s="21" t="n">
        <x:v>0</x:v>
      </x:c>
      <x:c r="H142" s="22" t="n">
        <x:v>729154.2595214844</x:v>
      </x:c>
      <x:c r="I142" s="23"/>
      <x:c r="J142" s="24" t="n">
        <x:v>0</x:v>
      </x:c>
      <x:c r="K142" s="25" t="n">
        <x:v>6.623198450095515</x:v>
      </x:c>
      <x:c r="L142" s="25" t="n">
        <x:v>2.2674641500525468</x:v>
      </x:c>
      <x:c r="M142" s="25" t="n">
        <x:v>3.4370863500007545</x:v>
      </x:c>
      <x:c r="N142" s="25" t="n">
        <x:v>0</x:v>
      </x:c>
      <x:c r="O142" s="25" t="n">
        <x:v>0.9186479500422138</x:v>
      </x:c>
      <x:c r="P142" s="25" t="n">
        <x:v>0.007866784999350774</x:v>
      </x:c>
      <x:c r="Q142" s="25" t="n">
        <x:v>0.032385520999305265</x:v>
      </x:c>
      <x:c r="R142" s="25"/>
      <x:c r="S142" s="25"/>
      <x:c r="T142" s="25" t="n">
        <x:v>6.6211632002014085</x:v>
      </x:c>
      <x:c r="U142" s="25" t="n">
        <x:v>6.6252336999896215</x:v>
      </x:c>
      <x:c r="V142" s="25" t="n">
        <x:v>0.002878278003063857</x:v>
      </x:c>
      <x:c r="W142" s="19" t="str">
        <x:v>FRAME_GUARD</x:v>
      </x:c>
      <x:c r="X142" s="26" t="str">
        <x:f>IF(AND(J155&gt;0,E142=E155),1-J142/J155,"")</x:f>
      </x:c>
      <x:c r="Y142" s="26" t="n">
        <x:f>IF(AND(K155&gt;0,E142=E155),1-K142/K155,"")</x:f>
        <x:v>0.013022151404296078</x:v>
      </x:c>
      <x:c r="Z142" s="26" t="n">
        <x:f>IF(AND(ISNUMBER(P155),P155&gt;0,E142=E155),1-P142/P155,"")</x:f>
        <x:v>0.006414843114571189</x:v>
      </x:c>
      <x:c r="AA142" s="26" t="str">
        <x:f>IF(AND(ISNUMBER(R142),ISNUMBER(R155),R155&gt;0,E142=E155),1-R142/R155,"")</x:f>
      </x:c>
      <x:c r="AB142" s="26" t="n">
        <x:v>0.0004345752320047648</x:v>
      </x:c>
      <x:c r="AC142" s="19" t="str">
        <x:v>D:/Codex/GRL研究/outputs/grid88/per_date.csv</x:v>
      </x:c>
    </x:row>
    <x:row r="143" ht="36" customHeight="1">
      <x:c r="A143" s="19" t="str">
        <x:v>GRID88</x:v>
      </x:c>
      <x:c r="B143" s="19" t="str">
        <x:v>2035-06-25_8</x:v>
      </x:c>
      <x:c r="C143" s="19" t="str">
        <x:v>FIXED_512</x:v>
      </x:c>
      <x:c r="D143" s="21" t="n">
        <x:v>2</x:v>
      </x:c>
      <x:c r="E143" s="21" t="n">
        <x:v>1901</x:v>
      </x:c>
      <x:c r="F143" s="21" t="n">
        <x:v>1</x:v>
      </x:c>
      <x:c r="G143" s="21" t="n">
        <x:v>0</x:v>
      </x:c>
      <x:c r="H143" s="22" t="n">
        <x:v>1156085.3905029297</x:v>
      </x:c>
      <x:c r="I143" s="23"/>
      <x:c r="J143" s="24" t="n">
        <x:v>2560</x:v>
      </x:c>
      <x:c r="K143" s="25" t="n">
        <x:v>54.33420934983951</x:v>
      </x:c>
      <x:c r="L143" s="25" t="n">
        <x:v>14.673723449865065</x:v>
      </x:c>
      <x:c r="M143" s="25" t="n">
        <x:v>33.82606924994252</x:v>
      </x:c>
      <x:c r="N143" s="25" t="n">
        <x:v>0.45604085008380935</x:v>
      </x:c>
      <x:c r="O143" s="25" t="n">
        <x:v>5.378375799948117</x:v>
      </x:c>
      <x:c r="P143" s="25" t="n">
        <x:v>0.03275674999895273</x:v>
      </x:c>
      <x:c r="Q143" s="25" t="n">
        <x:v>0.6962397499992221</x:v>
      </x:c>
      <x:c r="R143" s="25" t="n">
        <x:v>2.4643253400019605</x:v>
      </x:c>
      <x:c r="S143" s="25" t="n">
        <x:v>2.5200164280022728</x:v>
      </x:c>
      <x:c r="T143" s="25" t="n">
        <x:v>53.899070799809124</x:v>
      </x:c>
      <x:c r="U143" s="25" t="n">
        <x:v>54.7693478998699</x:v>
      </x:c>
      <x:c r="V143" s="25" t="n">
        <x:v>0.6153788389643379</x:v>
      </x:c>
      <x:c r="W143" s="19" t="str">
        <x:v>FRAME_GUARD</x:v>
      </x:c>
      <x:c r="X143" s="26" t="n">
        <x:f>IF(AND(J156&gt;0,E143=E156),1-J143/J156,"")</x:f>
        <x:v>-0.355214399152991</x:v>
      </x:c>
      <x:c r="Y143" s="26" t="n">
        <x:f>IF(AND(K156&gt;0,E143=E156),1-K143/K156,"")</x:f>
        <x:v>-0.035169229418751335</x:v>
      </x:c>
      <x:c r="Z143" s="26" t="n">
        <x:f>IF(AND(ISNUMBER(P156),P156&gt;0,E143=E156),1-P143/P156,"")</x:f>
        <x:v>0.00907080589603082</x:v>
      </x:c>
      <x:c r="AA143" s="26" t="n">
        <x:f>IF(AND(ISNUMBER(R143),ISNUMBER(R156),R156&gt;0,E143=E156),1-R143/R156,"")</x:f>
        <x:v>0.07566529190691096</x:v>
      </x:c>
      <x:c r="AB143" s="26" t="n">
        <x:v>0.01132580829514096</x:v>
      </x:c>
      <x:c r="AC143" s="19" t="str">
        <x:v>D:/Codex/GRL研究/outputs/grid88/per_date.csv</x:v>
      </x:c>
    </x:row>
    <x:row r="144" ht="36" customHeight="1">
      <x:c r="A144" s="19" t="str">
        <x:v>GRID88</x:v>
      </x:c>
      <x:c r="B144" s="19" t="str">
        <x:v>2035-07-09_2</x:v>
      </x:c>
      <x:c r="C144" s="19" t="str">
        <x:v>FIXED_512</x:v>
      </x:c>
      <x:c r="D144" s="21" t="n">
        <x:v>2</x:v>
      </x:c>
      <x:c r="E144" s="21" t="n">
        <x:v>2017</x:v>
      </x:c>
      <x:c r="F144" s="21" t="n">
        <x:v>0</x:v>
      </x:c>
      <x:c r="G144" s="21" t="n">
        <x:v>1</x:v>
      </x:c>
      <x:c r="H144" s="22" t="n">
        <x:v>1178800.067199707</x:v>
      </x:c>
      <x:c r="I144" s="23" t="n">
        <x:v>0.014550370316845473</x:v>
      </x:c>
      <x:c r="J144" s="24" t="n">
        <x:v>5120</x:v>
      </x:c>
      <x:c r="K144" s="25" t="n">
        <x:v>34.941109099963796</x:v>
      </x:c>
      <x:c r="L144" s="25" t="n">
        <x:v>19.189808899667696</x:v>
      </x:c>
      <x:c r="M144" s="25" t="n">
        <x:v>11.360210400012875</x:v>
      </x:c>
      <x:c r="N144" s="25" t="n">
        <x:v>1.1749107499563252</x:v>
      </x:c>
      <x:c r="O144" s="25" t="n">
        <x:v>3.2161790503269003</x:v>
      </x:c>
      <x:c r="P144" s="25" t="n">
        <x:v>0.008099660000152654</x:v>
      </x:c>
      <x:c r="Q144" s="25" t="n">
        <x:v>0.05523276399835586</x:v>
      </x:c>
      <x:c r="R144" s="25" t="n">
        <x:v>3.564546867499483</x:v>
      </x:c>
      <x:c r="S144" s="25" t="n">
        <x:v>3.9913372535011513</x:v>
      </x:c>
      <x:c r="T144" s="25" t="n">
        <x:v>34.40562640009739</x:v>
      </x:c>
      <x:c r="U144" s="25" t="n">
        <x:v>35.4765917998302</x:v>
      </x:c>
      <x:c r="V144" s="25" t="n">
        <x:v>0.7572868965672338</x:v>
      </x:c>
      <x:c r="W144" s="19" t="str">
        <x:v>FRAME_GUARD</x:v>
      </x:c>
      <x:c r="X144" s="26" t="n">
        <x:f>IF(AND(J157&gt;0,E144=E157),1-J144/J157,"")</x:f>
        <x:v>0</x:v>
      </x:c>
      <x:c r="Y144" s="26" t="n">
        <x:f>IF(AND(K157&gt;0,E144=E157),1-K144/K157,"")</x:f>
        <x:v>0.13386573103475197</x:v>
      </x:c>
      <x:c r="Z144" s="26" t="n">
        <x:f>IF(AND(ISNUMBER(P157),P157&gt;0,E144=E157),1-P144/P157,"")</x:f>
        <x:v>0.3433632723469656</x:v>
      </x:c>
      <x:c r="AA144" s="26" t="n">
        <x:f>IF(AND(ISNUMBER(R144),ISNUMBER(R157),R157&gt;0,E144=E157),1-R144/R157,"")</x:f>
        <x:v>0.18140662487173476</x:v>
      </x:c>
      <x:c r="AB144" s="26" t="n">
        <x:v>0.021673235798002143</x:v>
      </x:c>
      <x:c r="AC144" s="19" t="str">
        <x:v>D:/Codex/GRL研究/outputs/grid88/per_date.csv</x:v>
      </x:c>
    </x:row>
    <x:row r="145" ht="36" customHeight="1">
      <x:c r="A145" s="19" t="str">
        <x:v>GRID88</x:v>
      </x:c>
      <x:c r="B145" s="19" t="str">
        <x:v>2035-09-03_4</x:v>
      </x:c>
      <x:c r="C145" s="19" t="str">
        <x:v>FIXED_512</x:v>
      </x:c>
      <x:c r="D145" s="21" t="n">
        <x:v>2</x:v>
      </x:c>
      <x:c r="E145" s="21" t="n">
        <x:v>2017</x:v>
      </x:c>
      <x:c r="F145" s="21" t="n">
        <x:v>1</x:v>
      </x:c>
      <x:c r="G145" s="21" t="n">
        <x:v>1</x:v>
      </x:c>
      <x:c r="H145" s="22" t="n">
        <x:v>1289912.7855377197</x:v>
      </x:c>
      <x:c r="I145" s="23" t="n">
        <x:v>0</x:v>
      </x:c>
      <x:c r="J145" s="24" t="n">
        <x:v>4096</x:v>
      </x:c>
      <x:c r="K145" s="25" t="n">
        <x:v>55.699837349904556</x:v>
      </x:c>
      <x:c r="L145" s="25" t="n">
        <x:v>20.830620049709978</x:v>
      </x:c>
      <x:c r="M145" s="25" t="n">
        <x:v>28.80775169999106</x:v>
      </x:c>
      <x:c r="N145" s="25" t="n">
        <x:v>0.826551699788979</x:v>
      </x:c>
      <x:c r="O145" s="25" t="n">
        <x:v>5.23491390041454</x:v>
      </x:c>
      <x:c r="P145" s="25" t="n">
        <x:v>0.03158281999858445</x:v>
      </x:c>
      <x:c r="Q145" s="25" t="n">
        <x:v>0.6732747580012073</x:v>
      </x:c>
      <x:c r="R145" s="25" t="n">
        <x:v>3.721161717503127</x:v>
      </x:c>
      <x:c r="S145" s="25" t="n">
        <x:v>4.136192823503661</x:v>
      </x:c>
      <x:c r="T145" s="25" t="n">
        <x:v>55.469100899739715</x:v>
      </x:c>
      <x:c r="U145" s="25" t="n">
        <x:v>55.930573800069396</x:v>
      </x:c>
      <x:c r="V145" s="25" t="n">
        <x:v>0.3263106171569416</x:v>
      </x:c>
      <x:c r="W145" s="19" t="str">
        <x:v>FRAME_GUARD</x:v>
      </x:c>
      <x:c r="X145" s="26" t="n">
        <x:f>IF(AND(J158&gt;0,E145=E158),1-J145/J158,"")</x:f>
        <x:v>-0.3712755272849013</x:v>
      </x:c>
      <x:c r="Y145" s="26" t="n">
        <x:f>IF(AND(K158&gt;0,E145=E158),1-K145/K158,"")</x:f>
        <x:v>-0.10218560481646799</x:v>
      </x:c>
      <x:c r="Z145" s="26" t="n">
        <x:f>IF(AND(ISNUMBER(P158),P158&gt;0,E145=E158),1-P145/P158,"")</x:f>
        <x:v>-0.0003943570285080966</x:v>
      </x:c>
      <x:c r="AA145" s="26" t="n">
        <x:f>IF(AND(ISNUMBER(R145),ISNUMBER(R158),R158&gt;0,E145=E158),1-R145/R158,"")</x:f>
        <x:v>-0.038257803201775964</x:v>
      </x:c>
      <x:c r="AB145" s="26" t="n">
        <x:v>0.005858376481551804</x:v>
      </x:c>
      <x:c r="AC145" s="19" t="str">
        <x:v>D:/Codex/GRL研究/outputs/grid88/per_date.csv</x:v>
      </x:c>
    </x:row>
    <x:row r="146" ht="36" customHeight="1">
      <x:c r="A146" s="19" t="str">
        <x:v>GRID88</x:v>
      </x:c>
      <x:c r="B146" s="19" t="str">
        <x:v>2035-10-01_5</x:v>
      </x:c>
      <x:c r="C146" s="19" t="str">
        <x:v>FIXED_512</x:v>
      </x:c>
      <x:c r="D146" s="21" t="n">
        <x:v>2</x:v>
      </x:c>
      <x:c r="E146" s="21" t="n">
        <x:v>2017</x:v>
      </x:c>
      <x:c r="F146" s="21" t="n">
        <x:v>1</x:v>
      </x:c>
      <x:c r="G146" s="21" t="n">
        <x:v>1</x:v>
      </x:c>
      <x:c r="H146" s="22" t="n">
        <x:v>1544822.9655151367</x:v>
      </x:c>
      <x:c r="I146" s="23" t="n">
        <x:v>0</x:v>
      </x:c>
      <x:c r="J146" s="24" t="n">
        <x:v>1024</x:v>
      </x:c>
      <x:c r="K146" s="25" t="n">
        <x:v>44.97353104999638</x:v>
      </x:c>
      <x:c r="L146" s="25" t="n">
        <x:v>9.89009274981072</x:v>
      </x:c>
      <x:c r="M146" s="25" t="n">
        <x:v>29.862719499997183</x:v>
      </x:c>
      <x:c r="N146" s="25" t="n">
        <x:v>0.2045735000319837</x:v>
      </x:c>
      <x:c r="O146" s="25" t="n">
        <x:v>5.016145300156495</x:v>
      </x:c>
      <x:c r="P146" s="25" t="n">
        <x:v>0.02910101999877952</x:v>
      </x:c>
      <x:c r="Q146" s="25" t="n">
        <x:v>0.6588983480024033</x:v>
      </x:c>
      <x:c r="R146" s="25" t="n">
        <x:v>1.538819585001511</x:v>
      </x:c>
      <x:c r="S146" s="25" t="n">
        <x:v>1.5409947170014857</x:v>
      </x:c>
      <x:c r="T146" s="25" t="n">
        <x:v>44.962420499949076</x:v>
      </x:c>
      <x:c r="U146" s="25" t="n">
        <x:v>44.98464160004369</x:v>
      </x:c>
      <x:c r="V146" s="25" t="n">
        <x:v>0.015712690562325007</x:v>
      </x:c>
      <x:c r="W146" s="19" t="str">
        <x:v>FRAME_GUARD</x:v>
      </x:c>
      <x:c r="X146" s="26" t="n">
        <x:f>IF(AND(J159&gt;0,E146=E159),1-J146/J159,"")</x:f>
        <x:v>-1</x:v>
      </x:c>
      <x:c r="Y146" s="26" t="n">
        <x:f>IF(AND(K159&gt;0,E146=E159),1-K146/K159,"")</x:f>
        <x:v>-0.03534254148772109</x:v>
      </x:c>
      <x:c r="Z146" s="26" t="n">
        <x:f>IF(AND(ISNUMBER(P159),P159&gt;0,E146=E159),1-P146/P159,"")</x:f>
        <x:v>-0.005840931175663311</x:v>
      </x:c>
      <x:c r="AA146" s="26" t="n">
        <x:f>IF(AND(ISNUMBER(R146),ISNUMBER(R159),R159&gt;0,E146=E159),1-R146/R159,"")</x:f>
        <x:v>-0.8682709403491058</x:v>
      </x:c>
      <x:c r="AB146" s="26" t="n">
        <x:v>0.0003493764041977814</x:v>
      </x:c>
      <x:c r="AC146" s="19" t="str">
        <x:v>D:/Codex/GRL研究/outputs/grid88/per_date.csv</x:v>
      </x:c>
    </x:row>
    <x:row r="147" ht="36" customHeight="1">
      <x:c r="A147" s="19" t="str">
        <x:v>GRID88</x:v>
      </x:c>
      <x:c r="B147" s="19" t="str">
        <x:v>2035-11-19_0</x:v>
      </x:c>
      <x:c r="C147" s="19" t="str">
        <x:v>FIXED_512</x:v>
      </x:c>
      <x:c r="D147" s="21" t="n">
        <x:v>2</x:v>
      </x:c>
      <x:c r="E147" s="21" t="n">
        <x:v>2017</x:v>
      </x:c>
      <x:c r="F147" s="21" t="n">
        <x:v>1</x:v>
      </x:c>
      <x:c r="G147" s="21" t="n">
        <x:v>1</x:v>
      </x:c>
      <x:c r="H147" s="22" t="n">
        <x:v>1913779.7022705078</x:v>
      </x:c>
      <x:c r="I147" s="23" t="n">
        <x:v>-0.00011792389359255306</x:v>
      </x:c>
      <x:c r="J147" s="24" t="n">
        <x:v>1536</x:v>
      </x:c>
      <x:c r="K147" s="25" t="n">
        <x:v>67.32105615015098</x:v>
      </x:c>
      <x:c r="L147" s="25" t="n">
        <x:v>15.08531460008453</x:v>
      </x:c>
      <x:c r="M147" s="25" t="n">
        <x:v>47.10083140002462</x:v>
      </x:c>
      <x:c r="N147" s="25" t="n">
        <x:v>0.3075982500668033</x:v>
      </x:c>
      <x:c r="O147" s="25" t="n">
        <x:v>4.8273118999750295</x:v>
      </x:c>
      <x:c r="P147" s="25" t="n">
        <x:v>0.0345727900014026</x:v>
      </x:c>
      <x:c r="Q147" s="25" t="n">
        <x:v>0.6971364739981067</x:v>
      </x:c>
      <x:c r="R147" s="25" t="n">
        <x:v>1.5189952600016112</x:v>
      </x:c>
      <x:c r="S147" s="25" t="n">
        <x:v>1.5197988120017545</x:v>
      </x:c>
      <x:c r="T147" s="25" t="n">
        <x:v>67.09014780006692</x:v>
      </x:c>
      <x:c r="U147" s="25" t="n">
        <x:v>67.55196450023504</x:v>
      </x:c>
      <x:c r="V147" s="25" t="n">
        <x:v>0.3265537203540783</x:v>
      </x:c>
      <x:c r="W147" s="19" t="str">
        <x:v>FRAME_GUARD</x:v>
      </x:c>
      <x:c r="X147" s="26" t="n">
        <x:f>IF(AND(J160&gt;0,E147=E160),1-J147/J160,"")</x:f>
        <x:v>-0.6677524429967427</x:v>
      </x:c>
      <x:c r="Y147" s="26" t="n">
        <x:f>IF(AND(K160&gt;0,E147=E160),1-K147/K160,"")</x:f>
        <x:v>-0.024221303641069225</x:v>
      </x:c>
      <x:c r="Z147" s="26" t="n">
        <x:f>IF(AND(ISNUMBER(P160),P160&gt;0,E147=E160),1-P147/P160,"")</x:f>
        <x:v>0.011131240838416656</x:v>
      </x:c>
      <x:c r="AA147" s="26" t="n">
        <x:f>IF(AND(ISNUMBER(R147),ISNUMBER(R160),R160&gt;0,E147=E160),1-R147/R160,"")</x:f>
        <x:v>-0.270910116597346</x:v>
      </x:c>
      <x:c r="AB147" s="26" t="n">
        <x:v>0.004850692176096318</x:v>
      </x:c>
      <x:c r="AC147" s="19" t="str">
        <x:v>D:/Codex/GRL研究/outputs/grid88/per_date.csv</x:v>
      </x:c>
    </x:row>
    <x:row r="148" ht="36" customHeight="1">
      <x:c r="A148" s="19" t="str">
        <x:v>GRID88</x:v>
      </x:c>
      <x:c r="B148" s="19" t="str">
        <x:v>2035-12-10_6</x:v>
      </x:c>
      <x:c r="C148" s="19" t="str">
        <x:v>FIXED_512</x:v>
      </x:c>
      <x:c r="D148" s="21" t="n">
        <x:v>2</x:v>
      </x:c>
      <x:c r="E148" s="21" t="n">
        <x:v>2017</x:v>
      </x:c>
      <x:c r="F148" s="21" t="n">
        <x:v>0</x:v>
      </x:c>
      <x:c r="G148" s="21" t="n">
        <x:v>1</x:v>
      </x:c>
      <x:c r="H148" s="22" t="n">
        <x:v>2356848.319885254</x:v>
      </x:c>
      <x:c r="I148" s="23" t="n">
        <x:v>0.005063717770004139</x:v>
      </x:c>
      <x:c r="J148" s="24" t="n">
        <x:v>7168</x:v>
      </x:c>
      <x:c r="K148" s="25" t="n">
        <x:v>140.80247275005968</x:v>
      </x:c>
      <x:c r="L148" s="25" t="n">
        <x:v>32.40567370005738</x:v>
      </x:c>
      <x:c r="M148" s="25" t="n">
        <x:v>101.51251610003237</x:v>
      </x:c>
      <x:c r="N148" s="25" t="n">
        <x:v>1.419348349889333</x:v>
      </x:c>
      <x:c r="O148" s="25" t="n">
        <x:v>5.464934600080596</x:v>
      </x:c>
      <x:c r="P148" s="25" t="n">
        <x:v>0.09804817000038903</x:v>
      </x:c>
      <x:c r="Q148" s="25" t="n">
        <x:v>1.773866064002358</x:v>
      </x:c>
      <x:c r="R148" s="25" t="n">
        <x:v>4.219652312499602</x:v>
      </x:c>
      <x:c r="S148" s="25" t="n">
        <x:v>4.238777782499747</x:v>
      </x:c>
      <x:c r="T148" s="25" t="n">
        <x:v>139.09423609997611</x:v>
      </x:c>
      <x:c r="U148" s="25" t="n">
        <x:v>142.51070940014324</x:v>
      </x:c>
      <x:c r="V148" s="25" t="n">
        <x:v>2.4158114382909583</x:v>
      </x:c>
      <x:c r="W148" s="19" t="str">
        <x:v>FRAME_GUARD</x:v>
      </x:c>
      <x:c r="X148" s="26" t="n">
        <x:f>IF(AND(J161&gt;0,E148=E161),1-J148/J161,"")</x:f>
        <x:v>-0.6474373707193748</x:v>
      </x:c>
      <x:c r="Y148" s="26" t="n">
        <x:f>IF(AND(K161&gt;0,E148=E161),1-K148/K161,"")</x:f>
        <x:v>-0.11022776727064798</x:v>
      </x:c>
      <x:c r="Z148" s="26" t="n">
        <x:f>IF(AND(ISNUMBER(P161),P161&gt;0,E148=E161),1-P148/P161,"")</x:f>
        <x:v>-0.433698225218333</x:v>
      </x:c>
      <x:c r="AA148" s="26" t="n">
        <x:f>IF(AND(ISNUMBER(R148),ISNUMBER(R161),R161&gt;0,E148=E161),1-R148/R161,"")</x:f>
        <x:v>-0.05963309520124871</x:v>
      </x:c>
      <x:c r="AB148" s="26" t="n">
        <x:v>0.01715745037077081</x:v>
      </x:c>
      <x:c r="AC148" s="19" t="str">
        <x:v>D:/Codex/GRL研究/outputs/grid88/per_date.csv</x:v>
      </x:c>
    </x:row>
    <x:row r="149" ht="36" customHeight="1">
      <x:c r="A149" s="19" t="str">
        <x:v>GRID88</x:v>
      </x:c>
      <x:c r="B149" s="19" t="str">
        <x:v>2035-12-17_1</x:v>
      </x:c>
      <x:c r="C149" s="19" t="str">
        <x:v>FIXED_512</x:v>
      </x:c>
      <x:c r="D149" s="21" t="n">
        <x:v>2</x:v>
      </x:c>
      <x:c r="E149" s="21" t="n">
        <x:v>2017</x:v>
      </x:c>
      <x:c r="F149" s="21" t="n">
        <x:v>1</x:v>
      </x:c>
      <x:c r="G149" s="21" t="n">
        <x:v>1</x:v>
      </x:c>
      <x:c r="H149" s="22" t="n">
        <x:v>2548108.752380371</x:v>
      </x:c>
      <x:c r="I149" s="23" t="n">
        <x:v>-0.002110003068634847</x:v>
      </x:c>
      <x:c r="J149" s="24" t="n">
        <x:v>7168</x:v>
      </x:c>
      <x:c r="K149" s="25" t="n">
        <x:v>128.1394218499663</x:v>
      </x:c>
      <x:c r="L149" s="25" t="n">
        <x:v>31.03842069986058</x:v>
      </x:c>
      <x:c r="M149" s="25" t="n">
        <x:v>90.6813625499708</x:v>
      </x:c>
      <x:c r="N149" s="25" t="n">
        <x:v>1.3551042998406047</x:v>
      </x:c>
      <x:c r="O149" s="25" t="n">
        <x:v>5.064534300294326</x:v>
      </x:c>
      <x:c r="P149" s="25" t="n">
        <x:v>0.04984242999853441</x:v>
      </x:c>
      <x:c r="Q149" s="25" t="n">
        <x:v>1.960272730004184</x:v>
      </x:c>
      <x:c r="R149" s="25" t="n">
        <x:v>4.3005098025012565</x:v>
      </x:c>
      <x:c r="S149" s="25" t="n">
        <x:v>4.358706720499104</x:v>
      </x:c>
      <x:c r="T149" s="25" t="n">
        <x:v>127.84841099988262</x:v>
      </x:c>
      <x:c r="U149" s="25" t="n">
        <x:v>128.43043270005</x:v>
      </x:c>
      <x:c r="V149" s="25" t="n">
        <x:v>0.41155149098608373</x:v>
      </x:c>
      <x:c r="W149" s="19" t="str">
        <x:v>FRAME_GUARD</x:v>
      </x:c>
      <x:c r="X149" s="26" t="n">
        <x:f>IF(AND(J162&gt;0,E149=E162),1-J149/J162,"")</x:f>
        <x:v>-0.672421838544097</x:v>
      </x:c>
      <x:c r="Y149" s="26" t="n">
        <x:f>IF(AND(K162&gt;0,E149=E162),1-K149/K162,"")</x:f>
        <x:v>-0.03936276754248258</x:v>
      </x:c>
      <x:c r="Z149" s="26" t="n">
        <x:f>IF(AND(ISNUMBER(P162),P162&gt;0,E149=E162),1-P149/P162,"")</x:f>
        <x:v>-0.0022775364500029482</x:v>
      </x:c>
      <x:c r="AA149" s="26" t="n">
        <x:f>IF(AND(ISNUMBER(R149),ISNUMBER(R162),R162&gt;0,E149=E162),1-R149/R162,"")</x:f>
        <x:v>-0.10488271841192942</x:v>
      </x:c>
      <x:c r="AB149" s="26" t="n">
        <x:v>0.003211747681115294</x:v>
      </x:c>
      <x:c r="AC149" s="19" t="str">
        <x:v>D:/Codex/GRL研究/outputs/grid88/per_date.csv</x:v>
      </x:c>
    </x:row>
    <x:row r="150" ht="36" customHeight="1">
      <x:c r="A150" s="19" t="str">
        <x:v>GRID88</x:v>
      </x:c>
      <x:c r="B150" s="19" t="str">
        <x:v>2035-01-01_8</x:v>
      </x:c>
      <x:c r="C150" s="19" t="str">
        <x:v>FRAME_GUARD</x:v>
      </x:c>
      <x:c r="D150" s="21" t="n">
        <x:v>2</x:v>
      </x:c>
      <x:c r="E150" s="21" t="n">
        <x:v>2017</x:v>
      </x:c>
      <x:c r="F150" s="21" t="n">
        <x:v>1</x:v>
      </x:c>
      <x:c r="G150" s="21" t="n">
        <x:v>1</x:v>
      </x:c>
      <x:c r="H150" s="22" t="n">
        <x:v>2553054.755126953</x:v>
      </x:c>
      <x:c r="I150" s="23" t="n">
        <x:v>0</x:v>
      </x:c>
      <x:c r="J150" s="24" t="n">
        <x:v>767</x:v>
      </x:c>
      <x:c r="K150" s="25" t="n">
        <x:v>83.52906760001133</x:v>
      </x:c>
      <x:c r="L150" s="25" t="n">
        <x:v>13.03472640020118</x:v>
      </x:c>
      <x:c r="M150" s="25" t="n">
        <x:v>65.38789804999033</x:v>
      </x:c>
      <x:c r="N150" s="25" t="n">
        <x:v>0.20542054996985826</x:v>
      </x:c>
      <x:c r="O150" s="25" t="n">
        <x:v>4.901022599849966</x:v>
      </x:c>
      <x:c r="P150" s="25" t="n">
        <x:v>0.03603219000142411</x:v>
      </x:c>
      <x:c r="Q150" s="25" t="n">
        <x:v>1.0659502979996587</x:v>
      </x:c>
      <x:c r="R150" s="25" t="n">
        <x:v>2.8210981800037187</x:v>
      </x:c>
      <x:c r="S150" s="25" t="n">
        <x:v>2.8802005160039332</x:v>
      </x:c>
      <x:c r="T150" s="25" t="n">
        <x:v>82.72623350002686</x:v>
      </x:c>
      <x:c r="U150" s="25" t="n">
        <x:v>84.3319016999958</x:v>
      </x:c>
      <x:c r="V150" s="25" t="n">
        <x:v>1.1353788725336291</x:v>
      </x:c>
      <x:c r="W150" s="19" t="str">
        <x:v>FRAME_GUARD</x:v>
      </x:c>
      <x:c r="X150" s="26" t="n">
        <x:f>IF(AND(J150&gt;0,E150=E150),1-J150/J150,"")</x:f>
        <x:v>0</x:v>
      </x:c>
      <x:c r="Y150" s="26" t="n">
        <x:f>IF(AND(K150&gt;0,E150=E150),1-K150/K150,"")</x:f>
        <x:v>0</x:v>
      </x:c>
      <x:c r="Z150" s="26" t="n">
        <x:f>IF(AND(ISNUMBER(P150),P150&gt;0,E150=E150),1-P150/P150,"")</x:f>
        <x:v>0</x:v>
      </x:c>
      <x:c r="AA150" s="26" t="n">
        <x:f>IF(AND(ISNUMBER(R150),ISNUMBER(R150),R150&gt;0,E150=E150),1-R150/R150,"")</x:f>
        <x:v>0</x:v>
      </x:c>
      <x:c r="AB150" s="26" t="n">
        <x:v>0.013592619972373248</x:v>
      </x:c>
      <x:c r="AC150" s="19" t="str">
        <x:v>D:/Codex/GRL研究/outputs/grid88/per_date.csv</x:v>
      </x:c>
    </x:row>
    <x:row r="151" ht="36" customHeight="1">
      <x:c r="A151" s="19" t="str">
        <x:v>GRID88</x:v>
      </x:c>
      <x:c r="B151" s="19" t="str">
        <x:v>2035-02-19_8</x:v>
      </x:c>
      <x:c r="C151" s="19" t="str">
        <x:v>FRAME_GUARD</x:v>
      </x:c>
      <x:c r="D151" s="21" t="n">
        <x:v>2</x:v>
      </x:c>
      <x:c r="E151" s="21" t="n">
        <x:v>2017</x:v>
      </x:c>
      <x:c r="F151" s="21" t="n">
        <x:v>1</x:v>
      </x:c>
      <x:c r="G151" s="21" t="n">
        <x:v>1</x:v>
      </x:c>
      <x:c r="H151" s="22" t="n">
        <x:v>2964578.8486938477</x:v>
      </x:c>
      <x:c r="I151" s="23" t="n">
        <x:v>-0.022391524397452622</x:v>
      </x:c>
      <x:c r="J151" s="24" t="n">
        <x:v>6853</x:v>
      </x:c>
      <x:c r="K151" s="25" t="n">
        <x:v>149.77748850014177</x:v>
      </x:c>
      <x:c r="L151" s="25" t="n">
        <x:v>31.15275529995779</x:v>
      </x:c>
      <x:c r="M151" s="25" t="n">
        <x:v>111.31368754996947</x:v>
      </x:c>
      <x:c r="N151" s="25" t="n">
        <x:v>1.8537684994626034</x:v>
      </x:c>
      <x:c r="O151" s="25" t="n">
        <x:v>5.4572771507519064</x:v>
      </x:c>
      <x:c r="P151" s="25" t="n">
        <x:v>0.05526164000038815</x:v>
      </x:c>
      <x:c r="Q151" s="25" t="n">
        <x:v>2.526951387999124</x:v>
      </x:c>
      <x:c r="R151" s="25" t="n">
        <x:v>4.095348759999615</x:v>
      </x:c>
      <x:c r="S151" s="25" t="n">
        <x:v>4.110541591998771</x:v>
      </x:c>
      <x:c r="T151" s="25" t="n">
        <x:v>149.58159100005287</x:v>
      </x:c>
      <x:c r="U151" s="25" t="n">
        <x:v>149.97338600023068</x:v>
      </x:c>
      <x:c r="V151" s="25" t="n">
        <x:v>0.2770409014607127</x:v>
      </x:c>
      <x:c r="W151" s="19" t="str">
        <x:v>FRAME_GUARD</x:v>
      </x:c>
      <x:c r="X151" s="26" t="n">
        <x:f>IF(AND(J151&gt;0,E151=E151),1-J151/J151,"")</x:f>
        <x:v>0</x:v>
      </x:c>
      <x:c r="Y151" s="26" t="n">
        <x:f>IF(AND(K151&gt;0,E151=E151),1-K151/K151,"")</x:f>
        <x:v>0</x:v>
      </x:c>
      <x:c r="Z151" s="26" t="n">
        <x:f>IF(AND(ISNUMBER(P151),P151&gt;0,E151=E151),1-P151/P151,"")</x:f>
        <x:v>0</x:v>
      </x:c>
      <x:c r="AA151" s="26" t="n">
        <x:f>IF(AND(ISNUMBER(R151),ISNUMBER(R151),R151&gt;0,E151=E151),1-R151/R151,"")</x:f>
        <x:v>0</x:v>
      </x:c>
      <x:c r="AB151" s="26" t="n">
        <x:v>0.0018496831815980842</x:v>
      </x:c>
      <x:c r="AC151" s="19" t="str">
        <x:v>D:/Codex/GRL研究/outputs/grid88/per_date.csv</x:v>
      </x:c>
    </x:row>
    <x:row r="152" ht="36" customHeight="1">
      <x:c r="A152" s="19" t="str">
        <x:v>GRID88</x:v>
      </x:c>
      <x:c r="B152" s="19" t="str">
        <x:v>2035-03-05_0</x:v>
      </x:c>
      <x:c r="C152" s="19" t="str">
        <x:v>FRAME_GUARD</x:v>
      </x:c>
      <x:c r="D152" s="21" t="n">
        <x:v>2</x:v>
      </x:c>
      <x:c r="E152" s="21" t="n">
        <x:v>2017</x:v>
      </x:c>
      <x:c r="F152" s="21" t="n">
        <x:v>1</x:v>
      </x:c>
      <x:c r="G152" s="21" t="n">
        <x:v>1</x:v>
      </x:c>
      <x:c r="H152" s="22" t="n">
        <x:v>2975141.026245117</x:v>
      </x:c>
      <x:c r="I152" s="23" t="n">
        <x:v>0.003720046656812137</x:v>
      </x:c>
      <x:c r="J152" s="24" t="n">
        <x:v>3720</x:v>
      </x:c>
      <x:c r="K152" s="25" t="n">
        <x:v>124.06106614978125</x:v>
      </x:c>
      <x:c r="L152" s="25" t="n">
        <x:v>21.40572860010434</x:v>
      </x:c>
      <x:c r="M152" s="25" t="n">
        <x:v>97.04474629998731</x:v>
      </x:c>
      <x:c r="N152" s="25" t="n">
        <x:v>0.9772460999593022</x:v>
      </x:c>
      <x:c r="O152" s="25" t="n">
        <x:v>4.633345149730303</x:v>
      </x:c>
      <x:c r="P152" s="25" t="n">
        <x:v>0.03910491999922666</x:v>
      </x:c>
      <x:c r="Q152" s="25" t="n">
        <x:v>2.273275279996872</x:v>
      </x:c>
      <x:c r="R152" s="25" t="n">
        <x:v>4.791320862499924</x:v>
      </x:c>
      <x:c r="S152" s="25" t="n">
        <x:v>5.080392852499135</x:v>
      </x:c>
      <x:c r="T152" s="25" t="n">
        <x:v>123.35149799960345</x:v>
      </x:c>
      <x:c r="U152" s="25" t="n">
        <x:v>124.77063429995906</x:v>
      </x:c>
      <x:c r="V152" s="25" t="n">
        <x:v>1.0034809014094364</x:v>
      </x:c>
      <x:c r="W152" s="19" t="str">
        <x:v>FRAME_GUARD</x:v>
      </x:c>
      <x:c r="X152" s="26" t="n">
        <x:f>IF(AND(J152&gt;0,E152=E152),1-J152/J152,"")</x:f>
        <x:v>0</x:v>
      </x:c>
      <x:c r="Y152" s="26" t="n">
        <x:f>IF(AND(K152&gt;0,E152=E152),1-K152/K152,"")</x:f>
        <x:v>0</x:v>
      </x:c>
      <x:c r="Z152" s="26" t="n">
        <x:f>IF(AND(ISNUMBER(P152),P152&gt;0,E152=E152),1-P152/P152,"")</x:f>
        <x:v>0</x:v>
      </x:c>
      <x:c r="AA152" s="26" t="n">
        <x:f>IF(AND(ISNUMBER(R152),ISNUMBER(R152),R152&gt;0,E152=E152),1-R152/R152,"")</x:f>
        <x:v>0</x:v>
      </x:c>
      <x:c r="AB152" s="26" t="n">
        <x:v>0.008088604528014574</x:v>
      </x:c>
      <x:c r="AC152" s="19" t="str">
        <x:v>D:/Codex/GRL研究/outputs/grid88/per_date.csv</x:v>
      </x:c>
    </x:row>
    <x:row r="153" ht="36" customHeight="1">
      <x:c r="A153" s="19" t="str">
        <x:v>GRID88</x:v>
      </x:c>
      <x:c r="B153" s="19" t="str">
        <x:v>2035-04-02_9</x:v>
      </x:c>
      <x:c r="C153" s="19" t="str">
        <x:v>FRAME_GUARD</x:v>
      </x:c>
      <x:c r="D153" s="21" t="n">
        <x:v>2</x:v>
      </x:c>
      <x:c r="E153" s="21" t="n">
        <x:v>2017</x:v>
      </x:c>
      <x:c r="F153" s="21" t="n">
        <x:v>1</x:v>
      </x:c>
      <x:c r="G153" s="21" t="n">
        <x:v>1</x:v>
      </x:c>
      <x:c r="H153" s="22" t="n">
        <x:v>2213239.242126465</x:v>
      </x:c>
      <x:c r="I153" s="23" t="n">
        <x:v>-0.03158012524756326</x:v>
      </x:c>
      <x:c r="J153" s="24" t="n">
        <x:v>2619</x:v>
      </x:c>
      <x:c r="K153" s="25" t="n">
        <x:v>60.1871309498747</x:v>
      </x:c>
      <x:c r="L153" s="25" t="n">
        <x:v>14.956360649852286</x:v>
      </x:c>
      <x:c r="M153" s="25" t="n">
        <x:v>39.454764350037294</x:v>
      </x:c>
      <x:c r="N153" s="25" t="n">
        <x:v>0.7987717001524288</x:v>
      </x:c>
      <x:c r="O153" s="25" t="n">
        <x:v>4.977234249832691</x:v>
      </x:c>
      <x:c r="P153" s="25" t="n">
        <x:v>0.03450605000034554</x:v>
      </x:c>
      <x:c r="Q153" s="25" t="n">
        <x:v>0.6836087859956022</x:v>
      </x:c>
      <x:c r="R153" s="25" t="n">
        <x:v>3.0508052149974896</x:v>
      </x:c>
      <x:c r="S153" s="25" t="n">
        <x:v>3.3323693229964917</x:v>
      </x:c>
      <x:c r="T153" s="25" t="n">
        <x:v>59.92959839980904</x:v>
      </x:c>
      <x:c r="U153" s="25" t="n">
        <x:v>60.44466349994036</x:v>
      </x:c>
      <x:c r="V153" s="25" t="n">
        <x:v>0.364206025055387</x:v>
      </x:c>
      <x:c r="W153" s="19" t="str">
        <x:v>FRAME_GUARD</x:v>
      </x:c>
      <x:c r="X153" s="26" t="n">
        <x:f>IF(AND(J153&gt;0,E153=E153),1-J153/J153,"")</x:f>
        <x:v>0</x:v>
      </x:c>
      <x:c r="Y153" s="26" t="n">
        <x:f>IF(AND(K153&gt;0,E153=E153),1-K153/K153,"")</x:f>
        <x:v>0</x:v>
      </x:c>
      <x:c r="Z153" s="26" t="n">
        <x:f>IF(AND(ISNUMBER(P153),P153&gt;0,E153=E153),1-P153/P153,"")</x:f>
        <x:v>0</x:v>
      </x:c>
      <x:c r="AA153" s="26" t="n">
        <x:f>IF(AND(ISNUMBER(R153),ISNUMBER(R153),R153&gt;0,E153=E153),1-R153/R153,"")</x:f>
        <x:v>0</x:v>
      </x:c>
      <x:c r="AB153" s="26" t="n">
        <x:v>0.006051227551595816</x:v>
      </x:c>
      <x:c r="AC153" s="19" t="str">
        <x:v>D:/Codex/GRL研究/outputs/grid88/per_date.csv</x:v>
      </x:c>
    </x:row>
    <x:row r="154" ht="36" customHeight="1">
      <x:c r="A154" s="19" t="str">
        <x:v>GRID88</x:v>
      </x:c>
      <x:c r="B154" s="19" t="str">
        <x:v>2035-04-09_3</x:v>
      </x:c>
      <x:c r="C154" s="19" t="str">
        <x:v>FRAME_GUARD</x:v>
      </x:c>
      <x:c r="D154" s="21" t="n">
        <x:v>2</x:v>
      </x:c>
      <x:c r="E154" s="21" t="n">
        <x:v>2017</x:v>
      </x:c>
      <x:c r="F154" s="21" t="n">
        <x:v>1</x:v>
      </x:c>
      <x:c r="G154" s="21" t="n">
        <x:v>1</x:v>
      </x:c>
      <x:c r="H154" s="22" t="n">
        <x:v>1881079.4790039062</x:v>
      </x:c>
      <x:c r="I154" s="23" t="n">
        <x:v>-0.013891163823369301</x:v>
      </x:c>
      <x:c r="J154" s="24" t="n">
        <x:v>1589</x:v>
      </x:c>
      <x:c r="K154" s="25" t="n">
        <x:v>44.67826244997923</x:v>
      </x:c>
      <x:c r="L154" s="25" t="n">
        <x:v>10.7545646999788</x:v>
      </x:c>
      <x:c r="M154" s="25" t="n">
        <x:v>29.62585500001296</x:v>
      </x:c>
      <x:c r="N154" s="25" t="n">
        <x:v>0.6015409000283398</x:v>
      </x:c>
      <x:c r="O154" s="25" t="n">
        <x:v>3.696301849959127</x:v>
      </x:c>
      <x:c r="P154" s="25" t="n">
        <x:v>0.027558340001269242</x:v>
      </x:c>
      <x:c r="Q154" s="25" t="n">
        <x:v>0.6769105759974625</x:v>
      </x:c>
      <x:c r="R154" s="25" t="n">
        <x:v>2.810171450002599</x:v>
      </x:c>
      <x:c r="S154" s="25" t="n">
        <x:v>3.3407183700026515</x:v>
      </x:c>
      <x:c r="T154" s="25" t="n">
        <x:v>44.41569460010214</x:v>
      </x:c>
      <x:c r="U154" s="25" t="n">
        <x:v>44.940830299856316</x:v>
      </x:c>
      <x:c r="V154" s="25" t="n">
        <x:v>0.3713270143393188</x:v>
      </x:c>
      <x:c r="W154" s="19" t="str">
        <x:v>FRAME_GUARD</x:v>
      </x:c>
      <x:c r="X154" s="26" t="n">
        <x:f>IF(AND(J154&gt;0,E154=E154),1-J154/J154,"")</x:f>
        <x:v>0</x:v>
      </x:c>
      <x:c r="Y154" s="26" t="n">
        <x:f>IF(AND(K154&gt;0,E154=E154),1-K154/K154,"")</x:f>
        <x:v>0</x:v>
      </x:c>
      <x:c r="Z154" s="26" t="n">
        <x:f>IF(AND(ISNUMBER(P154),P154&gt;0,E154=E154),1-P154/P154,"")</x:f>
        <x:v>0</x:v>
      </x:c>
      <x:c r="AA154" s="26" t="n">
        <x:f>IF(AND(ISNUMBER(R154),ISNUMBER(R154),R154&gt;0,E154=E154),1-R154/R154,"")</x:f>
        <x:v>0</x:v>
      </x:c>
      <x:c r="AB154" s="26" t="n">
        <x:v>0.00831113373656928</x:v>
      </x:c>
      <x:c r="AC154" s="19" t="str">
        <x:v>D:/Codex/GRL研究/outputs/grid88/per_date.csv</x:v>
      </x:c>
    </x:row>
    <x:row r="155" ht="36" customHeight="1">
      <x:c r="A155" s="19" t="str">
        <x:v>GRID88</x:v>
      </x:c>
      <x:c r="B155" s="19" t="str">
        <x:v>2035-05-14_14</x:v>
      </x:c>
      <x:c r="C155" s="19" t="str">
        <x:v>FRAME_GUARD</x:v>
      </x:c>
      <x:c r="D155" s="21" t="n">
        <x:v>2</x:v>
      </x:c>
      <x:c r="E155" s="21" t="n">
        <x:v>747</x:v>
      </x:c>
      <x:c r="F155" s="21" t="n">
        <x:v>1</x:v>
      </x:c>
      <x:c r="G155" s="21" t="n">
        <x:v>0</x:v>
      </x:c>
      <x:c r="H155" s="22" t="n">
        <x:v>729154.2595214844</x:v>
      </x:c>
      <x:c r="I155" s="23"/>
      <x:c r="J155" s="24" t="n">
        <x:v>0</x:v>
      </x:c>
      <x:c r="K155" s="25" t="n">
        <x:v>6.710584700071195</x:v>
      </x:c>
      <x:c r="L155" s="25" t="n">
        <x:v>2.3049545999056136</x:v>
      </x:c>
      <x:c r="M155" s="25" t="n">
        <x:v>3.468154300007882</x:v>
      </x:c>
      <x:c r="N155" s="25" t="n">
        <x:v>0</x:v>
      </x:c>
      <x:c r="O155" s="25" t="n">
        <x:v>0.9374758001576993</x:v>
      </x:c>
      <x:c r="P155" s="25" t="n">
        <x:v>0.007917575000828942</x:v>
      </x:c>
      <x:c r="Q155" s="25" t="n">
        <x:v>0.03273657600060684</x:v>
      </x:c>
      <x:c r="R155" s="25"/>
      <x:c r="S155" s="25"/>
      <x:c r="T155" s="25" t="n">
        <x:v>6.669181499935803</x:v>
      </x:c>
      <x:c r="U155" s="25" t="n">
        <x:v>6.751987900206586</x:v>
      </x:c>
      <x:c r="V155" s="25" t="n">
        <x:v>0.05855296715711847</x:v>
      </x:c>
      <x:c r="W155" s="19" t="str">
        <x:v>FRAME_GUARD</x:v>
      </x:c>
      <x:c r="X155" s="26" t="str">
        <x:f>IF(AND(J155&gt;0,E155=E155),1-J155/J155,"")</x:f>
      </x:c>
      <x:c r="Y155" s="26" t="n">
        <x:f>IF(AND(K155&gt;0,E155=E155),1-K155/K155,"")</x:f>
        <x:v>0</x:v>
      </x:c>
      <x:c r="Z155" s="26" t="n">
        <x:f>IF(AND(ISNUMBER(P155),P155&gt;0,E155=E155),1-P155/P155,"")</x:f>
        <x:v>0</x:v>
      </x:c>
      <x:c r="AA155" s="26" t="str">
        <x:f>IF(AND(ISNUMBER(R155),ISNUMBER(R155),R155&gt;0,E155=E155),1-R155/R155,"")</x:f>
      </x:c>
      <x:c r="AB155" s="26" t="n">
        <x:v>0.008725464288752255</x:v>
      </x:c>
      <x:c r="AC155" s="19" t="str">
        <x:v>D:/Codex/GRL研究/outputs/grid88/per_date.csv</x:v>
      </x:c>
    </x:row>
    <x:row r="156" ht="36" customHeight="1">
      <x:c r="A156" s="19" t="str">
        <x:v>GRID88</x:v>
      </x:c>
      <x:c r="B156" s="19" t="str">
        <x:v>2035-06-25_8</x:v>
      </x:c>
      <x:c r="C156" s="19" t="str">
        <x:v>FRAME_GUARD</x:v>
      </x:c>
      <x:c r="D156" s="21" t="n">
        <x:v>2</x:v>
      </x:c>
      <x:c r="E156" s="21" t="n">
        <x:v>1901</x:v>
      </x:c>
      <x:c r="F156" s="21" t="n">
        <x:v>1</x:v>
      </x:c>
      <x:c r="G156" s="21" t="n">
        <x:v>0</x:v>
      </x:c>
      <x:c r="H156" s="22" t="n">
        <x:v>1156085.3905029297</x:v>
      </x:c>
      <x:c r="I156" s="23"/>
      <x:c r="J156" s="24" t="n">
        <x:v>1889</x:v>
      </x:c>
      <x:c r="K156" s="25" t="n">
        <x:v>52.488238450005156</x:v>
      </x:c>
      <x:c r="L156" s="25" t="n">
        <x:v>12.945488050132553</x:v>
      </x:c>
      <x:c r="M156" s="25" t="n">
        <x:v>34.33212534990889</x:v>
      </x:c>
      <x:c r="N156" s="25" t="n">
        <x:v>0.45384424989606487</x:v>
      </x:c>
      <x:c r="O156" s="25" t="n">
        <x:v>4.756780800067645</x:v>
      </x:c>
      <x:c r="P156" s="25" t="n">
        <x:v>0.03305660000114585</x:v>
      </x:c>
      <x:c r="Q156" s="25" t="n">
        <x:v>0.7046449500012386</x:v>
      </x:c>
      <x:c r="R156" s="25" t="n">
        <x:v>2.6660530199995263</x:v>
      </x:c>
      <x:c r="S156" s="25" t="n">
        <x:v>2.862049523999449</x:v>
      </x:c>
      <x:c r="T156" s="25" t="n">
        <x:v>52.27331150013197</x:v>
      </x:c>
      <x:c r="U156" s="25" t="n">
        <x:v>52.703165399878344</x:v>
      </x:c>
      <x:c r="V156" s="25" t="n">
        <x:v>0.30395260743014524</x:v>
      </x:c>
      <x:c r="W156" s="19" t="str">
        <x:v>FRAME_GUARD</x:v>
      </x:c>
      <x:c r="X156" s="26" t="n">
        <x:f>IF(AND(J156&gt;0,E156=E156),1-J156/J156,"")</x:f>
        <x:v>0</x:v>
      </x:c>
      <x:c r="Y156" s="26" t="n">
        <x:f>IF(AND(K156&gt;0,E156=E156),1-K156/K156,"")</x:f>
        <x:v>0</x:v>
      </x:c>
      <x:c r="Z156" s="26" t="n">
        <x:f>IF(AND(ISNUMBER(P156),P156&gt;0,E156=E156),1-P156/P156,"")</x:f>
        <x:v>0</x:v>
      </x:c>
      <x:c r="AA156" s="26" t="n">
        <x:f>IF(AND(ISNUMBER(R156),ISNUMBER(R156),R156&gt;0,E156=E156),1-R156/R156,"")</x:f>
        <x:v>0</x:v>
      </x:c>
      <x:c r="AB156" s="26" t="n">
        <x:v>0.005790870800887306</x:v>
      </x:c>
      <x:c r="AC156" s="19" t="str">
        <x:v>D:/Codex/GRL研究/outputs/grid88/per_date.csv</x:v>
      </x:c>
    </x:row>
    <x:row r="157" ht="36" customHeight="1">
      <x:c r="A157" s="19" t="str">
        <x:v>GRID88</x:v>
      </x:c>
      <x:c r="B157" s="19" t="str">
        <x:v>2035-07-09_2</x:v>
      </x:c>
      <x:c r="C157" s="19" t="str">
        <x:v>FRAME_GUARD</x:v>
      </x:c>
      <x:c r="D157" s="21" t="n">
        <x:v>2</x:v>
      </x:c>
      <x:c r="E157" s="21" t="n">
        <x:v>2017</x:v>
      </x:c>
      <x:c r="F157" s="21" t="n">
        <x:v>1</x:v>
      </x:c>
      <x:c r="G157" s="21" t="n">
        <x:v>1</x:v>
      </x:c>
      <x:c r="H157" s="22" t="n">
        <x:v>1158984.4921569824</x:v>
      </x:c>
      <x:c r="I157" s="23" t="n">
        <x:v>-0.0025041748575496126</x:v>
      </x:c>
      <x:c r="J157" s="24" t="n">
        <x:v>5120</x:v>
      </x:c>
      <x:c r="K157" s="25" t="n">
        <x:v>40.34144629989896</x:v>
      </x:c>
      <x:c r="L157" s="25" t="n">
        <x:v>19.525714850136865</x:v>
      </x:c>
      <x:c r="M157" s="25" t="n">
        <x:v>16.212545750018762</x:v>
      </x:c>
      <x:c r="N157" s="25" t="n">
        <x:v>1.2604726001009112</x:v>
      </x:c>
      <x:c r="O157" s="25" t="n">
        <x:v>3.342713099642424</x:v>
      </x:c>
      <x:c r="P157" s="25" t="n">
        <x:v>0.012335069999971885</x:v>
      </x:c>
      <x:c r="Q157" s="25" t="n">
        <x:v>0.44426503600115036</x:v>
      </x:c>
      <x:c r="R157" s="25" t="n">
        <x:v>4.354478029999882</x:v>
      </x:c>
      <x:c r="S157" s="25" t="n">
        <x:v>4.447652485998697</x:v>
      </x:c>
      <x:c r="T157" s="25" t="n">
        <x:v>40.32495729992661</x:v>
      </x:c>
      <x:c r="U157" s="25" t="n">
        <x:v>40.357935299871315</x:v>
      </x:c>
      <x:c r="V157" s="25" t="n">
        <x:v>0.02331896739087086</x:v>
      </x:c>
      <x:c r="W157" s="19" t="str">
        <x:v>FRAME_GUARD</x:v>
      </x:c>
      <x:c r="X157" s="26" t="n">
        <x:f>IF(AND(J157&gt;0,E157=E157),1-J157/J157,"")</x:f>
        <x:v>0</x:v>
      </x:c>
      <x:c r="Y157" s="26" t="n">
        <x:f>IF(AND(K157&gt;0,E157=E157),1-K157/K157,"")</x:f>
        <x:v>0</x:v>
      </x:c>
      <x:c r="Z157" s="26" t="n">
        <x:f>IF(AND(ISNUMBER(P157),P157&gt;0,E157=E157),1-P157/P157,"")</x:f>
        <x:v>0</x:v>
      </x:c>
      <x:c r="AA157" s="26" t="n">
        <x:f>IF(AND(ISNUMBER(R157),ISNUMBER(R157),R157&gt;0,E157=E157),1-R157/R157,"")</x:f>
        <x:v>0</x:v>
      </x:c>
      <x:c r="AB157" s="26" t="n">
        <x:v>0.0005780399447634396</x:v>
      </x:c>
      <x:c r="AC157" s="19" t="str">
        <x:v>D:/Codex/GRL研究/outputs/grid88/per_date.csv</x:v>
      </x:c>
    </x:row>
    <x:row r="158" ht="36" customHeight="1">
      <x:c r="A158" s="19" t="str">
        <x:v>GRID88</x:v>
      </x:c>
      <x:c r="B158" s="19" t="str">
        <x:v>2035-09-03_4</x:v>
      </x:c>
      <x:c r="C158" s="19" t="str">
        <x:v>FRAME_GUARD</x:v>
      </x:c>
      <x:c r="D158" s="21" t="n">
        <x:v>2</x:v>
      </x:c>
      <x:c r="E158" s="21" t="n">
        <x:v>2017</x:v>
      </x:c>
      <x:c r="F158" s="21" t="n">
        <x:v>1</x:v>
      </x:c>
      <x:c r="G158" s="21" t="n">
        <x:v>1</x:v>
      </x:c>
      <x:c r="H158" s="22" t="n">
        <x:v>1265835.7439422607</x:v>
      </x:c>
      <x:c r="I158" s="23" t="n">
        <x:v>-0.0186656352781418</x:v>
      </x:c>
      <x:c r="J158" s="24" t="n">
        <x:v>2987</x:v>
      </x:c>
      <x:c r="K158" s="25" t="n">
        <x:v>50.5358054999997</x:v>
      </x:c>
      <x:c r="L158" s="25" t="n">
        <x:v>17.631885849958053</x:v>
      </x:c>
      <x:c r="M158" s="25" t="n">
        <x:v>27.035466000023007</x:v>
      </x:c>
      <x:c r="N158" s="25" t="n">
        <x:v>0.7974591501224495</x:v>
      </x:c>
      <x:c r="O158" s="25" t="n">
        <x:v>5.070994499896187</x:v>
      </x:c>
      <x:c r="P158" s="25" t="n">
        <x:v>0.03157037000128184</x:v>
      </x:c>
      <x:c r="Q158" s="25" t="n">
        <x:v>0.6823650260006251</x:v>
      </x:c>
      <x:c r="R158" s="25" t="n">
        <x:v>3.5840440649979426</x:v>
      </x:c>
      <x:c r="S158" s="25" t="n">
        <x:v>3.6217032529979045</x:v>
      </x:c>
      <x:c r="T158" s="25" t="n">
        <x:v>50.08377439999458</x:v>
      </x:c>
      <x:c r="U158" s="25" t="n">
        <x:v>50.98783660000481</x:v>
      </x:c>
      <x:c r="V158" s="25" t="n">
        <x:v>0.6392685122416627</x:v>
      </x:c>
      <x:c r="W158" s="19" t="str">
        <x:v>FRAME_GUARD</x:v>
      </x:c>
      <x:c r="X158" s="26" t="n">
        <x:f>IF(AND(J158&gt;0,E158=E158),1-J158/J158,"")</x:f>
        <x:v>0</x:v>
      </x:c>
      <x:c r="Y158" s="26" t="n">
        <x:f>IF(AND(K158&gt;0,E158=E158),1-K158/K158,"")</x:f>
        <x:v>0</x:v>
      </x:c>
      <x:c r="Z158" s="26" t="n">
        <x:f>IF(AND(ISNUMBER(P158),P158&gt;0,E158=E158),1-P158/P158,"")</x:f>
        <x:v>0</x:v>
      </x:c>
      <x:c r="AA158" s="26" t="n">
        <x:f>IF(AND(ISNUMBER(R158),ISNUMBER(R158),R158&gt;0,E158=E158),1-R158/R158,"")</x:f>
        <x:v>0</x:v>
      </x:c>
      <x:c r="AB158" s="26" t="n">
        <x:v>0.012649813452397955</x:v>
      </x:c>
      <x:c r="AC158" s="19" t="str">
        <x:v>D:/Codex/GRL研究/outputs/grid88/per_date.csv</x:v>
      </x:c>
    </x:row>
    <x:row r="159" ht="36" customHeight="1">
      <x:c r="A159" s="19" t="str">
        <x:v>GRID88</x:v>
      </x:c>
      <x:c r="B159" s="19" t="str">
        <x:v>2035-10-01_5</x:v>
      </x:c>
      <x:c r="C159" s="19" t="str">
        <x:v>FRAME_GUARD</x:v>
      </x:c>
      <x:c r="D159" s="21" t="n">
        <x:v>2</x:v>
      </x:c>
      <x:c r="E159" s="21" t="n">
        <x:v>2017</x:v>
      </x:c>
      <x:c r="F159" s="21" t="n">
        <x:v>1</x:v>
      </x:c>
      <x:c r="G159" s="21" t="n">
        <x:v>1</x:v>
      </x:c>
      <x:c r="H159" s="22" t="n">
        <x:v>1544822.9655151367</x:v>
      </x:c>
      <x:c r="I159" s="23" t="n">
        <x:v>0</x:v>
      </x:c>
      <x:c r="J159" s="24" t="n">
        <x:v>512</x:v>
      </x:c>
      <x:c r="K159" s="25" t="n">
        <x:v>43.438310750152596</x:v>
      </x:c>
      <x:c r="L159" s="25" t="n">
        <x:v>8.546713100040506</x:v>
      </x:c>
      <x:c r="M159" s="25" t="n">
        <x:v>29.722898550007812</x:v>
      </x:c>
      <x:c r="N159" s="25" t="n">
        <x:v>0.20160290002968395</x:v>
      </x:c>
      <x:c r="O159" s="25" t="n">
        <x:v>4.967096200074593</x:v>
      </x:c>
      <x:c r="P159" s="25" t="n">
        <x:v>0.028932030002761164</x:v>
      </x:c>
      <x:c r="Q159" s="25" t="n">
        <x:v>0.6575492059976384</x:v>
      </x:c>
      <x:c r="R159" s="25" t="n">
        <x:v>0.8236597549999716</x:v>
      </x:c>
      <x:c r="S159" s="25" t="n">
        <x:v>0.8246867910001311</x:v>
      </x:c>
      <x:c r="T159" s="25" t="n">
        <x:v>43.225038800155744</x:v>
      </x:c>
      <x:c r="U159" s="25" t="n">
        <x:v>43.65158270014945</x:v>
      </x:c>
      <x:c r="V159" s="25" t="n">
        <x:v>0.30161208415930413</x:v>
      </x:c>
      <x:c r="W159" s="19" t="str">
        <x:v>FRAME_GUARD</x:v>
      </x:c>
      <x:c r="X159" s="26" t="n">
        <x:f>IF(AND(J159&gt;0,E159=E159),1-J159/J159,"")</x:f>
        <x:v>0</x:v>
      </x:c>
      <x:c r="Y159" s="26" t="n">
        <x:f>IF(AND(K159&gt;0,E159=E159),1-K159/K159,"")</x:f>
        <x:v>0</x:v>
      </x:c>
      <x:c r="Z159" s="26" t="n">
        <x:f>IF(AND(ISNUMBER(P159),P159&gt;0,E159=E159),1-P159/P159,"")</x:f>
        <x:v>0</x:v>
      </x:c>
      <x:c r="AA159" s="26" t="n">
        <x:f>IF(AND(ISNUMBER(R159),ISNUMBER(R159),R159&gt;0,E159=E159),1-R159/R159,"")</x:f>
        <x:v>0</x:v>
      </x:c>
      <x:c r="AB159" s="26" t="n">
        <x:v>0.006943457951072478</x:v>
      </x:c>
      <x:c r="AC159" s="19" t="str">
        <x:v>D:/Codex/GRL研究/outputs/grid88/per_date.csv</x:v>
      </x:c>
    </x:row>
    <x:row r="160" ht="36" customHeight="1">
      <x:c r="A160" s="19" t="str">
        <x:v>GRID88</x:v>
      </x:c>
      <x:c r="B160" s="19" t="str">
        <x:v>2035-11-19_0</x:v>
      </x:c>
      <x:c r="C160" s="19" t="str">
        <x:v>FRAME_GUARD</x:v>
      </x:c>
      <x:c r="D160" s="21" t="n">
        <x:v>2</x:v>
      </x:c>
      <x:c r="E160" s="21" t="n">
        <x:v>2017</x:v>
      </x:c>
      <x:c r="F160" s="21" t="n">
        <x:v>1</x:v>
      </x:c>
      <x:c r="G160" s="21" t="n">
        <x:v>1</x:v>
      </x:c>
      <x:c r="H160" s="22" t="n">
        <x:v>1913562.9198608398</x:v>
      </x:c>
      <x:c r="I160" s="23" t="n">
        <x:v>-0.0002311850205576338</x:v>
      </x:c>
      <x:c r="J160" s="24" t="n">
        <x:v>921</x:v>
      </x:c>
      <x:c r="K160" s="25" t="n">
        <x:v>65.72901375008223</x:v>
      </x:c>
      <x:c r="L160" s="25" t="n">
        <x:v>13.479932949961949</x:v>
      </x:c>
      <x:c r="M160" s="25" t="n">
        <x:v>47.18480574994828</x:v>
      </x:c>
      <x:c r="N160" s="25" t="n">
        <x:v>0.2993406498389959</x:v>
      </x:c>
      <x:c r="O160" s="25" t="n">
        <x:v>4.764934400333004</x:v>
      </x:c>
      <x:c r="P160" s="25" t="n">
        <x:v>0.03496195999832707</x:v>
      </x:c>
      <x:c r="Q160" s="25" t="n">
        <x:v>0.6991763779975004</x:v>
      </x:c>
      <x:c r="R160" s="25" t="n">
        <x:v>1.1952027449970046</x:v>
      </x:c>
      <x:c r="S160" s="25" t="n">
        <x:v>1.2297623089969418</x:v>
      </x:c>
      <x:c r="T160" s="25" t="n">
        <x:v>65.18106930002978</x:v>
      </x:c>
      <x:c r="U160" s="25" t="n">
        <x:v>66.27695820013469</x:v>
      </x:c>
      <x:c r="V160" s="25" t="n">
        <x:v>0.7749104726912489</x:v>
      </x:c>
      <x:c r="W160" s="19" t="str">
        <x:v>FRAME_GUARD</x:v>
      </x:c>
      <x:c r="X160" s="26" t="n">
        <x:f>IF(AND(J160&gt;0,E160=E160),1-J160/J160,"")</x:f>
        <x:v>0</x:v>
      </x:c>
      <x:c r="Y160" s="26" t="n">
        <x:f>IF(AND(K160&gt;0,E160=E160),1-K160/K160,"")</x:f>
        <x:v>0</x:v>
      </x:c>
      <x:c r="Z160" s="26" t="n">
        <x:f>IF(AND(ISNUMBER(P160),P160&gt;0,E160=E160),1-P160/P160,"")</x:f>
        <x:v>0</x:v>
      </x:c>
      <x:c r="AA160" s="26" t="n">
        <x:f>IF(AND(ISNUMBER(R160),ISNUMBER(R160),R160&gt;0,E160=E160),1-R160/R160,"")</x:f>
        <x:v>0</x:v>
      </x:c>
      <x:c r="AB160" s="26" t="n">
        <x:v>0.011789473605030007</x:v>
      </x:c>
      <x:c r="AC160" s="19" t="str">
        <x:v>D:/Codex/GRL研究/outputs/grid88/per_date.csv</x:v>
      </x:c>
    </x:row>
    <x:row r="161" ht="36" customHeight="1">
      <x:c r="A161" s="19" t="str">
        <x:v>GRID88</x:v>
      </x:c>
      <x:c r="B161" s="19" t="str">
        <x:v>2035-12-10_6</x:v>
      </x:c>
      <x:c r="C161" s="19" t="str">
        <x:v>FRAME_GUARD</x:v>
      </x:c>
      <x:c r="D161" s="21" t="n">
        <x:v>2</x:v>
      </x:c>
      <x:c r="E161" s="21" t="n">
        <x:v>2017</x:v>
      </x:c>
      <x:c r="F161" s="21" t="n">
        <x:v>1</x:v>
      </x:c>
      <x:c r="G161" s="21" t="n">
        <x:v>1</x:v>
      </x:c>
      <x:c r="H161" s="22" t="n">
        <x:v>2344239.1293945312</x:v>
      </x:c>
      <x:c r="I161" s="23" t="n">
        <x:v>-0.0003133952863392242</x:v>
      </x:c>
      <x:c r="J161" s="24" t="n">
        <x:v>4351</x:v>
      </x:c>
      <x:c r="K161" s="25" t="n">
        <x:v>126.82305099989026</x:v>
      </x:c>
      <x:c r="L161" s="25" t="n">
        <x:v>24.745070149801904</x:v>
      </x:c>
      <x:c r="M161" s="25" t="n">
        <x:v>95.56656324996584</x:v>
      </x:c>
      <x:c r="N161" s="25" t="n">
        <x:v>1.3987835497646302</x:v>
      </x:c>
      <x:c r="O161" s="25" t="n">
        <x:v>5.112634050357883</x:v>
      </x:c>
      <x:c r="P161" s="25" t="n">
        <x:v>0.06838829000116646</x:v>
      </x:c>
      <x:c r="Q161" s="25" t="n">
        <x:v>1.620574377997686</x:v>
      </x:c>
      <x:c r="R161" s="25" t="n">
        <x:v>3.9821824474991443</x:v>
      </x:c>
      <x:c r="S161" s="25" t="n">
        <x:v>4.091527449498026</x:v>
      </x:c>
      <x:c r="T161" s="25" t="n">
        <x:v>124.63269019980362</x:v>
      </x:c>
      <x:c r="U161" s="25" t="n">
        <x:v>129.0134117999769</x:v>
      </x:c>
      <x:c r="V161" s="25" t="n">
        <x:v>3.0976379499729054</x:v>
      </x:c>
      <x:c r="W161" s="19" t="str">
        <x:v>FRAME_GUARD</x:v>
      </x:c>
      <x:c r="X161" s="26" t="n">
        <x:f>IF(AND(J161&gt;0,E161=E161),1-J161/J161,"")</x:f>
        <x:v>0</x:v>
      </x:c>
      <x:c r="Y161" s="26" t="n">
        <x:f>IF(AND(K161&gt;0,E161=E161),1-K161/K161,"")</x:f>
        <x:v>0</x:v>
      </x:c>
      <x:c r="Z161" s="26" t="n">
        <x:f>IF(AND(ISNUMBER(P161),P161&gt;0,E161=E161),1-P161/P161,"")</x:f>
        <x:v>0</x:v>
      </x:c>
      <x:c r="AA161" s="26" t="n">
        <x:f>IF(AND(ISNUMBER(R161),ISNUMBER(R161),R161&gt;0,E161=E161),1-R161/R161,"")</x:f>
        <x:v>0</x:v>
      </x:c>
      <x:c r="AB161" s="26" t="n">
        <x:v>0.02442488116750626</x:v>
      </x:c>
      <x:c r="AC161" s="19" t="str">
        <x:v>D:/Codex/GRL研究/outputs/grid88/per_date.csv</x:v>
      </x:c>
    </x:row>
    <x:row r="162" ht="36" customHeight="1">
      <x:c r="A162" s="19" t="str">
        <x:v>GRID88</x:v>
      </x:c>
      <x:c r="B162" s="19" t="str">
        <x:v>2035-12-17_1</x:v>
      </x:c>
      <x:c r="C162" s="19" t="str">
        <x:v>FRAME_GUARD</x:v>
      </x:c>
      <x:c r="D162" s="21" t="n">
        <x:v>2</x:v>
      </x:c>
      <x:c r="E162" s="21" t="n">
        <x:v>2017</x:v>
      </x:c>
      <x:c r="F162" s="21" t="n">
        <x:v>1</x:v>
      </x:c>
      <x:c r="G162" s="21" t="n">
        <x:v>1</x:v>
      </x:c>
      <x:c r="H162" s="22" t="n">
        <x:v>2550716.117248535</x:v>
      </x:c>
      <x:c r="I162" s="23" t="n">
        <x:v>-0.001088907199841782</x:v>
      </x:c>
      <x:c r="J162" s="24" t="n">
        <x:v>4286</x:v>
      </x:c>
      <x:c r="K162" s="25" t="n">
        <x:v>123.28652310005782</x:v>
      </x:c>
      <x:c r="L162" s="25" t="n">
        <x:v>24.356992700286355</x:v>
      </x:c>
      <x:c r="M162" s="25" t="n">
        <x:v>92.82230965005874</x:v>
      </x:c>
      <x:c r="N162" s="25" t="n">
        <x:v>1.253647749992524</x:v>
      </x:c>
      <x:c r="O162" s="25" t="n">
        <x:v>4.8535729997202</x:v>
      </x:c>
      <x:c r="P162" s="25" t="n">
        <x:v>0.049729170001228215</x:v>
      </x:c>
      <x:c r="Q162" s="25" t="n">
        <x:v>1.8208026200007477</x:v>
      </x:c>
      <x:c r="R162" s="25" t="n">
        <x:v>3.8922771900011863</x:v>
      </x:c>
      <x:c r="S162" s="25" t="n">
        <x:v>3.923943077997974</x:v>
      </x:c>
      <x:c r="T162" s="25" t="n">
        <x:v>122.3567380000386</x:v>
      </x:c>
      <x:c r="U162" s="25" t="n">
        <x:v>124.21630820007704</x:v>
      </x:c>
      <x:c r="V162" s="25" t="n">
        <x:v>1.314914698539601</x:v>
      </x:c>
      <x:c r="W162" s="19" t="str">
        <x:v>FRAME_GUARD</x:v>
      </x:c>
      <x:c r="X162" s="26" t="n">
        <x:f>IF(AND(J162&gt;0,E162=E162),1-J162/J162,"")</x:f>
        <x:v>0</x:v>
      </x:c>
      <x:c r="Y162" s="26" t="n">
        <x:f>IF(AND(K162&gt;0,E162=E162),1-K162/K162,"")</x:f>
        <x:v>0</x:v>
      </x:c>
      <x:c r="Z162" s="26" t="n">
        <x:f>IF(AND(ISNUMBER(P162),P162&gt;0,E162=E162),1-P162/P162,"")</x:f>
        <x:v>0</x:v>
      </x:c>
      <x:c r="AA162" s="26" t="n">
        <x:f>IF(AND(ISNUMBER(R162),ISNUMBER(R162),R162&gt;0,E162=E162),1-R162/R162,"")</x:f>
        <x:v>0</x:v>
      </x:c>
      <x:c r="AB162" s="26" t="n">
        <x:v>0.010665518545546397</x:v>
      </x:c>
      <x:c r="AC162" s="19" t="str">
        <x:v>D:/Codex/GRL研究/outputs/grid88/per_date.csv</x:v>
      </x:c>
    </x:row>
    <x:row r="163" ht="36" customHeight="1">
      <x:c r="A163" s="19" t="str">
        <x:v>GRID89 META费用</x:v>
      </x:c>
      <x:c r="B163" s="19" t="str">
        <x:v>2036-01-07_9</x:v>
      </x:c>
      <x:c r="C163" s="19" t="str">
        <x:v>FRAME_GUARD</x:v>
      </x:c>
      <x:c r="D163" s="21" t="n">
        <x:v>1</x:v>
      </x:c>
      <x:c r="E163" s="21" t="n">
        <x:v>2017</x:v>
      </x:c>
      <x:c r="F163" s="21" t="n">
        <x:v>1</x:v>
      </x:c>
      <x:c r="G163" s="21" t="n">
        <x:v>1</x:v>
      </x:c>
      <x:c r="H163" s="22" t="n">
        <x:v>2412707.07421875</x:v>
      </x:c>
      <x:c r="I163" s="23" t="n">
        <x:v>0.0008663102138171119</x:v>
      </x:c>
      <x:c r="J163" s="24" t="n">
        <x:v>1432</x:v>
      </x:c>
      <x:c r="K163" s="25" t="n">
        <x:v>87.80916110011822</x:v>
      </x:c>
      <x:c r="L163" s="25" t="n">
        <x:v>15.799474800271128</x:v>
      </x:c>
      <x:c r="M163" s="25" t="n">
        <x:v>66.4744696999951</x:v>
      </x:c>
      <x:c r="N163" s="25" t="n">
        <x:v>0.5735385000261886</x:v>
      </x:c>
      <x:c r="O163" s="25" t="n">
        <x:v>4.961678099825804</x:v>
      </x:c>
      <x:c r="P163" s="25" t="n">
        <x:v>0.03886927999919857</x:v>
      </x:c>
      <x:c r="Q163" s="25" t="n">
        <x:v>1.0346285480020605</x:v>
      </x:c>
      <x:c r="R163" s="25" t="n">
        <x:v>3.293046920000051</x:v>
      </x:c>
      <x:c r="S163" s="25" t="n">
        <x:v>3.5686973040006706</x:v>
      </x:c>
      <x:c r="T163" s="25" t="n">
        <x:v>87.80916110011822</x:v>
      </x:c>
      <x:c r="U163" s="25" t="n">
        <x:v>87.80916110011822</x:v>
      </x:c>
      <x:c r="V163" s="25"/>
      <x:c r="W163" s="19" t="str">
        <x:v>FRAME_GUARD</x:v>
      </x:c>
      <x:c r="X163" s="26" t="n">
        <x:f>IF(AND(J163&gt;0,E163=E163),1-J163/J163,"")</x:f>
        <x:v>0</x:v>
      </x:c>
      <x:c r="Y163" s="26" t="n">
        <x:f>IF(AND(K163&gt;0,E163=E163),1-K163/K163,"")</x:f>
        <x:v>0</x:v>
      </x:c>
      <x:c r="Z163" s="26" t="n">
        <x:f>IF(AND(ISNUMBER(P163),P163&gt;0,E163=E163),1-P163/P163,"")</x:f>
        <x:v>0</x:v>
      </x:c>
      <x:c r="AA163" s="26" t="n">
        <x:f>IF(AND(ISNUMBER(R163),ISNUMBER(R163),R163&gt;0,E163=E163),1-R163/R163,"")</x:f>
        <x:v>0</x:v>
      </x:c>
      <x:c r="AB163" s="26"/>
      <x:c r="AC163" s="19" t="str">
        <x:v>D:/Codex/GRL研究/outputs/grid89_review/per_date.csv</x:v>
      </x:c>
    </x:row>
    <x:row r="164" ht="36" customHeight="1">
      <x:c r="A164" s="19" t="str">
        <x:v>GRID89 META费用</x:v>
      </x:c>
      <x:c r="B164" s="19" t="str">
        <x:v>2036-03-03_9</x:v>
      </x:c>
      <x:c r="C164" s="19" t="str">
        <x:v>FRAME_GUARD</x:v>
      </x:c>
      <x:c r="D164" s="21" t="n">
        <x:v>1</x:v>
      </x:c>
      <x:c r="E164" s="21" t="n">
        <x:v>1720</x:v>
      </x:c>
      <x:c r="F164" s="21" t="n">
        <x:v>1</x:v>
      </x:c>
      <x:c r="G164" s="21" t="n">
        <x:v>0</x:v>
      </x:c>
      <x:c r="H164" s="22" t="n">
        <x:v>2300386.2553100586</x:v>
      </x:c>
      <x:c r="I164" s="23"/>
      <x:c r="J164" s="24" t="n">
        <x:v>5109</x:v>
      </x:c>
      <x:c r="K164" s="25" t="n">
        <x:v>72.89253380000082</x:v>
      </x:c>
      <x:c r="L164" s="25" t="n">
        <x:v>24.720458699834126</x:v>
      </x:c>
      <x:c r="M164" s="25" t="n">
        <x:v>42.48914529997637</x:v>
      </x:c>
      <x:c r="N164" s="25" t="n">
        <x:v>1.0581965000965283</x:v>
      </x:c>
      <x:c r="O164" s="25" t="n">
        <x:v>4.624733300093794</x:v>
      </x:c>
      <x:c r="P164" s="25" t="n">
        <x:v>0.03836042499769973</x:v>
      </x:c>
      <x:c r="Q164" s="25" t="n">
        <x:v>0.981633421000004</x:v>
      </x:c>
      <x:c r="R164" s="25" t="n">
        <x:v>4.1269509499994435</x:v>
      </x:c>
      <x:c r="S164" s="25" t="n">
        <x:v>4.7823075499999685</x:v>
      </x:c>
      <x:c r="T164" s="25" t="n">
        <x:v>72.89253380000082</x:v>
      </x:c>
      <x:c r="U164" s="25" t="n">
        <x:v>72.89253380000082</x:v>
      </x:c>
      <x:c r="V164" s="25"/>
      <x:c r="W164" s="19" t="str">
        <x:v>FRAME_GUARD</x:v>
      </x:c>
      <x:c r="X164" s="26" t="n">
        <x:f>IF(AND(J164&gt;0,E164=E164),1-J164/J164,"")</x:f>
        <x:v>0</x:v>
      </x:c>
      <x:c r="Y164" s="26" t="n">
        <x:f>IF(AND(K164&gt;0,E164=E164),1-K164/K164,"")</x:f>
        <x:v>0</x:v>
      </x:c>
      <x:c r="Z164" s="26" t="n">
        <x:f>IF(AND(ISNUMBER(P164),P164&gt;0,E164=E164),1-P164/P164,"")</x:f>
        <x:v>0</x:v>
      </x:c>
      <x:c r="AA164" s="26" t="n">
        <x:f>IF(AND(ISNUMBER(R164),ISNUMBER(R164),R164&gt;0,E164=E164),1-R164/R164,"")</x:f>
        <x:v>0</x:v>
      </x:c>
      <x:c r="AB164" s="26"/>
      <x:c r="AC164" s="19" t="str">
        <x:v>D:/Codex/GRL研究/outputs/grid89_review/per_date.csv</x:v>
      </x:c>
    </x:row>
    <x:row r="165" ht="36" customHeight="1">
      <x:c r="A165" s="19" t="str">
        <x:v>GRID89 META费用</x:v>
      </x:c>
      <x:c r="B165" s="19" t="str">
        <x:v>2036-05-05_9</x:v>
      </x:c>
      <x:c r="C165" s="19" t="str">
        <x:v>FRAME_GUARD</x:v>
      </x:c>
      <x:c r="D165" s="21" t="n">
        <x:v>1</x:v>
      </x:c>
      <x:c r="E165" s="21" t="n">
        <x:v>2017</x:v>
      </x:c>
      <x:c r="F165" s="21" t="n">
        <x:v>1</x:v>
      </x:c>
      <x:c r="G165" s="21" t="n">
        <x:v>1</x:v>
      </x:c>
      <x:c r="H165" s="22" t="n">
        <x:v>1732291.8922729492</x:v>
      </x:c>
      <x:c r="I165" s="23" t="n">
        <x:v>-0.02651757674074451</x:v>
      </x:c>
      <x:c r="J165" s="24" t="n">
        <x:v>454</x:v>
      </x:c>
      <x:c r="K165" s="25" t="n">
        <x:v>38.83383709994814</x:v>
      </x:c>
      <x:c r="L165" s="25" t="n">
        <x:v>8.458560999959445</x:v>
      </x:c>
      <x:c r="M165" s="25" t="n">
        <x:v>25.851268899994466</x:v>
      </x:c>
      <x:c r="N165" s="25" t="n">
        <x:v>0.11768429992298479</x:v>
      </x:c>
      <x:c r="O165" s="25" t="n">
        <x:v>4.406322900071245</x:v>
      </x:c>
      <x:c r="P165" s="25" t="n">
        <x:v>0.03087221999958274</x:v>
      </x:c>
      <x:c r="Q165" s="25" t="n">
        <x:v>0.6103133040020265</x:v>
      </x:c>
      <x:c r="R165" s="25" t="n">
        <x:v>4.209150900001987</x:v>
      </x:c>
      <x:c r="S165" s="25" t="n">
        <x:v>4.209150900001987</x:v>
      </x:c>
      <x:c r="T165" s="25" t="n">
        <x:v>38.83383709994814</x:v>
      </x:c>
      <x:c r="U165" s="25" t="n">
        <x:v>38.83383709994814</x:v>
      </x:c>
      <x:c r="V165" s="25"/>
      <x:c r="W165" s="19" t="str">
        <x:v>FRAME_GUARD</x:v>
      </x:c>
      <x:c r="X165" s="26" t="n">
        <x:f>IF(AND(J165&gt;0,E165=E165),1-J165/J165,"")</x:f>
        <x:v>0</x:v>
      </x:c>
      <x:c r="Y165" s="26" t="n">
        <x:f>IF(AND(K165&gt;0,E165=E165),1-K165/K165,"")</x:f>
        <x:v>0</x:v>
      </x:c>
      <x:c r="Z165" s="26" t="n">
        <x:f>IF(AND(ISNUMBER(P165),P165&gt;0,E165=E165),1-P165/P165,"")</x:f>
        <x:v>0</x:v>
      </x:c>
      <x:c r="AA165" s="26" t="n">
        <x:f>IF(AND(ISNUMBER(R165),ISNUMBER(R165),R165&gt;0,E165=E165),1-R165/R165,"")</x:f>
        <x:v>0</x:v>
      </x:c>
      <x:c r="AB165" s="26"/>
      <x:c r="AC165" s="19" t="str">
        <x:v>D:/Codex/GRL研究/outputs/grid89_review/per_date.csv</x:v>
      </x:c>
    </x:row>
    <x:row r="166" ht="36" customHeight="1">
      <x:c r="A166" s="19" t="str">
        <x:v>GRID89 META费用</x:v>
      </x:c>
      <x:c r="B166" s="19" t="str">
        <x:v>2036-07-07_9</x:v>
      </x:c>
      <x:c r="C166" s="19" t="str">
        <x:v>FRAME_GUARD</x:v>
      </x:c>
      <x:c r="D166" s="21" t="n">
        <x:v>1</x:v>
      </x:c>
      <x:c r="E166" s="21" t="n">
        <x:v>2017</x:v>
      </x:c>
      <x:c r="F166" s="21" t="n">
        <x:v>1</x:v>
      </x:c>
      <x:c r="G166" s="21" t="n">
        <x:v>1</x:v>
      </x:c>
      <x:c r="H166" s="22" t="n">
        <x:v>1391348.7835388184</x:v>
      </x:c>
      <x:c r="I166" s="23" t="n">
        <x:v>-0.010880517894231834</x:v>
      </x:c>
      <x:c r="J166" s="24" t="n">
        <x:v>3470</x:v>
      </x:c>
      <x:c r="K166" s="25" t="n">
        <x:v>47.93102889996226</x:v>
      </x:c>
      <x:c r="L166" s="25" t="n">
        <x:v>16.855576800153358</x:v>
      </x:c>
      <x:c r="M166" s="25" t="n">
        <x:v>25.397034800007532</x:v>
      </x:c>
      <x:c r="N166" s="25" t="n">
        <x:v>1.4448054000313277</x:v>
      </x:c>
      <x:c r="O166" s="25" t="n">
        <x:v>4.23361189977004</x:v>
      </x:c>
      <x:c r="P166" s="25" t="n">
        <x:v>0.036090520001744154</x:v>
      </x:c>
      <x:c r="Q166" s="25" t="n">
        <x:v>0.7611036480002802</x:v>
      </x:c>
      <x:c r="R166" s="25" t="n">
        <x:v>3.4091674899998883</x:v>
      </x:c>
      <x:c r="S166" s="25" t="n">
        <x:v>4.1643336579994505</x:v>
      </x:c>
      <x:c r="T166" s="25" t="n">
        <x:v>47.93102889996226</x:v>
      </x:c>
      <x:c r="U166" s="25" t="n">
        <x:v>47.93102889996226</x:v>
      </x:c>
      <x:c r="V166" s="25"/>
      <x:c r="W166" s="19" t="str">
        <x:v>FRAME_GUARD</x:v>
      </x:c>
      <x:c r="X166" s="26" t="n">
        <x:f>IF(AND(J166&gt;0,E166=E166),1-J166/J166,"")</x:f>
        <x:v>0</x:v>
      </x:c>
      <x:c r="Y166" s="26" t="n">
        <x:f>IF(AND(K166&gt;0,E166=E166),1-K166/K166,"")</x:f>
        <x:v>0</x:v>
      </x:c>
      <x:c r="Z166" s="26" t="n">
        <x:f>IF(AND(ISNUMBER(P166),P166&gt;0,E166=E166),1-P166/P166,"")</x:f>
        <x:v>0</x:v>
      </x:c>
      <x:c r="AA166" s="26" t="n">
        <x:f>IF(AND(ISNUMBER(R166),ISNUMBER(R166),R166&gt;0,E166=E166),1-R166/R166,"")</x:f>
        <x:v>0</x:v>
      </x:c>
      <x:c r="AB166" s="26"/>
      <x:c r="AC166" s="19" t="str">
        <x:v>D:/Codex/GRL研究/outputs/grid89_review/per_date.csv</x:v>
      </x:c>
    </x:row>
    <x:row r="167" ht="36" customHeight="1">
      <x:c r="A167" s="19" t="str">
        <x:v>GRID89 META费用</x:v>
      </x:c>
      <x:c r="B167" s="19" t="str">
        <x:v>2036-09-01_9</x:v>
      </x:c>
      <x:c r="C167" s="19" t="str">
        <x:v>FRAME_GUARD</x:v>
      </x:c>
      <x:c r="D167" s="21" t="n">
        <x:v>1</x:v>
      </x:c>
      <x:c r="E167" s="21" t="n">
        <x:v>2017</x:v>
      </x:c>
      <x:c r="F167" s="21" t="n">
        <x:v>1</x:v>
      </x:c>
      <x:c r="G167" s="21" t="n">
        <x:v>1</x:v>
      </x:c>
      <x:c r="H167" s="22" t="n">
        <x:v>1392633.7291259766</x:v>
      </x:c>
      <x:c r="I167" s="23" t="n">
        <x:v>-0.00023424970504537512</x:v>
      </x:c>
      <x:c r="J167" s="24" t="n">
        <x:v>1061</x:v>
      </x:c>
      <x:c r="K167" s="25" t="n">
        <x:v>42.156712099942524</x:v>
      </x:c>
      <x:c r="L167" s="25" t="n">
        <x:v>10.466241099959007</x:v>
      </x:c>
      <x:c r="M167" s="25" t="n">
        <x:v>26.603044399987994</x:v>
      </x:c>
      <x:c r="N167" s="25" t="n">
        <x:v>0.47796990002825623</x:v>
      </x:c>
      <x:c r="O167" s="25" t="n">
        <x:v>4.609456699967268</x:v>
      </x:c>
      <x:c r="P167" s="25" t="n">
        <x:v>0.031336560000636365</x:v>
      </x:c>
      <x:c r="Q167" s="25" t="n">
        <x:v>0.7256250919989543</x:v>
      </x:c>
      <x:c r="R167" s="25" t="n">
        <x:v>1.247465544998704</x:v>
      </x:c>
      <x:c r="S167" s="25" t="n">
        <x:v>1.2697905489985715</x:v>
      </x:c>
      <x:c r="T167" s="25" t="n">
        <x:v>42.156712099942524</x:v>
      </x:c>
      <x:c r="U167" s="25" t="n">
        <x:v>42.156712099942524</x:v>
      </x:c>
      <x:c r="V167" s="25"/>
      <x:c r="W167" s="19" t="str">
        <x:v>FRAME_GUARD</x:v>
      </x:c>
      <x:c r="X167" s="26" t="n">
        <x:f>IF(AND(J167&gt;0,E167=E167),1-J167/J167,"")</x:f>
        <x:v>0</x:v>
      </x:c>
      <x:c r="Y167" s="26" t="n">
        <x:f>IF(AND(K167&gt;0,E167=E167),1-K167/K167,"")</x:f>
        <x:v>0</x:v>
      </x:c>
      <x:c r="Z167" s="26" t="n">
        <x:f>IF(AND(ISNUMBER(P167),P167&gt;0,E167=E167),1-P167/P167,"")</x:f>
        <x:v>0</x:v>
      </x:c>
      <x:c r="AA167" s="26" t="n">
        <x:f>IF(AND(ISNUMBER(R167),ISNUMBER(R167),R167&gt;0,E167=E167),1-R167/R167,"")</x:f>
        <x:v>0</x:v>
      </x:c>
      <x:c r="AB167" s="26"/>
      <x:c r="AC167" s="19" t="str">
        <x:v>D:/Codex/GRL研究/outputs/grid89_review/per_date.csv</x:v>
      </x:c>
    </x:row>
    <x:row r="168" ht="36" customHeight="1">
      <x:c r="A168" s="19" t="str">
        <x:v>GRID89 META费用</x:v>
      </x:c>
      <x:c r="B168" s="19" t="str">
        <x:v>2036-11-03_9</x:v>
      </x:c>
      <x:c r="C168" s="19" t="str">
        <x:v>FRAME_GUARD</x:v>
      </x:c>
      <x:c r="D168" s="21" t="n">
        <x:v>1</x:v>
      </x:c>
      <x:c r="E168" s="21" t="n">
        <x:v>519</x:v>
      </x:c>
      <x:c r="F168" s="21" t="n">
        <x:v>1</x:v>
      </x:c>
      <x:c r="G168" s="21" t="n">
        <x:v>0</x:v>
      </x:c>
      <x:c r="H168" s="22" t="n">
        <x:v>361332.79052734375</x:v>
      </x:c>
      <x:c r="I168" s="23"/>
      <x:c r="J168" s="24" t="n">
        <x:v>0</x:v>
      </x:c>
      <x:c r="K168" s="25" t="n">
        <x:v>15.565677899990987</x:v>
      </x:c>
      <x:c r="L168" s="25" t="n">
        <x:v>1.9640335000294726</x:v>
      </x:c>
      <x:c r="M168" s="25" t="n">
        <x:v>12.662176200006797</x:v>
      </x:c>
      <x:c r="N168" s="25" t="n">
        <x:v>0</x:v>
      </x:c>
      <x:c r="O168" s="25" t="n">
        <x:v>0.9394681999547174</x:v>
      </x:c>
      <x:c r="P168" s="25" t="n">
        <x:v>0.030008670000097444</x:v>
      </x:c>
      <x:c r="Q168" s="25" t="n">
        <x:v>0.838397998001243</x:v>
      </x:c>
      <x:c r="R168" s="25"/>
      <x:c r="S168" s="25"/>
      <x:c r="T168" s="25" t="n">
        <x:v>15.565677899990987</x:v>
      </x:c>
      <x:c r="U168" s="25" t="n">
        <x:v>15.565677899990987</x:v>
      </x:c>
      <x:c r="V168" s="25"/>
      <x:c r="W168" s="19" t="str">
        <x:v>FRAME_GUARD</x:v>
      </x:c>
      <x:c r="X168" s="26" t="str">
        <x:f>IF(AND(J168&gt;0,E168=E168),1-J168/J168,"")</x:f>
      </x:c>
      <x:c r="Y168" s="26" t="n">
        <x:f>IF(AND(K168&gt;0,E168=E168),1-K168/K168,"")</x:f>
        <x:v>0</x:v>
      </x:c>
      <x:c r="Z168" s="26" t="n">
        <x:f>IF(AND(ISNUMBER(P168),P168&gt;0,E168=E168),1-P168/P168,"")</x:f>
        <x:v>0</x:v>
      </x:c>
      <x:c r="AA168" s="26" t="str">
        <x:f>IF(AND(ISNUMBER(R168),ISNUMBER(R168),R168&gt;0,E168=E168),1-R168/R168,"")</x:f>
      </x:c>
      <x:c r="AB168" s="26"/>
      <x:c r="AC168" s="19" t="str">
        <x:v>D:/Codex/GRL研究/outputs/grid89_review/per_date.csv</x:v>
      </x:c>
    </x:row>
    <x:row r="169" ht="36" customHeight="1">
      <x:c r="A169" s="19" t="str">
        <x:v>GRID89 META费用</x:v>
      </x:c>
      <x:c r="B169" s="19" t="str">
        <x:v>2036-01-07_9</x:v>
      </x:c>
      <x:c r="C169" s="19" t="str">
        <x:v>META_COST0_SEED0</x:v>
      </x:c>
      <x:c r="D169" s="21" t="n">
        <x:v>1</x:v>
      </x:c>
      <x:c r="E169" s="21" t="n">
        <x:v>2017</x:v>
      </x:c>
      <x:c r="F169" s="21" t="n">
        <x:v>1</x:v>
      </x:c>
      <x:c r="G169" s="21" t="n">
        <x:v>1</x:v>
      </x:c>
      <x:c r="H169" s="22" t="n">
        <x:v>2412707.07421875</x:v>
      </x:c>
      <x:c r="I169" s="23" t="n">
        <x:v>0.0008663102138171119</x:v>
      </x:c>
      <x:c r="J169" s="24" t="n">
        <x:v>2624</x:v>
      </x:c>
      <x:c r="K169" s="25" t="n">
        <x:v>90.37438570004451</x:v>
      </x:c>
      <x:c r="L169" s="25" t="n">
        <x:v>18.876739699870086</x:v>
      </x:c>
      <x:c r="M169" s="25" t="n">
        <x:v>65.88030470003287</x:v>
      </x:c>
      <x:c r="N169" s="25" t="n">
        <x:v>0.6449992999587266</x:v>
      </x:c>
      <x:c r="O169" s="25" t="n">
        <x:v>4.9723420001828345</x:v>
      </x:c>
      <x:c r="P169" s="25" t="n">
        <x:v>0.036510079998697584</x:v>
      </x:c>
      <x:c r="Q169" s="25" t="n">
        <x:v>0.8778646800003479</x:v>
      </x:c>
      <x:c r="R169" s="25" t="n">
        <x:v>4.767230140000174</x:v>
      </x:c>
      <x:c r="S169" s="25" t="n">
        <x:v>5.004189068000123</x:v>
      </x:c>
      <x:c r="T169" s="25" t="n">
        <x:v>90.37438570004451</x:v>
      </x:c>
      <x:c r="U169" s="25" t="n">
        <x:v>90.37438570004451</x:v>
      </x:c>
      <x:c r="V169" s="25"/>
      <x:c r="W169" s="19" t="str">
        <x:v>FRAME_GUARD</x:v>
      </x:c>
      <x:c r="X169" s="26" t="n">
        <x:f>IF(AND(J163&gt;0,E169=E163),1-J169/J163,"")</x:f>
        <x:v>-0.8324022346368716</x:v>
      </x:c>
      <x:c r="Y169" s="26" t="n">
        <x:f>IF(AND(K163&gt;0,E169=E163),1-K169/K163,"")</x:f>
        <x:v>-0.02921363292608481</x:v>
      </x:c>
      <x:c r="Z169" s="26" t="n">
        <x:f>IF(AND(ISNUMBER(P163),P163&gt;0,E169=E163),1-P169/P163,"")</x:f>
        <x:v>0.06069574740128014</x:v>
      </x:c>
      <x:c r="AA169" s="26" t="n">
        <x:f>IF(AND(ISNUMBER(R169),ISNUMBER(R163),R163&gt;0,E169=E163),1-R169/R163,"")</x:f>
        <x:v>-0.4476654161976228</x:v>
      </x:c>
      <x:c r="AB169" s="26"/>
      <x:c r="AC169" s="19" t="str">
        <x:v>D:/Codex/GRL研究/outputs/grid89_review/per_date.csv</x:v>
      </x:c>
    </x:row>
    <x:row r="170" ht="36" customHeight="1">
      <x:c r="A170" s="19" t="str">
        <x:v>GRID89 META费用</x:v>
      </x:c>
      <x:c r="B170" s="19" t="str">
        <x:v>2036-03-03_9</x:v>
      </x:c>
      <x:c r="C170" s="19" t="str">
        <x:v>META_COST0_SEED0</x:v>
      </x:c>
      <x:c r="D170" s="21" t="n">
        <x:v>1</x:v>
      </x:c>
      <x:c r="E170" s="21" t="n">
        <x:v>1720</x:v>
      </x:c>
      <x:c r="F170" s="21" t="n">
        <x:v>1</x:v>
      </x:c>
      <x:c r="G170" s="21" t="n">
        <x:v>0</x:v>
      </x:c>
      <x:c r="H170" s="22" t="n">
        <x:v>2292538.4912719727</x:v>
      </x:c>
      <x:c r="I170" s="23"/>
      <x:c r="J170" s="24" t="n">
        <x:v>5964</x:v>
      </x:c>
      <x:c r="K170" s="25" t="n">
        <x:v>74.65139669999917</x:v>
      </x:c>
      <x:c r="L170" s="25" t="n">
        <x:v>27.44970410021051</x:v>
      </x:c>
      <x:c r="M170" s="25" t="n">
        <x:v>41.01119799999651</x:v>
      </x:c>
      <x:c r="N170" s="25" t="n">
        <x:v>1.2174812999655842</x:v>
      </x:c>
      <x:c r="O170" s="25" t="n">
        <x:v>4.973013299826562</x:v>
      </x:c>
      <x:c r="P170" s="25" t="n">
        <x:v>0.038059364999935494</x:v>
      </x:c>
      <x:c r="Q170" s="25" t="n">
        <x:v>1.1696497739989338</x:v>
      </x:c>
      <x:c r="R170" s="25" t="n">
        <x:v>3.2073207900013583</x:v>
      </x:c>
      <x:c r="S170" s="25" t="n">
        <x:v>3.284448558003023</x:v>
      </x:c>
      <x:c r="T170" s="25" t="n">
        <x:v>74.65139669999917</x:v>
      </x:c>
      <x:c r="U170" s="25" t="n">
        <x:v>74.65139669999917</x:v>
      </x:c>
      <x:c r="V170" s="25"/>
      <x:c r="W170" s="19" t="str">
        <x:v>FRAME_GUARD</x:v>
      </x:c>
      <x:c r="X170" s="26" t="n">
        <x:f>IF(AND(J164&gt;0,E170=E164),1-J170/J164,"")</x:f>
        <x:v>-0.16735173223722843</x:v>
      </x:c>
      <x:c r="Y170" s="26" t="n">
        <x:f>IF(AND(K164&gt;0,E170=E164),1-K170/K164,"")</x:f>
        <x:v>-0.024129534374867978</x:v>
      </x:c>
      <x:c r="Z170" s="26" t="n">
        <x:f>IF(AND(ISNUMBER(P164),P164&gt;0,E170=E164),1-P170/P164,"")</x:f>
        <x:v>0.00784819244787538</x:v>
      </x:c>
      <x:c r="AA170" s="26" t="n">
        <x:f>IF(AND(ISNUMBER(R170),ISNUMBER(R164),R164&gt;0,E170=E164),1-R170/R164,"")</x:f>
        <x:v>0.22283525322689124</x:v>
      </x:c>
      <x:c r="AB170" s="26"/>
      <x:c r="AC170" s="19" t="str">
        <x:v>D:/Codex/GRL研究/outputs/grid89_review/per_date.csv</x:v>
      </x:c>
    </x:row>
    <x:row r="171" ht="36" customHeight="1">
      <x:c r="A171" s="19" t="str">
        <x:v>GRID89 META费用</x:v>
      </x:c>
      <x:c r="B171" s="19" t="str">
        <x:v>2036-05-05_9</x:v>
      </x:c>
      <x:c r="C171" s="19" t="str">
        <x:v>META_COST0_SEED0</x:v>
      </x:c>
      <x:c r="D171" s="21" t="n">
        <x:v>1</x:v>
      </x:c>
      <x:c r="E171" s="21" t="n">
        <x:v>2017</x:v>
      </x:c>
      <x:c r="F171" s="21" t="n">
        <x:v>1</x:v>
      </x:c>
      <x:c r="G171" s="21" t="n">
        <x:v>1</x:v>
      </x:c>
      <x:c r="H171" s="22" t="n">
        <x:v>1779479.3731079102</x:v>
      </x:c>
      <x:c r="I171" s="23" t="n">
        <x:v>0</x:v>
      </x:c>
      <x:c r="J171" s="24" t="n">
        <x:v>1536</x:v>
      </x:c>
      <x:c r="K171" s="25" t="n">
        <x:v>48.74742629992761</x:v>
      </x:c>
      <x:c r="L171" s="25" t="n">
        <x:v>10.663992600173515</x:v>
      </x:c>
      <x:c r="M171" s="25" t="n">
        <x:v>33.126192999967316</x:v>
      </x:c>
      <x:c r="N171" s="25" t="n">
        <x:v>0.3836265999962052</x:v>
      </x:c>
      <x:c r="O171" s="25" t="n">
        <x:v>4.573614099790575</x:v>
      </x:c>
      <x:c r="P171" s="25" t="n">
        <x:v>0.03463365999778034</x:v>
      </x:c>
      <x:c r="Q171" s="25" t="n">
        <x:v>0.7245091600013253</x:v>
      </x:c>
      <x:c r="R171" s="25" t="n">
        <x:v>3.629479690001244</x:v>
      </x:c>
      <x:c r="S171" s="25" t="n">
        <x:v>3.776459058001128</x:v>
      </x:c>
      <x:c r="T171" s="25" t="n">
        <x:v>48.74742629992761</x:v>
      </x:c>
      <x:c r="U171" s="25" t="n">
        <x:v>48.74742629992761</x:v>
      </x:c>
      <x:c r="V171" s="25"/>
      <x:c r="W171" s="19" t="str">
        <x:v>FRAME_GUARD</x:v>
      </x:c>
      <x:c r="X171" s="26" t="n">
        <x:f>IF(AND(J165&gt;0,E171=E165),1-J171/J165,"")</x:f>
        <x:v>-2.383259911894273</x:v>
      </x:c>
      <x:c r="Y171" s="26" t="n">
        <x:f>IF(AND(K165&gt;0,E171=E165),1-K171/K165,"")</x:f>
        <x:v>-0.2552822471409273</x:v>
      </x:c>
      <x:c r="Z171" s="26" t="n">
        <x:f>IF(AND(ISNUMBER(P165),P165&gt;0,E171=E165),1-P171/P165,"")</x:f>
        <x:v>-0.12183898657914605</x:v>
      </x:c>
      <x:c r="AA171" s="26" t="n">
        <x:f>IF(AND(ISNUMBER(R171),ISNUMBER(R165),R165&gt;0,E171=E165),1-R171/R165,"")</x:f>
        <x:v>0.13771689914953378</x:v>
      </x:c>
      <x:c r="AB171" s="26"/>
      <x:c r="AC171" s="19" t="str">
        <x:v>D:/Codex/GRL研究/outputs/grid89_review/per_date.csv</x:v>
      </x:c>
    </x:row>
    <x:row r="172" ht="36" customHeight="1">
      <x:c r="A172" s="19" t="str">
        <x:v>GRID89 META费用</x:v>
      </x:c>
      <x:c r="B172" s="19" t="str">
        <x:v>2036-07-07_9</x:v>
      </x:c>
      <x:c r="C172" s="19" t="str">
        <x:v>META_COST0_SEED0</x:v>
      </x:c>
      <x:c r="D172" s="21" t="n">
        <x:v>1</x:v>
      </x:c>
      <x:c r="E172" s="21" t="n">
        <x:v>2017</x:v>
      </x:c>
      <x:c r="F172" s="21" t="n">
        <x:v>1</x:v>
      </x:c>
      <x:c r="G172" s="21" t="n">
        <x:v>1</x:v>
      </x:c>
      <x:c r="H172" s="22" t="n">
        <x:v>1411964.749206543</x:v>
      </x:c>
      <x:c r="I172" s="23" t="n">
        <x:v>0.0037755148170666164</x:v>
      </x:c>
      <x:c r="J172" s="24" t="n">
        <x:v>4685</x:v>
      </x:c>
      <x:c r="K172" s="25" t="n">
        <x:v>54.17583879992526</x:v>
      </x:c>
      <x:c r="L172" s="25" t="n">
        <x:v>21.4790925000234</x:v>
      </x:c>
      <x:c r="M172" s="25" t="n">
        <x:v>26.790875500024413</x:v>
      </x:c>
      <x:c r="N172" s="25" t="n">
        <x:v>1.231828400035738</x:v>
      </x:c>
      <x:c r="O172" s="25" t="n">
        <x:v>4.67404239984171</x:v>
      </x:c>
      <x:c r="P172" s="25" t="n">
        <x:v>0.033398399998259255</x:v>
      </x:c>
      <x:c r="Q172" s="25" t="n">
        <x:v>0.7409394600009546</x:v>
      </x:c>
      <x:c r="R172" s="25" t="n">
        <x:v>4.277062565001506</x:v>
      </x:c>
      <x:c r="S172" s="25" t="n">
        <x:v>4.4531105930015835</x:v>
      </x:c>
      <x:c r="T172" s="25" t="n">
        <x:v>54.17583879992526</x:v>
      </x:c>
      <x:c r="U172" s="25" t="n">
        <x:v>54.17583879992526</x:v>
      </x:c>
      <x:c r="V172" s="25"/>
      <x:c r="W172" s="19" t="str">
        <x:v>FRAME_GUARD</x:v>
      </x:c>
      <x:c r="X172" s="26" t="n">
        <x:f>IF(AND(J166&gt;0,E172=E166),1-J172/J166,"")</x:f>
        <x:v>-0.3501440922190202</x:v>
      </x:c>
      <x:c r="Y172" s="26" t="n">
        <x:f>IF(AND(K166&gt;0,E172=E166),1-K172/K166,"")</x:f>
        <x:v>-0.13028741596590088</x:v>
      </x:c>
      <x:c r="Z172" s="26" t="n">
        <x:f>IF(AND(ISNUMBER(P166),P166&gt;0,E172=E166),1-P172/P166,"")</x:f>
        <x:v>0.07459354986724487</x:v>
      </x:c>
      <x:c r="AA172" s="26" t="n">
        <x:f>IF(AND(ISNUMBER(R172),ISNUMBER(R166),R166&gt;0,E172=E166),1-R172/R166,"")</x:f>
        <x:v>-0.2545768365876462</x:v>
      </x:c>
      <x:c r="AB172" s="26"/>
      <x:c r="AC172" s="19" t="str">
        <x:v>D:/Codex/GRL研究/outputs/grid89_review/per_date.csv</x:v>
      </x:c>
    </x:row>
    <x:row r="173" ht="36" customHeight="1">
      <x:c r="A173" s="19" t="str">
        <x:v>GRID89 META费用</x:v>
      </x:c>
      <x:c r="B173" s="19" t="str">
        <x:v>2036-09-01_9</x:v>
      </x:c>
      <x:c r="C173" s="19" t="str">
        <x:v>META_COST0_SEED0</x:v>
      </x:c>
      <x:c r="D173" s="21" t="n">
        <x:v>1</x:v>
      </x:c>
      <x:c r="E173" s="21" t="n">
        <x:v>2017</x:v>
      </x:c>
      <x:c r="F173" s="21" t="n">
        <x:v>1</x:v>
      </x:c>
      <x:c r="G173" s="21" t="n">
        <x:v>1</x:v>
      </x:c>
      <x:c r="H173" s="22" t="n">
        <x:v>1392539.194595337</x:v>
      </x:c>
      <x:c r="I173" s="23" t="n">
        <x:v>-0.00030211563703952393</x:v>
      </x:c>
      <x:c r="J173" s="24" t="n">
        <x:v>1664</x:v>
      </x:c>
      <x:c r="K173" s="25" t="n">
        <x:v>42.96820979996846</x:v>
      </x:c>
      <x:c r="L173" s="25" t="n">
        <x:v>11.645675100004155</x:v>
      </x:c>
      <x:c r="M173" s="25" t="n">
        <x:v>26.148715100036497</x:v>
      </x:c>
      <x:c r="N173" s="25" t="n">
        <x:v>0.5131173999398015</x:v>
      </x:c>
      <x:c r="O173" s="25" t="n">
        <x:v>4.660702199988009</x:v>
      </x:c>
      <x:c r="P173" s="25" t="n">
        <x:v>0.031131960000493564</x:v>
      </x:c>
      <x:c r="Q173" s="25" t="n">
        <x:v>0.7276190600014524</x:v>
      </x:c>
      <x:c r="R173" s="25" t="n">
        <x:v>2.008912334999695</x:v>
      </x:c>
      <x:c r="S173" s="25" t="n">
        <x:v>2.07498374699986</x:v>
      </x:c>
      <x:c r="T173" s="25" t="n">
        <x:v>42.96820979996846</x:v>
      </x:c>
      <x:c r="U173" s="25" t="n">
        <x:v>42.96820979996846</x:v>
      </x:c>
      <x:c r="V173" s="25"/>
      <x:c r="W173" s="19" t="str">
        <x:v>FRAME_GUARD</x:v>
      </x:c>
      <x:c r="X173" s="26" t="n">
        <x:f>IF(AND(J167&gt;0,E173=E167),1-J173/J167,"")</x:f>
        <x:v>-0.5683317624882187</x:v>
      </x:c>
      <x:c r="Y173" s="26" t="n">
        <x:f>IF(AND(K167&gt;0,E173=E167),1-K173/K167,"")</x:f>
        <x:v>-0.019249549113367515</x:v>
      </x:c>
      <x:c r="Z173" s="26" t="n">
        <x:f>IF(AND(ISNUMBER(P167),P167&gt;0,E173=E167),1-P173/P167,"")</x:f>
        <x:v>0.0065291148785523445</x:v>
      </x:c>
      <x:c r="AA173" s="26" t="n">
        <x:f>IF(AND(ISNUMBER(R173),ISNUMBER(R167),R167&gt;0,E173=E167),1-R173/R167,"")</x:f>
        <x:v>-0.6103950470245512</x:v>
      </x:c>
      <x:c r="AB173" s="26"/>
      <x:c r="AC173" s="19" t="str">
        <x:v>D:/Codex/GRL研究/outputs/grid89_review/per_date.csv</x:v>
      </x:c>
    </x:row>
    <x:row r="174" ht="36" customHeight="1">
      <x:c r="A174" s="19" t="str">
        <x:v>GRID89 META费用</x:v>
      </x:c>
      <x:c r="B174" s="19" t="str">
        <x:v>2036-11-03_9</x:v>
      </x:c>
      <x:c r="C174" s="19" t="str">
        <x:v>META_COST0_SEED0</x:v>
      </x:c>
      <x:c r="D174" s="21" t="n">
        <x:v>1</x:v>
      </x:c>
      <x:c r="E174" s="21" t="n">
        <x:v>519</x:v>
      </x:c>
      <x:c r="F174" s="21" t="n">
        <x:v>1</x:v>
      </x:c>
      <x:c r="G174" s="21" t="n">
        <x:v>0</x:v>
      </x:c>
      <x:c r="H174" s="22" t="n">
        <x:v>361332.79052734375</x:v>
      </x:c>
      <x:c r="I174" s="23"/>
      <x:c r="J174" s="24" t="n">
        <x:v>0</x:v>
      </x:c>
      <x:c r="K174" s="25" t="n">
        <x:v>15.389259199953813</x:v>
      </x:c>
      <x:c r="L174" s="25" t="n">
        <x:v>1.9729333000323095</x:v>
      </x:c>
      <x:c r="M174" s="25" t="n">
        <x:v>12.478135900022608</x:v>
      </x:c>
      <x:c r="N174" s="25" t="n">
        <x:v>0</x:v>
      </x:c>
      <x:c r="O174" s="25" t="n">
        <x:v>0.9381899998988956</x:v>
      </x:c>
      <x:c r="P174" s="25" t="n">
        <x:v>0.02812238000115027</x:v>
      </x:c>
      <x:c r="Q174" s="25" t="n">
        <x:v>0.8371846180002518</x:v>
      </x:c>
      <x:c r="R174" s="25"/>
      <x:c r="S174" s="25"/>
      <x:c r="T174" s="25" t="n">
        <x:v>15.389259199953813</x:v>
      </x:c>
      <x:c r="U174" s="25" t="n">
        <x:v>15.389259199953813</x:v>
      </x:c>
      <x:c r="V174" s="25"/>
      <x:c r="W174" s="19" t="str">
        <x:v>FRAME_GUARD</x:v>
      </x:c>
      <x:c r="X174" s="26" t="str">
        <x:f>IF(AND(J168&gt;0,E174=E168),1-J174/J168,"")</x:f>
      </x:c>
      <x:c r="Y174" s="26" t="n">
        <x:f>IF(AND(K168&gt;0,E174=E168),1-K174/K168,"")</x:f>
        <x:v>0.011333826973078831</x:v>
      </x:c>
      <x:c r="Z174" s="26" t="n">
        <x:f>IF(AND(ISNUMBER(P168),P168&gt;0,E174=E168),1-P174/P168,"")</x:f>
        <x:v>0.06285816728768878</x:v>
      </x:c>
      <x:c r="AA174" s="26" t="str">
        <x:f>IF(AND(ISNUMBER(R174),ISNUMBER(R168),R168&gt;0,E174=E168),1-R174/R168,"")</x:f>
      </x:c>
      <x:c r="AB174" s="26"/>
      <x:c r="AC174" s="19" t="str">
        <x:v>D:/Codex/GRL研究/outputs/grid89_review/per_date.csv</x:v>
      </x:c>
    </x:row>
    <x:row r="175" ht="36" customHeight="1">
      <x:c r="A175" s="19" t="str">
        <x:v>GRID89 META费用</x:v>
      </x:c>
      <x:c r="B175" s="19" t="str">
        <x:v>2036-01-07_9</x:v>
      </x:c>
      <x:c r="C175" s="19" t="str">
        <x:v>META_COST0_SEED1</x:v>
      </x:c>
      <x:c r="D175" s="21" t="n">
        <x:v>1</x:v>
      </x:c>
      <x:c r="E175" s="21" t="n">
        <x:v>2017</x:v>
      </x:c>
      <x:c r="F175" s="21" t="n">
        <x:v>1</x:v>
      </x:c>
      <x:c r="G175" s="21" t="n">
        <x:v>1</x:v>
      </x:c>
      <x:c r="H175" s="22" t="n">
        <x:v>2412707.07421875</x:v>
      </x:c>
      <x:c r="I175" s="23" t="n">
        <x:v>0.0008663102138171119</x:v>
      </x:c>
      <x:c r="J175" s="24" t="n">
        <x:v>1432</x:v>
      </x:c>
      <x:c r="K175" s="25" t="n">
        <x:v>87.88746919986806</x:v>
      </x:c>
      <x:c r="L175" s="25" t="n">
        <x:v>15.981828100029816</x:v>
      </x:c>
      <x:c r="M175" s="25" t="n">
        <x:v>66.33229100002791</x:v>
      </x:c>
      <x:c r="N175" s="25" t="n">
        <x:v>0.5979940000543138</x:v>
      </x:c>
      <x:c r="O175" s="25" t="n">
        <x:v>4.975356099756027</x:v>
      </x:c>
      <x:c r="P175" s="25" t="n">
        <x:v>0.03707889999859617</x:v>
      </x:c>
      <x:c r="Q175" s="25" t="n">
        <x:v>1.0327907759997335</x:v>
      </x:c>
      <x:c r="R175" s="25" t="n">
        <x:v>3.526296400001592</x:v>
      </x:c>
      <x:c r="S175" s="25" t="n">
        <x:v>3.848266080001922</x:v>
      </x:c>
      <x:c r="T175" s="25" t="n">
        <x:v>87.88746919986806</x:v>
      </x:c>
      <x:c r="U175" s="25" t="n">
        <x:v>87.88746919986806</x:v>
      </x:c>
      <x:c r="V175" s="25"/>
      <x:c r="W175" s="19" t="str">
        <x:v>FRAME_GUARD</x:v>
      </x:c>
      <x:c r="X175" s="26" t="n">
        <x:f>IF(AND(J163&gt;0,E175=E163),1-J175/J163,"")</x:f>
        <x:v>0</x:v>
      </x:c>
      <x:c r="Y175" s="26" t="n">
        <x:f>IF(AND(K163&gt;0,E175=E163),1-K175/K163,"")</x:f>
        <x:v>-0.0008917987459253762</x:v>
      </x:c>
      <x:c r="Z175" s="26" t="n">
        <x:f>IF(AND(ISNUMBER(P163),P163&gt;0,E175=E163),1-P175/P163,"")</x:f>
        <x:v>0.04606156843243081</x:v>
      </x:c>
      <x:c r="AA175" s="26" t="n">
        <x:f>IF(AND(ISNUMBER(R175),ISNUMBER(R163),R163&gt;0,E175=E163),1-R175/R163,"")</x:f>
        <x:v>-0.07083090088541377</x:v>
      </x:c>
      <x:c r="AB175" s="26"/>
      <x:c r="AC175" s="19" t="str">
        <x:v>D:/Codex/GRL研究/outputs/grid89_review/per_date.csv</x:v>
      </x:c>
    </x:row>
    <x:row r="176" ht="36" customHeight="1">
      <x:c r="A176" s="19" t="str">
        <x:v>GRID89 META费用</x:v>
      </x:c>
      <x:c r="B176" s="19" t="str">
        <x:v>2036-03-03_9</x:v>
      </x:c>
      <x:c r="C176" s="19" t="str">
        <x:v>META_COST0_SEED1</x:v>
      </x:c>
      <x:c r="D176" s="21" t="n">
        <x:v>1</x:v>
      </x:c>
      <x:c r="E176" s="21" t="n">
        <x:v>1720</x:v>
      </x:c>
      <x:c r="F176" s="21" t="n">
        <x:v>1</x:v>
      </x:c>
      <x:c r="G176" s="21" t="n">
        <x:v>0</x:v>
      </x:c>
      <x:c r="H176" s="22" t="n">
        <x:v>2300386.2553100586</x:v>
      </x:c>
      <x:c r="I176" s="23"/>
      <x:c r="J176" s="24" t="n">
        <x:v>5109</x:v>
      </x:c>
      <x:c r="K176" s="25" t="n">
        <x:v>73.38656880001872</x:v>
      </x:c>
      <x:c r="L176" s="25" t="n">
        <x:v>24.74685539998245</x:v>
      </x:c>
      <x:c r="M176" s="25" t="n">
        <x:v>42.91142439997202</x:v>
      </x:c>
      <x:c r="N176" s="25" t="n">
        <x:v>1.0824797001587285</x:v>
      </x:c>
      <x:c r="O176" s="25" t="n">
        <x:v>4.6458092999055225</x:v>
      </x:c>
      <x:c r="P176" s="25" t="n">
        <x:v>0.037087324997082755</x:v>
      </x:c>
      <x:c r="Q176" s="25" t="n">
        <x:v>1.0209982959977395</x:v>
      </x:c>
      <x:c r="R176" s="25" t="n">
        <x:v>4.246288745000127</x:v>
      </x:c>
      <x:c r="S176" s="25" t="n">
        <x:v>4.904629348999515</x:v>
      </x:c>
      <x:c r="T176" s="25" t="n">
        <x:v>73.38656880001872</x:v>
      </x:c>
      <x:c r="U176" s="25" t="n">
        <x:v>73.38656880001872</x:v>
      </x:c>
      <x:c r="V176" s="25"/>
      <x:c r="W176" s="19" t="str">
        <x:v>FRAME_GUARD</x:v>
      </x:c>
      <x:c r="X176" s="26" t="n">
        <x:f>IF(AND(J164&gt;0,E176=E164),1-J176/J164,"")</x:f>
        <x:v>0</x:v>
      </x:c>
      <x:c r="Y176" s="26" t="n">
        <x:f>IF(AND(K164&gt;0,E176=E164),1-K176/K164,"")</x:f>
        <x:v>-0.0067775802851552935</x:v>
      </x:c>
      <x:c r="Z176" s="26" t="n">
        <x:f>IF(AND(ISNUMBER(P164),P164&gt;0,E176=E164),1-P176/P164,"")</x:f>
        <x:v>0.033187849214218024</x:v>
      </x:c>
      <x:c r="AA176" s="26" t="n">
        <x:f>IF(AND(ISNUMBER(R176),ISNUMBER(R164),R164&gt;0,E176=E164),1-R176/R164,"")</x:f>
        <x:v>-0.028916698174156874</x:v>
      </x:c>
      <x:c r="AB176" s="26"/>
      <x:c r="AC176" s="19" t="str">
        <x:v>D:/Codex/GRL研究/outputs/grid89_review/per_date.csv</x:v>
      </x:c>
    </x:row>
    <x:row r="177" ht="36" customHeight="1">
      <x:c r="A177" s="19" t="str">
        <x:v>GRID89 META费用</x:v>
      </x:c>
      <x:c r="B177" s="19" t="str">
        <x:v>2036-05-05_9</x:v>
      </x:c>
      <x:c r="C177" s="19" t="str">
        <x:v>META_COST0_SEED1</x:v>
      </x:c>
      <x:c r="D177" s="21" t="n">
        <x:v>1</x:v>
      </x:c>
      <x:c r="E177" s="21" t="n">
        <x:v>2017</x:v>
      </x:c>
      <x:c r="F177" s="21" t="n">
        <x:v>1</x:v>
      </x:c>
      <x:c r="G177" s="21" t="n">
        <x:v>1</x:v>
      </x:c>
      <x:c r="H177" s="22" t="n">
        <x:v>1732291.8922729492</x:v>
      </x:c>
      <x:c r="I177" s="23" t="n">
        <x:v>-0.02651757674074451</x:v>
      </x:c>
      <x:c r="J177" s="24" t="n">
        <x:v>454</x:v>
      </x:c>
      <x:c r="K177" s="25" t="n">
        <x:v>39.018045599979814</x:v>
      </x:c>
      <x:c r="L177" s="25" t="n">
        <x:v>8.493050799803314</x:v>
      </x:c>
      <x:c r="M177" s="25" t="n">
        <x:v>25.97412040000927</x:v>
      </x:c>
      <x:c r="N177" s="25" t="n">
        <x:v>0.13115449997712858</x:v>
      </x:c>
      <x:c r="O177" s="25" t="n">
        <x:v>4.419719900190103</x:v>
      </x:c>
      <x:c r="P177" s="25" t="n">
        <x:v>0.03127676000076462</x:v>
      </x:c>
      <x:c r="Q177" s="25" t="n">
        <x:v>0.5963378960020571</x:v>
      </x:c>
      <x:c r="R177" s="25" t="n">
        <x:v>4.170455599996785</x:v>
      </x:c>
      <x:c r="S177" s="25" t="n">
        <x:v>4.170455599996785</x:v>
      </x:c>
      <x:c r="T177" s="25" t="n">
        <x:v>39.018045599979814</x:v>
      </x:c>
      <x:c r="U177" s="25" t="n">
        <x:v>39.018045599979814</x:v>
      </x:c>
      <x:c r="V177" s="25"/>
      <x:c r="W177" s="19" t="str">
        <x:v>FRAME_GUARD</x:v>
      </x:c>
      <x:c r="X177" s="26" t="n">
        <x:f>IF(AND(J165&gt;0,E177=E165),1-J177/J165,"")</x:f>
        <x:v>0</x:v>
      </x:c>
      <x:c r="Y177" s="26" t="n">
        <x:f>IF(AND(K165&gt;0,E177=E165),1-K177/K165,"")</x:f>
        <x:v>-0.004743504989155989</x:v>
      </x:c>
      <x:c r="Z177" s="26" t="n">
        <x:f>IF(AND(ISNUMBER(P165),P165&gt;0,E177=E165),1-P177/P165,"")</x:f>
        <x:v>-0.013103690022529868</x:v>
      </x:c>
      <x:c r="AA177" s="26" t="n">
        <x:f>IF(AND(ISNUMBER(R177),ISNUMBER(R165),R165&gt;0,E177=E165),1-R177/R165,"")</x:f>
        <x:v>0.009193136792787215</x:v>
      </x:c>
      <x:c r="AB177" s="26"/>
      <x:c r="AC177" s="19" t="str">
        <x:v>D:/Codex/GRL研究/outputs/grid89_review/per_date.csv</x:v>
      </x:c>
    </x:row>
    <x:row r="178" ht="36" customHeight="1">
      <x:c r="A178" s="19" t="str">
        <x:v>GRID89 META费用</x:v>
      </x:c>
      <x:c r="B178" s="19" t="str">
        <x:v>2036-07-07_9</x:v>
      </x:c>
      <x:c r="C178" s="19" t="str">
        <x:v>META_COST0_SEED1</x:v>
      </x:c>
      <x:c r="D178" s="21" t="n">
        <x:v>1</x:v>
      </x:c>
      <x:c r="E178" s="21" t="n">
        <x:v>2017</x:v>
      </x:c>
      <x:c r="F178" s="21" t="n">
        <x:v>1</x:v>
      </x:c>
      <x:c r="G178" s="21" t="n">
        <x:v>1</x:v>
      </x:c>
      <x:c r="H178" s="22" t="n">
        <x:v>1391348.7835388184</x:v>
      </x:c>
      <x:c r="I178" s="23" t="n">
        <x:v>-0.010880517894231834</x:v>
      </x:c>
      <x:c r="J178" s="24" t="n">
        <x:v>3470</x:v>
      </x:c>
      <x:c r="K178" s="25" t="n">
        <x:v>47.7039896001188</x:v>
      </x:c>
      <x:c r="L178" s="25" t="n">
        <x:v>17.048221300028672</x:v>
      </x:c>
      <x:c r="M178" s="25" t="n">
        <x:v>25.039885700036393</x:v>
      </x:c>
      <x:c r="N178" s="25" t="n">
        <x:v>1.3389357999694766</x:v>
      </x:c>
      <x:c r="O178" s="25" t="n">
        <x:v>4.276946800084261</x:v>
      </x:c>
      <x:c r="P178" s="25" t="n">
        <x:v>0.03651381999879959</x:v>
      </x:c>
      <x:c r="Q178" s="25" t="n">
        <x:v>0.7521447360015008</x:v>
      </x:c>
      <x:c r="R178" s="25" t="n">
        <x:v>3.310818390000712</x:v>
      </x:c>
      <x:c r="S178" s="25" t="n">
        <x:v>3.8759707979996896</x:v>
      </x:c>
      <x:c r="T178" s="25" t="n">
        <x:v>47.7039896001188</x:v>
      </x:c>
      <x:c r="U178" s="25" t="n">
        <x:v>47.7039896001188</x:v>
      </x:c>
      <x:c r="V178" s="25"/>
      <x:c r="W178" s="19" t="str">
        <x:v>FRAME_GUARD</x:v>
      </x:c>
      <x:c r="X178" s="26" t="n">
        <x:f>IF(AND(J166&gt;0,E178=E166),1-J178/J166,"")</x:f>
        <x:v>0</x:v>
      </x:c>
      <x:c r="Y178" s="26" t="n">
        <x:f>IF(AND(K166&gt;0,E178=E166),1-K178/K166,"")</x:f>
        <x:v>0.004736791699533782</x:v>
      </x:c>
      <x:c r="Z178" s="26" t="n">
        <x:f>IF(AND(ISNUMBER(P166),P166&gt;0,E178=E166),1-P178/P166,"")</x:f>
        <x:v>-0.011728841730043627</x:v>
      </x:c>
      <x:c r="AA178" s="26" t="n">
        <x:f>IF(AND(ISNUMBER(R178),ISNUMBER(R166),R166&gt;0,E178=E166),1-R178/R166,"")</x:f>
        <x:v>0.02884842128984977</x:v>
      </x:c>
      <x:c r="AB178" s="26"/>
      <x:c r="AC178" s="19" t="str">
        <x:v>D:/Codex/GRL研究/outputs/grid89_review/per_date.csv</x:v>
      </x:c>
    </x:row>
    <x:row r="179" ht="36" customHeight="1">
      <x:c r="A179" s="19" t="str">
        <x:v>GRID89 META费用</x:v>
      </x:c>
      <x:c r="B179" s="19" t="str">
        <x:v>2036-09-01_9</x:v>
      </x:c>
      <x:c r="C179" s="19" t="str">
        <x:v>META_COST0_SEED1</x:v>
      </x:c>
      <x:c r="D179" s="21" t="n">
        <x:v>1</x:v>
      </x:c>
      <x:c r="E179" s="21" t="n">
        <x:v>2017</x:v>
      </x:c>
      <x:c r="F179" s="21" t="n">
        <x:v>1</x:v>
      </x:c>
      <x:c r="G179" s="21" t="n">
        <x:v>1</x:v>
      </x:c>
      <x:c r="H179" s="22" t="n">
        <x:v>1392633.7291259766</x:v>
      </x:c>
      <x:c r="I179" s="23" t="n">
        <x:v>-0.00023424970504537512</x:v>
      </x:c>
      <x:c r="J179" s="24" t="n">
        <x:v>1061</x:v>
      </x:c>
      <x:c r="K179" s="25" t="n">
        <x:v>41.39442960011729</x:v>
      </x:c>
      <x:c r="L179" s="25" t="n">
        <x:v>10.323671600119269</x:v>
      </x:c>
      <x:c r="M179" s="25" t="n">
        <x:v>26.063300499990874</x:v>
      </x:c>
      <x:c r="N179" s="25" t="n">
        <x:v>0.4500568999501411</x:v>
      </x:c>
      <x:c r="O179" s="25" t="n">
        <x:v>4.557400600057008</x:v>
      </x:c>
      <x:c r="P179" s="25" t="n">
        <x:v>0.030828559998917614</x:v>
      </x:c>
      <x:c r="Q179" s="25" t="n">
        <x:v>0.7281357719990773</x:v>
      </x:c>
      <x:c r="R179" s="25" t="n">
        <x:v>1.086048235000817</x:v>
      </x:c>
      <x:c r="S179" s="25" t="n">
        <x:v>1.0943226070006857</x:v>
      </x:c>
      <x:c r="T179" s="25" t="n">
        <x:v>41.39442960011729</x:v>
      </x:c>
      <x:c r="U179" s="25" t="n">
        <x:v>41.39442960011729</x:v>
      </x:c>
      <x:c r="V179" s="25"/>
      <x:c r="W179" s="19" t="str">
        <x:v>FRAME_GUARD</x:v>
      </x:c>
      <x:c r="X179" s="26" t="n">
        <x:f>IF(AND(J167&gt;0,E179=E167),1-J179/J167,"")</x:f>
        <x:v>0</x:v>
      </x:c>
      <x:c r="Y179" s="26" t="n">
        <x:f>IF(AND(K167&gt;0,E179=E167),1-K179/K167,"")</x:f>
        <x:v>0.0180821146112643</x:v>
      </x:c>
      <x:c r="Z179" s="26" t="n">
        <x:f>IF(AND(ISNUMBER(P167),P167&gt;0,E179=E167),1-P179/P167,"")</x:f>
        <x:v>0.016211096613937048</x:v>
      </x:c>
      <x:c r="AA179" s="26" t="n">
        <x:f>IF(AND(ISNUMBER(R179),ISNUMBER(R167),R167&gt;0,E179=E167),1-R179/R167,"")</x:f>
        <x:v>0.12939620708967536</x:v>
      </x:c>
      <x:c r="AB179" s="26"/>
      <x:c r="AC179" s="19" t="str">
        <x:v>D:/Codex/GRL研究/outputs/grid89_review/per_date.csv</x:v>
      </x:c>
    </x:row>
    <x:row r="180" ht="36" customHeight="1">
      <x:c r="A180" s="19" t="str">
        <x:v>GRID89 META费用</x:v>
      </x:c>
      <x:c r="B180" s="19" t="str">
        <x:v>2036-11-03_9</x:v>
      </x:c>
      <x:c r="C180" s="19" t="str">
        <x:v>META_COST0_SEED1</x:v>
      </x:c>
      <x:c r="D180" s="21" t="n">
        <x:v>1</x:v>
      </x:c>
      <x:c r="E180" s="21" t="n">
        <x:v>519</x:v>
      </x:c>
      <x:c r="F180" s="21" t="n">
        <x:v>1</x:v>
      </x:c>
      <x:c r="G180" s="21" t="n">
        <x:v>0</x:v>
      </x:c>
      <x:c r="H180" s="22" t="n">
        <x:v>361332.79052734375</x:v>
      </x:c>
      <x:c r="I180" s="23"/>
      <x:c r="J180" s="24" t="n">
        <x:v>0</x:v>
      </x:c>
      <x:c r="K180" s="25" t="n">
        <x:v>15.402920400010771</x:v>
      </x:c>
      <x:c r="L180" s="25" t="n">
        <x:v>1.9636584000327275</x:v>
      </x:c>
      <x:c r="M180" s="25" t="n">
        <x:v>12.485771099996782</x:v>
      </x:c>
      <x:c r="N180" s="25" t="n">
        <x:v>0</x:v>
      </x:c>
      <x:c r="O180" s="25" t="n">
        <x:v>0.9534908999812615</x:v>
      </x:c>
      <x:c r="P180" s="25" t="n">
        <x:v>0.03011857999736089</x:v>
      </x:c>
      <x:c r="Q180" s="25" t="n">
        <x:v>0.8465648180008479</x:v>
      </x:c>
      <x:c r="R180" s="25"/>
      <x:c r="S180" s="25"/>
      <x:c r="T180" s="25" t="n">
        <x:v>15.402920400010771</x:v>
      </x:c>
      <x:c r="U180" s="25" t="n">
        <x:v>15.402920400010771</x:v>
      </x:c>
      <x:c r="V180" s="25"/>
      <x:c r="W180" s="19" t="str">
        <x:v>FRAME_GUARD</x:v>
      </x:c>
      <x:c r="X180" s="26" t="str">
        <x:f>IF(AND(J168&gt;0,E180=E168),1-J180/J168,"")</x:f>
      </x:c>
      <x:c r="Y180" s="26" t="n">
        <x:f>IF(AND(K168&gt;0,E180=E168),1-K180/K168,"")</x:f>
        <x:v>0.010456178074988332</x:v>
      </x:c>
      <x:c r="Z180" s="26" t="n">
        <x:f>IF(AND(ISNUMBER(P168),P168&gt;0,E180=E168),1-P180/P168,"")</x:f>
        <x:v>-0.0036626080817008244</x:v>
      </x:c>
      <x:c r="AA180" s="26" t="str">
        <x:f>IF(AND(ISNUMBER(R180),ISNUMBER(R168),R168&gt;0,E180=E168),1-R180/R168,"")</x:f>
      </x:c>
      <x:c r="AB180" s="26"/>
      <x:c r="AC180" s="19" t="str">
        <x:v>D:/Codex/GRL研究/outputs/grid89_review/per_date.csv</x:v>
      </x:c>
    </x:row>
    <x:row r="181" ht="36" customHeight="1">
      <x:c r="A181" s="19" t="str">
        <x:v>GRID89 META费用</x:v>
      </x:c>
      <x:c r="B181" s="19" t="str">
        <x:v>2036-01-07_9</x:v>
      </x:c>
      <x:c r="C181" s="19" t="str">
        <x:v>META_COST0_SEED2</x:v>
      </x:c>
      <x:c r="D181" s="21" t="n">
        <x:v>1</x:v>
      </x:c>
      <x:c r="E181" s="21" t="n">
        <x:v>2017</x:v>
      </x:c>
      <x:c r="F181" s="21" t="n">
        <x:v>1</x:v>
      </x:c>
      <x:c r="G181" s="21" t="n">
        <x:v>1</x:v>
      </x:c>
      <x:c r="H181" s="22" t="n">
        <x:v>2412707.07421875</x:v>
      </x:c>
      <x:c r="I181" s="23" t="n">
        <x:v>0.0008663102138171119</x:v>
      </x:c>
      <x:c r="J181" s="24" t="n">
        <x:v>1303</x:v>
      </x:c>
      <x:c r="K181" s="25" t="n">
        <x:v>87.49545760002366</x:v>
      </x:c>
      <x:c r="L181" s="25" t="n">
        <x:v>15.623937500164175</x:v>
      </x:c>
      <x:c r="M181" s="25" t="n">
        <x:v>66.36832470001536</x:v>
      </x:c>
      <x:c r="N181" s="25" t="n">
        <x:v>0.5877956999502203</x:v>
      </x:c>
      <x:c r="O181" s="25" t="n">
        <x:v>4.9153996998938965</x:v>
      </x:c>
      <x:c r="P181" s="25" t="n">
        <x:v>0.037144139999145405</x:v>
      </x:c>
      <x:c r="Q181" s="25" t="n">
        <x:v>0.8932863960014924</x:v>
      </x:c>
      <x:c r="R181" s="25" t="n">
        <x:v>3.377299560000392</x:v>
      </x:c>
      <x:c r="S181" s="25" t="n">
        <x:v>3.671279672000528</x:v>
      </x:c>
      <x:c r="T181" s="25" t="n">
        <x:v>87.49545760002366</x:v>
      </x:c>
      <x:c r="U181" s="25" t="n">
        <x:v>87.49545760002366</x:v>
      </x:c>
      <x:c r="V181" s="25"/>
      <x:c r="W181" s="19" t="str">
        <x:v>FRAME_GUARD</x:v>
      </x:c>
      <x:c r="X181" s="26" t="n">
        <x:f>IF(AND(J163&gt;0,E181=E163),1-J181/J163,"")</x:f>
        <x:v>0.09008379888268159</x:v>
      </x:c>
      <x:c r="Y181" s="26" t="n">
        <x:f>IF(AND(K163&gt;0,E181=E163),1-K181/K163,"")</x:f>
        <x:v>0.0035725600400268176</x:v>
      </x:c>
      <x:c r="Z181" s="26" t="n">
        <x:f>IF(AND(ISNUMBER(P163),P163&gt;0,E181=E163),1-P181/P163,"")</x:f>
        <x:v>0.044383122097675476</x:v>
      </x:c>
      <x:c r="AA181" s="26" t="n">
        <x:f>IF(AND(ISNUMBER(R181),ISNUMBER(R163),R163&gt;0,E181=E163),1-R181/R163,"")</x:f>
        <x:v>-0.025585010492452875</x:v>
      </x:c>
      <x:c r="AB181" s="26"/>
      <x:c r="AC181" s="19" t="str">
        <x:v>D:/Codex/GRL研究/outputs/grid89_review/per_date.csv</x:v>
      </x:c>
    </x:row>
    <x:row r="182" ht="36" customHeight="1">
      <x:c r="A182" s="19" t="str">
        <x:v>GRID89 META费用</x:v>
      </x:c>
      <x:c r="B182" s="19" t="str">
        <x:v>2036-03-03_9</x:v>
      </x:c>
      <x:c r="C182" s="19" t="str">
        <x:v>META_COST0_SEED2</x:v>
      </x:c>
      <x:c r="D182" s="21" t="n">
        <x:v>1</x:v>
      </x:c>
      <x:c r="E182" s="21" t="n">
        <x:v>1720</x:v>
      </x:c>
      <x:c r="F182" s="21" t="n">
        <x:v>1</x:v>
      </x:c>
      <x:c r="G182" s="21" t="n">
        <x:v>0</x:v>
      </x:c>
      <x:c r="H182" s="22" t="n">
        <x:v>2303617.120239258</x:v>
      </x:c>
      <x:c r="I182" s="23"/>
      <x:c r="J182" s="24" t="n">
        <x:v>4521</x:v>
      </x:c>
      <x:c r="K182" s="25" t="n">
        <x:v>70.68072649989699</x:v>
      </x:c>
      <x:c r="L182" s="25" t="n">
        <x:v>21.81179780007369</x:v>
      </x:c>
      <x:c r="M182" s="25" t="n">
        <x:v>42.84961000009207</x:v>
      </x:c>
      <x:c r="N182" s="25" t="n">
        <x:v>1.4205766000122821</x:v>
      </x:c>
      <x:c r="O182" s="25" t="n">
        <x:v>4.598742099718947</x:v>
      </x:c>
      <x:c r="P182" s="25" t="n">
        <x:v>0.03653218000108609</x:v>
      </x:c>
      <x:c r="Q182" s="25" t="n">
        <x:v>0.9937165409984995</x:v>
      </x:c>
      <x:c r="R182" s="25" t="n">
        <x:v>3.1635038199992773</x:v>
      </x:c>
      <x:c r="S182" s="25" t="n">
        <x:v>3.245946843999809</x:v>
      </x:c>
      <x:c r="T182" s="25" t="n">
        <x:v>70.68072649989699</x:v>
      </x:c>
      <x:c r="U182" s="25" t="n">
        <x:v>70.68072649989699</x:v>
      </x:c>
      <x:c r="V182" s="25"/>
      <x:c r="W182" s="19" t="str">
        <x:v>FRAME_GUARD</x:v>
      </x:c>
      <x:c r="X182" s="26" t="n">
        <x:f>IF(AND(J164&gt;0,E182=E164),1-J182/J164,"")</x:f>
        <x:v>0.11509101585437465</x:v>
      </x:c>
      <x:c r="Y182" s="26" t="n">
        <x:f>IF(AND(K164&gt;0,E182=E164),1-K182/K164,"")</x:f>
        <x:v>0.030343399862769016</x:v>
      </x:c>
      <x:c r="Z182" s="26" t="n">
        <x:f>IF(AND(ISNUMBER(P164),P164&gt;0,E182=E164),1-P182/P164,"")</x:f>
        <x:v>0.04765966479055628</x:v>
      </x:c>
      <x:c r="AA182" s="26" t="n">
        <x:f>IF(AND(ISNUMBER(R182),ISNUMBER(R164),R164&gt;0,E182=E164),1-R182/R164,"")</x:f>
        <x:v>0.23345252746468825</x:v>
      </x:c>
      <x:c r="AB182" s="26"/>
      <x:c r="AC182" s="19" t="str">
        <x:v>D:/Codex/GRL研究/outputs/grid89_review/per_date.csv</x:v>
      </x:c>
    </x:row>
    <x:row r="183" ht="36" customHeight="1">
      <x:c r="A183" s="19" t="str">
        <x:v>GRID89 META费用</x:v>
      </x:c>
      <x:c r="B183" s="19" t="str">
        <x:v>2036-05-05_9</x:v>
      </x:c>
      <x:c r="C183" s="19" t="str">
        <x:v>META_COST0_SEED2</x:v>
      </x:c>
      <x:c r="D183" s="21" t="n">
        <x:v>1</x:v>
      </x:c>
      <x:c r="E183" s="21" t="n">
        <x:v>2017</x:v>
      </x:c>
      <x:c r="F183" s="21" t="n">
        <x:v>1</x:v>
      </x:c>
      <x:c r="G183" s="21" t="n">
        <x:v>1</x:v>
      </x:c>
      <x:c r="H183" s="22" t="n">
        <x:v>1732291.8922729492</x:v>
      </x:c>
      <x:c r="I183" s="23" t="n">
        <x:v>-0.02651757674074451</x:v>
      </x:c>
      <x:c r="J183" s="24" t="n">
        <x:v>454</x:v>
      </x:c>
      <x:c r="K183" s="25" t="n">
        <x:v>38.51499130011507</x:v>
      </x:c>
      <x:c r="L183" s="25" t="n">
        <x:v>8.360780199949659</x:v>
      </x:c>
      <x:c r="M183" s="25" t="n">
        <x:v>25.637343500020506</x:v>
      </x:c>
      <x:c r="N183" s="25" t="n">
        <x:v>0.12887509999927715</x:v>
      </x:c>
      <x:c r="O183" s="25" t="n">
        <x:v>4.387992500145629</x:v>
      </x:c>
      <x:c r="P183" s="25" t="n">
        <x:v>0.030769720001990207</x:v>
      </x:c>
      <x:c r="Q183" s="25" t="n">
        <x:v>0.5833843319989492</x:v>
      </x:c>
      <x:c r="R183" s="25" t="n">
        <x:v>4.189756899999338</x:v>
      </x:c>
      <x:c r="S183" s="25" t="n">
        <x:v>4.189756899999338</x:v>
      </x:c>
      <x:c r="T183" s="25" t="n">
        <x:v>38.51499130011507</x:v>
      </x:c>
      <x:c r="U183" s="25" t="n">
        <x:v>38.51499130011507</x:v>
      </x:c>
      <x:c r="V183" s="25"/>
      <x:c r="W183" s="19" t="str">
        <x:v>FRAME_GUARD</x:v>
      </x:c>
      <x:c r="X183" s="26" t="n">
        <x:f>IF(AND(J165&gt;0,E183=E165),1-J183/J165,"")</x:f>
        <x:v>0</x:v>
      </x:c>
      <x:c r="Y183" s="26" t="n">
        <x:f>IF(AND(K165&gt;0,E183=E165),1-K183/K165,"")</x:f>
        <x:v>0.008210514943770453</x:v>
      </x:c>
      <x:c r="Z183" s="26" t="n">
        <x:f>IF(AND(ISNUMBER(P165),P165&gt;0,E183=E165),1-P183/P165,"")</x:f>
        <x:v>0.0033201369254921564</x:v>
      </x:c>
      <x:c r="AA183" s="26" t="n">
        <x:f>IF(AND(ISNUMBER(R183),ISNUMBER(R165),R165&gt;0,E183=E165),1-R183/R165,"")</x:f>
        <x:v>0.004607580118507926</x:v>
      </x:c>
      <x:c r="AB183" s="26"/>
      <x:c r="AC183" s="19" t="str">
        <x:v>D:/Codex/GRL研究/outputs/grid89_review/per_date.csv</x:v>
      </x:c>
    </x:row>
    <x:row r="184" ht="36" customHeight="1">
      <x:c r="A184" s="19" t="str">
        <x:v>GRID89 META费用</x:v>
      </x:c>
      <x:c r="B184" s="19" t="str">
        <x:v>2036-07-07_9</x:v>
      </x:c>
      <x:c r="C184" s="19" t="str">
        <x:v>META_COST0_SEED2</x:v>
      </x:c>
      <x:c r="D184" s="21" t="n">
        <x:v>1</x:v>
      </x:c>
      <x:c r="E184" s="21" t="n">
        <x:v>2017</x:v>
      </x:c>
      <x:c r="F184" s="21" t="n">
        <x:v>1</x:v>
      </x:c>
      <x:c r="G184" s="21" t="n">
        <x:v>1</x:v>
      </x:c>
      <x:c r="H184" s="22" t="n">
        <x:v>1391348.7835388184</x:v>
      </x:c>
      <x:c r="I184" s="23" t="n">
        <x:v>-0.010880517894231834</x:v>
      </x:c>
      <x:c r="J184" s="24" t="n">
        <x:v>3661</x:v>
      </x:c>
      <x:c r="K184" s="25" t="n">
        <x:v>48.38551849995565</x:v>
      </x:c>
      <x:c r="L184" s="25" t="n">
        <x:v>18.120595100179344</x:v>
      </x:c>
      <x:c r="M184" s="25" t="n">
        <x:v>24.596389499998622</x:v>
      </x:c>
      <x:c r="N184" s="25" t="n">
        <x:v>1.3879235998756485</x:v>
      </x:c>
      <x:c r="O184" s="25" t="n">
        <x:v>4.280610299902037</x:v>
      </x:c>
      <x:c r="P184" s="25" t="n">
        <x:v>0.036500640000303966</x:v>
      </x:c>
      <x:c r="Q184" s="25" t="n">
        <x:v>0.7544400719995609</x:v>
      </x:c>
      <x:c r="R184" s="25" t="n">
        <x:v>3.6651729049999613</x:v>
      </x:c>
      <x:c r="S184" s="25" t="n">
        <x:v>4.196471380999902</x:v>
      </x:c>
      <x:c r="T184" s="25" t="n">
        <x:v>48.38551849995565</x:v>
      </x:c>
      <x:c r="U184" s="25" t="n">
        <x:v>48.38551849995565</x:v>
      </x:c>
      <x:c r="V184" s="25"/>
      <x:c r="W184" s="19" t="str">
        <x:v>FRAME_GUARD</x:v>
      </x:c>
      <x:c r="X184" s="26" t="n">
        <x:f>IF(AND(J166&gt;0,E184=E166),1-J184/J166,"")</x:f>
        <x:v>-0.05504322766570602</x:v>
      </x:c>
      <x:c r="Y184" s="26" t="n">
        <x:f>IF(AND(K166&gt;0,E184=E166),1-K184/K166,"")</x:f>
        <x:v>-0.009482158226604476</x:v>
      </x:c>
      <x:c r="Z184" s="26" t="n">
        <x:f>IF(AND(ISNUMBER(P166),P166&gt;0,E184=E166),1-P184/P166,"")</x:f>
        <x:v>-0.011363648917776414</x:v>
      </x:c>
      <x:c r="AA184" s="26" t="n">
        <x:f>IF(AND(ISNUMBER(R184),ISNUMBER(R166),R166&gt;0,E184=E166),1-R184/R166,"")</x:f>
        <x:v>-0.07509323485895414</x:v>
      </x:c>
      <x:c r="AB184" s="26"/>
      <x:c r="AC184" s="19" t="str">
        <x:v>D:/Codex/GRL研究/outputs/grid89_review/per_date.csv</x:v>
      </x:c>
    </x:row>
    <x:row r="185" ht="36" customHeight="1">
      <x:c r="A185" s="19" t="str">
        <x:v>GRID89 META费用</x:v>
      </x:c>
      <x:c r="B185" s="19" t="str">
        <x:v>2036-09-01_9</x:v>
      </x:c>
      <x:c r="C185" s="19" t="str">
        <x:v>META_COST0_SEED2</x:v>
      </x:c>
      <x:c r="D185" s="21" t="n">
        <x:v>1</x:v>
      </x:c>
      <x:c r="E185" s="21" t="n">
        <x:v>2017</x:v>
      </x:c>
      <x:c r="F185" s="21" t="n">
        <x:v>1</x:v>
      </x:c>
      <x:c r="G185" s="21" t="n">
        <x:v>1</x:v>
      </x:c>
      <x:c r="H185" s="22" t="n">
        <x:v>1392633.7291259766</x:v>
      </x:c>
      <x:c r="I185" s="23" t="n">
        <x:v>-0.00023424970504537512</x:v>
      </x:c>
      <x:c r="J185" s="24" t="n">
        <x:v>933</x:v>
      </x:c>
      <x:c r="K185" s="25" t="n">
        <x:v>41.06379609996293</x:v>
      </x:c>
      <x:c r="L185" s="25" t="n">
        <x:v>10.431363800231338</x:v>
      </x:c>
      <x:c r="M185" s="25" t="n">
        <x:v>25.57421510000131</x:v>
      </x:c>
      <x:c r="N185" s="25" t="n">
        <x:v>0.5366325999893888</x:v>
      </x:c>
      <x:c r="O185" s="25" t="n">
        <x:v>4.5215845997408906</x:v>
      </x:c>
      <x:c r="P185" s="25" t="n">
        <x:v>0.030151780001324367</x:v>
      </x:c>
      <x:c r="Q185" s="25" t="n">
        <x:v>0.7228402479991197</x:v>
      </x:c>
      <x:c r="R185" s="25" t="n">
        <x:v>1.234657440002229</x:v>
      </x:c>
      <x:c r="S185" s="25" t="n">
        <x:v>1.2620614080025188</x:v>
      </x:c>
      <x:c r="T185" s="25" t="n">
        <x:v>41.06379609996293</x:v>
      </x:c>
      <x:c r="U185" s="25" t="n">
        <x:v>41.06379609996293</x:v>
      </x:c>
      <x:c r="V185" s="25"/>
      <x:c r="W185" s="19" t="str">
        <x:v>FRAME_GUARD</x:v>
      </x:c>
      <x:c r="X185" s="26" t="n">
        <x:f>IF(AND(J167&gt;0,E185=E167),1-J185/J167,"")</x:f>
        <x:v>0.12064090480678602</x:v>
      </x:c>
      <x:c r="Y185" s="26" t="n">
        <x:f>IF(AND(K167&gt;0,E185=E167),1-K185/K167,"")</x:f>
        <x:v>0.025925076827352567</x:v>
      </x:c>
      <x:c r="Z185" s="26" t="n">
        <x:f>IF(AND(ISNUMBER(P167),P167&gt;0,E185=E167),1-P185/P167,"")</x:f>
        <x:v>0.03780823419315771</x:v>
      </x:c>
      <x:c r="AA185" s="26" t="n">
        <x:f>IF(AND(ISNUMBER(R185),ISNUMBER(R167),R167&gt;0,E185=E167),1-R185/R167,"")</x:f>
        <x:v>0.010267301608308799</x:v>
      </x:c>
      <x:c r="AB185" s="26"/>
      <x:c r="AC185" s="19" t="str">
        <x:v>D:/Codex/GRL研究/outputs/grid89_review/per_date.csv</x:v>
      </x:c>
    </x:row>
    <x:row r="186" ht="36" customHeight="1">
      <x:c r="A186" s="19" t="str">
        <x:v>GRID89 META费用</x:v>
      </x:c>
      <x:c r="B186" s="19" t="str">
        <x:v>2036-11-03_9</x:v>
      </x:c>
      <x:c r="C186" s="19" t="str">
        <x:v>META_COST0_SEED2</x:v>
      </x:c>
      <x:c r="D186" s="21" t="n">
        <x:v>1</x:v>
      </x:c>
      <x:c r="E186" s="21" t="n">
        <x:v>519</x:v>
      </x:c>
      <x:c r="F186" s="21" t="n">
        <x:v>1</x:v>
      </x:c>
      <x:c r="G186" s="21" t="n">
        <x:v>0</x:v>
      </x:c>
      <x:c r="H186" s="22" t="n">
        <x:v>361332.79052734375</x:v>
      </x:c>
      <x:c r="I186" s="23"/>
      <x:c r="J186" s="24" t="n">
        <x:v>0</x:v>
      </x:c>
      <x:c r="K186" s="25" t="n">
        <x:v>15.390316200064262</x:v>
      </x:c>
      <x:c r="L186" s="25" t="n">
        <x:v>1.978600800041022</x:v>
      </x:c>
      <x:c r="M186" s="25" t="n">
        <x:v>12.473810199990112</x:v>
      </x:c>
      <x:c r="N186" s="25" t="n">
        <x:v>0</x:v>
      </x:c>
      <x:c r="O186" s="25" t="n">
        <x:v>0.9379052000331285</x:v>
      </x:c>
      <x:c r="P186" s="25" t="n">
        <x:v>0.028440360002059566</x:v>
      </x:c>
      <x:c r="Q186" s="25" t="n">
        <x:v>0.8476390399998535</x:v>
      </x:c>
      <x:c r="R186" s="25"/>
      <x:c r="S186" s="25"/>
      <x:c r="T186" s="25" t="n">
        <x:v>15.390316200064262</x:v>
      </x:c>
      <x:c r="U186" s="25" t="n">
        <x:v>15.390316200064262</x:v>
      </x:c>
      <x:c r="V186" s="25"/>
      <x:c r="W186" s="19" t="str">
        <x:v>FRAME_GUARD</x:v>
      </x:c>
      <x:c r="X186" s="26" t="str">
        <x:f>IF(AND(J168&gt;0,E186=E168),1-J186/J168,"")</x:f>
      </x:c>
      <x:c r="Y186" s="26" t="n">
        <x:f>IF(AND(K168&gt;0,E186=E168),1-K186/K168,"")</x:f>
        <x:v>0.011265921153798653</x:v>
      </x:c>
      <x:c r="Z186" s="26" t="n">
        <x:f>IF(AND(ISNUMBER(P168),P168&gt;0,E186=E168),1-P186/P168,"")</x:f>
        <x:v>0.05226189624641098</x:v>
      </x:c>
      <x:c r="AA186" s="26" t="str">
        <x:f>IF(AND(ISNUMBER(R186),ISNUMBER(R168),R168&gt;0,E186=E168),1-R186/R168,"")</x:f>
      </x:c>
      <x:c r="AB186" s="26"/>
      <x:c r="AC186" s="19" t="str">
        <x:v>D:/Codex/GRL研究/outputs/grid89_review/per_date.csv</x:v>
      </x:c>
    </x:row>
    <x:row r="187" ht="36" customHeight="1">
      <x:c r="A187" s="19" t="str">
        <x:v>GRID89 META费用</x:v>
      </x:c>
      <x:c r="B187" s="19" t="str">
        <x:v>2036-01-07_9</x:v>
      </x:c>
      <x:c r="C187" s="19" t="str">
        <x:v>META_COST0_SEED3</x:v>
      </x:c>
      <x:c r="D187" s="21" t="n">
        <x:v>1</x:v>
      </x:c>
      <x:c r="E187" s="21" t="n">
        <x:v>2017</x:v>
      </x:c>
      <x:c r="F187" s="21" t="n">
        <x:v>1</x:v>
      </x:c>
      <x:c r="G187" s="21" t="n">
        <x:v>1</x:v>
      </x:c>
      <x:c r="H187" s="22" t="n">
        <x:v>2412707.07421875</x:v>
      </x:c>
      <x:c r="I187" s="23" t="n">
        <x:v>0.0008663102138171119</x:v>
      </x:c>
      <x:c r="J187" s="24" t="n">
        <x:v>1302</x:v>
      </x:c>
      <x:c r="K187" s="25" t="n">
        <x:v>86.92841220009723</x:v>
      </x:c>
      <x:c r="L187" s="25" t="n">
        <x:v>15.72891289998006</x:v>
      </x:c>
      <x:c r="M187" s="25" t="n">
        <x:v>65.6976472999886</x:v>
      </x:c>
      <x:c r="N187" s="25" t="n">
        <x:v>0.5975349000873393</x:v>
      </x:c>
      <x:c r="O187" s="25" t="n">
        <x:v>4.904317100041226</x:v>
      </x:c>
      <x:c r="P187" s="25" t="n">
        <x:v>0.0372708800023245</x:v>
      </x:c>
      <x:c r="Q187" s="25" t="n">
        <x:v>0.8519323720001553</x:v>
      </x:c>
      <x:c r="R187" s="25" t="n">
        <x:v>3.5821970400007555</x:v>
      </x:c>
      <x:c r="S187" s="25" t="n">
        <x:v>3.925879888001073</x:v>
      </x:c>
      <x:c r="T187" s="25" t="n">
        <x:v>86.92841220009723</x:v>
      </x:c>
      <x:c r="U187" s="25" t="n">
        <x:v>86.92841220009723</x:v>
      </x:c>
      <x:c r="V187" s="25"/>
      <x:c r="W187" s="19" t="str">
        <x:v>FRAME_GUARD</x:v>
      </x:c>
      <x:c r="X187" s="26" t="n">
        <x:f>IF(AND(J163&gt;0,E187=E163),1-J187/J163,"")</x:f>
        <x:v>0.09078212290502796</x:v>
      </x:c>
      <x:c r="Y187" s="26" t="n">
        <x:f>IF(AND(K163&gt;0,E187=E163),1-K187/K163,"")</x:f>
        <x:v>0.010030262093231657</x:v>
      </x:c>
      <x:c r="Z187" s="26" t="n">
        <x:f>IF(AND(ISNUMBER(P163),P163&gt;0,E187=E163),1-P187/P163,"")</x:f>
        <x:v>0.04112244932005493</x:v>
      </x:c>
      <x:c r="AA187" s="26" t="n">
        <x:f>IF(AND(ISNUMBER(R187),ISNUMBER(R163),R163&gt;0,E187=E163),1-R187/R163,"")</x:f>
        <x:v>-0.08780625573373246</x:v>
      </x:c>
      <x:c r="AB187" s="26"/>
      <x:c r="AC187" s="19" t="str">
        <x:v>D:/Codex/GRL研究/outputs/grid89_review/per_date.csv</x:v>
      </x:c>
    </x:row>
    <x:row r="188" ht="36" customHeight="1">
      <x:c r="A188" s="19" t="str">
        <x:v>GRID89 META费用</x:v>
      </x:c>
      <x:c r="B188" s="19" t="str">
        <x:v>2036-03-03_9</x:v>
      </x:c>
      <x:c r="C188" s="19" t="str">
        <x:v>META_COST0_SEED3</x:v>
      </x:c>
      <x:c r="D188" s="21" t="n">
        <x:v>1</x:v>
      </x:c>
      <x:c r="E188" s="21" t="n">
        <x:v>1720</x:v>
      </x:c>
      <x:c r="F188" s="21" t="n">
        <x:v>1</x:v>
      </x:c>
      <x:c r="G188" s="21" t="n">
        <x:v>0</x:v>
      </x:c>
      <x:c r="H188" s="22" t="n">
        <x:v>2299451.3294067383</x:v>
      </x:c>
      <x:c r="I188" s="23"/>
      <x:c r="J188" s="24" t="n">
        <x:v>3788</x:v>
      </x:c>
      <x:c r="K188" s="25" t="n">
        <x:v>69.32083620011326</x:v>
      </x:c>
      <x:c r="L188" s="25" t="n">
        <x:v>19.722408500168967</x:v>
      </x:c>
      <x:c r="M188" s="25" t="n">
        <x:v>44.02108819997375</x:v>
      </x:c>
      <x:c r="N188" s="25" t="n">
        <x:v>1.054154199991899</x:v>
      </x:c>
      <x:c r="O188" s="25" t="n">
        <x:v>4.52318529997865</x:v>
      </x:c>
      <x:c r="P188" s="25" t="n">
        <x:v>0.03640516999967076</x:v>
      </x:c>
      <x:c r="Q188" s="25" t="n">
        <x:v>1.0301945259991039</x:v>
      </x:c>
      <x:c r="R188" s="25" t="n">
        <x:v>3.1271007299992557</x:v>
      </x:c>
      <x:c r="S188" s="25" t="n">
        <x:v>3.212888225998358</x:v>
      </x:c>
      <x:c r="T188" s="25" t="n">
        <x:v>69.32083620011326</x:v>
      </x:c>
      <x:c r="U188" s="25" t="n">
        <x:v>69.32083620011326</x:v>
      </x:c>
      <x:c r="V188" s="25"/>
      <x:c r="W188" s="19" t="str">
        <x:v>FRAME_GUARD</x:v>
      </x:c>
      <x:c r="X188" s="26" t="n">
        <x:f>IF(AND(J164&gt;0,E188=E164),1-J188/J164,"")</x:f>
        <x:v>0.25856331963202195</x:v>
      </x:c>
      <x:c r="Y188" s="26" t="n">
        <x:f>IF(AND(K164&gt;0,E188=E164),1-K188/K164,"")</x:f>
        <x:v>0.04899949849030383</x:v>
      </x:c>
      <x:c r="Z188" s="26" t="n">
        <x:f>IF(AND(ISNUMBER(P164),P164&gt;0,E188=E164),1-P188/P164,"")</x:f>
        <x:v>0.050970629187404026</x:v>
      </x:c>
      <x:c r="AA188" s="26" t="n">
        <x:f>IF(AND(ISNUMBER(R188),ISNUMBER(R164),R164&gt;0,E188=E164),1-R188/R164,"")</x:f>
        <x:v>0.24227334710637227</x:v>
      </x:c>
      <x:c r="AB188" s="26"/>
      <x:c r="AC188" s="19" t="str">
        <x:v>D:/Codex/GRL研究/outputs/grid89_review/per_date.csv</x:v>
      </x:c>
    </x:row>
    <x:row r="189" ht="36" customHeight="1">
      <x:c r="A189" s="19" t="str">
        <x:v>GRID89 META费用</x:v>
      </x:c>
      <x:c r="B189" s="19" t="str">
        <x:v>2036-05-05_9</x:v>
      </x:c>
      <x:c r="C189" s="19" t="str">
        <x:v>META_COST0_SEED3</x:v>
      </x:c>
      <x:c r="D189" s="21" t="n">
        <x:v>1</x:v>
      </x:c>
      <x:c r="E189" s="21" t="n">
        <x:v>2017</x:v>
      </x:c>
      <x:c r="F189" s="21" t="n">
        <x:v>1</x:v>
      </x:c>
      <x:c r="G189" s="21" t="n">
        <x:v>1</x:v>
      </x:c>
      <x:c r="H189" s="22" t="n">
        <x:v>1732291.8922729492</x:v>
      </x:c>
      <x:c r="I189" s="23" t="n">
        <x:v>-0.02651757674074451</x:v>
      </x:c>
      <x:c r="J189" s="24" t="n">
        <x:v>454</x:v>
      </x:c>
      <x:c r="K189" s="25" t="n">
        <x:v>38.48010990002513</x:v>
      </x:c>
      <x:c r="L189" s="25" t="n">
        <x:v>8.394184200027667</x:v>
      </x:c>
      <x:c r="M189" s="25" t="n">
        <x:v>25.55705699999089</x:v>
      </x:c>
      <x:c r="N189" s="25" t="n">
        <x:v>0.12747319997288287</x:v>
      </x:c>
      <x:c r="O189" s="25" t="n">
        <x:v>4.401395500033686</x:v>
      </x:c>
      <x:c r="P189" s="25" t="n">
        <x:v>0.031120440000813685</x:v>
      </x:c>
      <x:c r="Q189" s="25" t="n">
        <x:v>0.584009876001491</x:v>
      </x:c>
      <x:c r="R189" s="25" t="n">
        <x:v>4.15769889999865</x:v>
      </x:c>
      <x:c r="S189" s="25" t="n">
        <x:v>4.15769889999865</x:v>
      </x:c>
      <x:c r="T189" s="25" t="n">
        <x:v>38.48010990002513</x:v>
      </x:c>
      <x:c r="U189" s="25" t="n">
        <x:v>38.48010990002513</x:v>
      </x:c>
      <x:c r="V189" s="25"/>
      <x:c r="W189" s="19" t="str">
        <x:v>FRAME_GUARD</x:v>
      </x:c>
      <x:c r="X189" s="26" t="n">
        <x:f>IF(AND(J165&gt;0,E189=E165),1-J189/J165,"")</x:f>
        <x:v>0</x:v>
      </x:c>
      <x:c r="Y189" s="26" t="n">
        <x:f>IF(AND(K165&gt;0,E189=E165),1-K189/K165,"")</x:f>
        <x:v>0.00910873677027102</x:v>
      </x:c>
      <x:c r="Z189" s="26" t="n">
        <x:f>IF(AND(ISNUMBER(P165),P165&gt;0,E189=E165),1-P189/P165,"")</x:f>
        <x:v>-0.00804023815696775</x:v>
      </x:c>
      <x:c r="AA189" s="26" t="n">
        <x:f>IF(AND(ISNUMBER(R189),ISNUMBER(R165),R165&gt;0,E189=E165),1-R189/R165,"")</x:f>
        <x:v>0.012223843056639483</x:v>
      </x:c>
      <x:c r="AB189" s="26"/>
      <x:c r="AC189" s="19" t="str">
        <x:v>D:/Codex/GRL研究/outputs/grid89_review/per_date.csv</x:v>
      </x:c>
    </x:row>
    <x:row r="190" ht="36" customHeight="1">
      <x:c r="A190" s="19" t="str">
        <x:v>GRID89 META费用</x:v>
      </x:c>
      <x:c r="B190" s="19" t="str">
        <x:v>2036-07-07_9</x:v>
      </x:c>
      <x:c r="C190" s="19" t="str">
        <x:v>META_COST0_SEED3</x:v>
      </x:c>
      <x:c r="D190" s="21" t="n">
        <x:v>1</x:v>
      </x:c>
      <x:c r="E190" s="21" t="n">
        <x:v>2017</x:v>
      </x:c>
      <x:c r="F190" s="21" t="n">
        <x:v>1</x:v>
      </x:c>
      <x:c r="G190" s="21" t="n">
        <x:v>1</x:v>
      </x:c>
      <x:c r="H190" s="22" t="n">
        <x:v>1411964.749206543</x:v>
      </x:c>
      <x:c r="I190" s="23" t="n">
        <x:v>0.0037755148170666164</x:v>
      </x:c>
      <x:c r="J190" s="24" t="n">
        <x:v>4415</x:v>
      </x:c>
      <x:c r="K190" s="25" t="n">
        <x:v>53.68340350002836</x:v>
      </x:c>
      <x:c r="L190" s="25" t="n">
        <x:v>21.259515700068732</x:v>
      </x:c>
      <x:c r="M190" s="25" t="n">
        <x:v>26.85139979996893</x:v>
      </x:c>
      <x:c r="N190" s="25" t="n">
        <x:v>1.2020943999268638</x:v>
      </x:c>
      <x:c r="O190" s="25" t="n">
        <x:v>4.370393600063835</x:v>
      </x:c>
      <x:c r="P190" s="25" t="n">
        <x:v>0.03335104000070713</x:v>
      </x:c>
      <x:c r="Q190" s="25" t="n">
        <x:v>0.7421648640029889</x:v>
      </x:c>
      <x:c r="R190" s="25" t="n">
        <x:v>4.5435425599987855</x:v>
      </x:c>
      <x:c r="S190" s="25" t="n">
        <x:v>4.9229268319988115</x:v>
      </x:c>
      <x:c r="T190" s="25" t="n">
        <x:v>53.68340350002836</x:v>
      </x:c>
      <x:c r="U190" s="25" t="n">
        <x:v>53.68340350002836</x:v>
      </x:c>
      <x:c r="V190" s="25"/>
      <x:c r="W190" s="19" t="str">
        <x:v>FRAME_GUARD</x:v>
      </x:c>
      <x:c r="X190" s="26" t="n">
        <x:f>IF(AND(J166&gt;0,E190=E166),1-J190/J166,"")</x:f>
        <x:v>-0.2723342939481268</x:v>
      </x:c>
      <x:c r="Y190" s="26" t="n">
        <x:f>IF(AND(K166&gt;0,E190=E166),1-K190/K166,"")</x:f>
        <x:v>-0.12001358477140123</x:v>
      </x:c>
      <x:c r="Z190" s="26" t="n">
        <x:f>IF(AND(ISNUMBER(P166),P166&gt;0,E190=E166),1-P190/P166,"")</x:f>
        <x:v>0.07590580576020067</x:v>
      </x:c>
      <x:c r="AA190" s="26" t="n">
        <x:f>IF(AND(ISNUMBER(R190),ISNUMBER(R166),R166&gt;0,E190=E166),1-R190/R166,"")</x:f>
        <x:v>-0.3327425458932012</x:v>
      </x:c>
      <x:c r="AB190" s="26"/>
      <x:c r="AC190" s="19" t="str">
        <x:v>D:/Codex/GRL研究/outputs/grid89_review/per_date.csv</x:v>
      </x:c>
    </x:row>
    <x:row r="191" ht="36" customHeight="1">
      <x:c r="A191" s="19" t="str">
        <x:v>GRID89 META费用</x:v>
      </x:c>
      <x:c r="B191" s="19" t="str">
        <x:v>2036-09-01_9</x:v>
      </x:c>
      <x:c r="C191" s="19" t="str">
        <x:v>META_COST0_SEED3</x:v>
      </x:c>
      <x:c r="D191" s="21" t="n">
        <x:v>1</x:v>
      </x:c>
      <x:c r="E191" s="21" t="n">
        <x:v>2017</x:v>
      </x:c>
      <x:c r="F191" s="21" t="n">
        <x:v>1</x:v>
      </x:c>
      <x:c r="G191" s="21" t="n">
        <x:v>1</x:v>
      </x:c>
      <x:c r="H191" s="22" t="n">
        <x:v>1392633.7291259766</x:v>
      </x:c>
      <x:c r="I191" s="23" t="n">
        <x:v>-0.00023424970504537512</x:v>
      </x:c>
      <x:c r="J191" s="24" t="n">
        <x:v>1586</x:v>
      </x:c>
      <x:c r="K191" s="25" t="n">
        <x:v>45.02423729999282</x:v>
      </x:c>
      <x:c r="L191" s="25" t="n">
        <x:v>11.32732430005126</x:v>
      </x:c>
      <x:c r="M191" s="25" t="n">
        <x:v>26.825643499953003</x:v>
      </x:c>
      <x:c r="N191" s="25" t="n">
        <x:v>0.5496387000966934</x:v>
      </x:c>
      <x:c r="O191" s="25" t="n">
        <x:v>6.321630799891864</x:v>
      </x:c>
      <x:c r="P191" s="25" t="n">
        <x:v>0.03208083999779773</x:v>
      </x:c>
      <x:c r="Q191" s="25" t="n">
        <x:v>0.7436229040002217</x:v>
      </x:c>
      <x:c r="R191" s="25" t="n">
        <x:v>2.14860819999958</x:v>
      </x:c>
      <x:c r="S191" s="25" t="n">
        <x:v>2.295120279999246</x:v>
      </x:c>
      <x:c r="T191" s="25" t="n">
        <x:v>45.02423729999282</x:v>
      </x:c>
      <x:c r="U191" s="25" t="n">
        <x:v>45.02423729999282</x:v>
      </x:c>
      <x:c r="V191" s="25"/>
      <x:c r="W191" s="19" t="str">
        <x:v>FRAME_GUARD</x:v>
      </x:c>
      <x:c r="X191" s="26" t="n">
        <x:f>IF(AND(J167&gt;0,E191=E167),1-J191/J167,"")</x:f>
        <x:v>-0.49481621112158347</x:v>
      </x:c>
      <x:c r="Y191" s="26" t="n">
        <x:f>IF(AND(K167&gt;0,E191=E167),1-K191/K167,"")</x:f>
        <x:v>-0.06802060827827705</x:v>
      </x:c>
      <x:c r="Z191" s="26" t="n">
        <x:f>IF(AND(ISNUMBER(P167),P167&gt;0,E191=E167),1-P191/P167,"")</x:f>
        <x:v>-0.02375117106492386</x:v>
      </x:c>
      <x:c r="AA191" s="26" t="n">
        <x:f>IF(AND(ISNUMBER(R191),ISNUMBER(R167),R167&gt;0,E191=E167),1-R191/R167,"")</x:f>
        <x:v>-0.7223787932369805</x:v>
      </x:c>
      <x:c r="AB191" s="26"/>
      <x:c r="AC191" s="19" t="str">
        <x:v>D:/Codex/GRL研究/outputs/grid89_review/per_date.csv</x:v>
      </x:c>
    </x:row>
    <x:row r="192" ht="36" customHeight="1">
      <x:c r="A192" s="19" t="str">
        <x:v>GRID89 META费用</x:v>
      </x:c>
      <x:c r="B192" s="19" t="str">
        <x:v>2036-11-03_9</x:v>
      </x:c>
      <x:c r="C192" s="19" t="str">
        <x:v>META_COST0_SEED3</x:v>
      </x:c>
      <x:c r="D192" s="21" t="n">
        <x:v>1</x:v>
      </x:c>
      <x:c r="E192" s="21" t="n">
        <x:v>519</x:v>
      </x:c>
      <x:c r="F192" s="21" t="n">
        <x:v>1</x:v>
      </x:c>
      <x:c r="G192" s="21" t="n">
        <x:v>0</x:v>
      </x:c>
      <x:c r="H192" s="22" t="n">
        <x:v>361332.79052734375</x:v>
      </x:c>
      <x:c r="I192" s="23"/>
      <x:c r="J192" s="24" t="n">
        <x:v>0</x:v>
      </x:c>
      <x:c r="K192" s="25" t="n">
        <x:v>15.318941799960157</x:v>
      </x:c>
      <x:c r="L192" s="25" t="n">
        <x:v>1.9801806000796205</x:v>
      </x:c>
      <x:c r="M192" s="25" t="n">
        <x:v>12.391049500009103</x:v>
      </x:c>
      <x:c r="N192" s="25" t="n">
        <x:v>0</x:v>
      </x:c>
      <x:c r="O192" s="25" t="n">
        <x:v>0.9477116998714337</x:v>
      </x:c>
      <x:c r="P192" s="25" t="n">
        <x:v>0.028826849998222253</x:v>
      </x:c>
      <x:c r="Q192" s="25" t="n">
        <x:v>0.8329424920000796</x:v>
      </x:c>
      <x:c r="R192" s="25"/>
      <x:c r="S192" s="25"/>
      <x:c r="T192" s="25" t="n">
        <x:v>15.318941799960157</x:v>
      </x:c>
      <x:c r="U192" s="25" t="n">
        <x:v>15.318941799960157</x:v>
      </x:c>
      <x:c r="V192" s="25"/>
      <x:c r="W192" s="19" t="str">
        <x:v>FRAME_GUARD</x:v>
      </x:c>
      <x:c r="X192" s="26" t="str">
        <x:f>IF(AND(J168&gt;0,E192=E168),1-J192/J168,"")</x:f>
      </x:c>
      <x:c r="Y192" s="26" t="n">
        <x:f>IF(AND(K168&gt;0,E192=E168),1-K192/K168,"")</x:f>
        <x:v>0.01585129164409682</x:v>
      </x:c>
      <x:c r="Z192" s="26" t="n">
        <x:f>IF(AND(ISNUMBER(P168),P168&gt;0,E192=E168),1-P192/P168,"")</x:f>
        <x:v>0.03938261848563607</x:v>
      </x:c>
      <x:c r="AA192" s="26" t="str">
        <x:f>IF(AND(ISNUMBER(R192),ISNUMBER(R168),R168&gt;0,E192=E168),1-R192/R168,"")</x:f>
      </x:c>
      <x:c r="AB192" s="26"/>
      <x:c r="AC192" s="19" t="str">
        <x:v>D:/Codex/GRL研究/outputs/grid89_review/per_date.csv</x:v>
      </x:c>
    </x:row>
    <x:row r="193" ht="36" customHeight="1">
      <x:c r="A193" s="19" t="str">
        <x:v>GRID89 META费用</x:v>
      </x:c>
      <x:c r="B193" s="19" t="str">
        <x:v>2036-01-07_9</x:v>
      </x:c>
      <x:c r="C193" s="19" t="str">
        <x:v>META_COST0_SEED4</x:v>
      </x:c>
      <x:c r="D193" s="21" t="n">
        <x:v>1</x:v>
      </x:c>
      <x:c r="E193" s="21" t="n">
        <x:v>2017</x:v>
      </x:c>
      <x:c r="F193" s="21" t="n">
        <x:v>1</x:v>
      </x:c>
      <x:c r="G193" s="21" t="n">
        <x:v>1</x:v>
      </x:c>
      <x:c r="H193" s="22" t="n">
        <x:v>2412707.07421875</x:v>
      </x:c>
      <x:c r="I193" s="23" t="n">
        <x:v>0.0008663102138171119</x:v>
      </x:c>
      <x:c r="J193" s="24" t="n">
        <x:v>1359</x:v>
      </x:c>
      <x:c r="K193" s="25" t="n">
        <x:v>88.87162059998445</x:v>
      </x:c>
      <x:c r="L193" s="25" t="n">
        <x:v>16.265281799911463</x:v>
      </x:c>
      <x:c r="M193" s="25" t="n">
        <x:v>66.22219600000608</x:v>
      </x:c>
      <x:c r="N193" s="25" t="n">
        <x:v>1.3994757000582467</x:v>
      </x:c>
      <x:c r="O193" s="25" t="n">
        <x:v>4.984667100008664</x:v>
      </x:c>
      <x:c r="P193" s="25" t="n">
        <x:v>0.03830778000192366</x:v>
      </x:c>
      <x:c r="Q193" s="25" t="n">
        <x:v>0.8860670520014531</x:v>
      </x:c>
      <x:c r="R193" s="25" t="n">
        <x:v>3.4052037200002814</x:v>
      </x:c>
      <x:c r="S193" s="25" t="n">
        <x:v>3.652741464000137</x:v>
      </x:c>
      <x:c r="T193" s="25" t="n">
        <x:v>88.87162059998445</x:v>
      </x:c>
      <x:c r="U193" s="25" t="n">
        <x:v>88.87162059998445</x:v>
      </x:c>
      <x:c r="V193" s="25"/>
      <x:c r="W193" s="19" t="str">
        <x:v>FRAME_GUARD</x:v>
      </x:c>
      <x:c r="X193" s="26" t="n">
        <x:f>IF(AND(J163&gt;0,E193=E163),1-J193/J163,"")</x:f>
        <x:v>0.050977653631284925</x:v>
      </x:c>
      <x:c r="Y193" s="26" t="n">
        <x:f>IF(AND(K163&gt;0,E193=E163),1-K193/K163,"")</x:f>
        <x:v>-0.012099642982067005</x:v>
      </x:c>
      <x:c r="Z193" s="26" t="n">
        <x:f>IF(AND(ISNUMBER(P163),P163&gt;0,E193=E163),1-P193/P163,"")</x:f>
        <x:v>0.014445855371812533</x:v>
      </x:c>
      <x:c r="AA193" s="26" t="n">
        <x:f>IF(AND(ISNUMBER(R193),ISNUMBER(R163),R163&gt;0,E193=E163),1-R193/R163,"")</x:f>
        <x:v>-0.03405867050331257</x:v>
      </x:c>
      <x:c r="AB193" s="26"/>
      <x:c r="AC193" s="19" t="str">
        <x:v>D:/Codex/GRL研究/outputs/grid89_review/per_date.csv</x:v>
      </x:c>
    </x:row>
    <x:row r="194" ht="36" customHeight="1">
      <x:c r="A194" s="19" t="str">
        <x:v>GRID89 META费用</x:v>
      </x:c>
      <x:c r="B194" s="19" t="str">
        <x:v>2036-03-03_9</x:v>
      </x:c>
      <x:c r="C194" s="19" t="str">
        <x:v>META_COST0_SEED4</x:v>
      </x:c>
      <x:c r="D194" s="21" t="n">
        <x:v>1</x:v>
      </x:c>
      <x:c r="E194" s="21" t="n">
        <x:v>1720</x:v>
      </x:c>
      <x:c r="F194" s="21" t="n">
        <x:v>1</x:v>
      </x:c>
      <x:c r="G194" s="21" t="n">
        <x:v>0</x:v>
      </x:c>
      <x:c r="H194" s="22" t="n">
        <x:v>2303617.120239258</x:v>
      </x:c>
      <x:c r="I194" s="23"/>
      <x:c r="J194" s="24" t="n">
        <x:v>4385</x:v>
      </x:c>
      <x:c r="K194" s="25" t="n">
        <x:v>70.5352915000185</x:v>
      </x:c>
      <x:c r="L194" s="25" t="n">
        <x:v>21.531453100084036</x:v>
      </x:c>
      <x:c r="M194" s="25" t="n">
        <x:v>42.990639899977396</x:v>
      </x:c>
      <x:c r="N194" s="25" t="n">
        <x:v>1.4245460000238381</x:v>
      </x:c>
      <x:c r="O194" s="25" t="n">
        <x:v>4.588652499933232</x:v>
      </x:c>
      <x:c r="P194" s="25" t="n">
        <x:v>0.03628927999961888</x:v>
      </x:c>
      <x:c r="Q194" s="25" t="n">
        <x:v>1.0147770149987627</x:v>
      </x:c>
      <x:c r="R194" s="25" t="n">
        <x:v>3.132673579999573</x:v>
      </x:c>
      <x:c r="S194" s="25" t="n">
        <x:v>3.20041247599951</x:v>
      </x:c>
      <x:c r="T194" s="25" t="n">
        <x:v>70.5352915000185</x:v>
      </x:c>
      <x:c r="U194" s="25" t="n">
        <x:v>70.5352915000185</x:v>
      </x:c>
      <x:c r="V194" s="25"/>
      <x:c r="W194" s="19" t="str">
        <x:v>FRAME_GUARD</x:v>
      </x:c>
      <x:c r="X194" s="26" t="n">
        <x:f>IF(AND(J164&gt;0,E194=E164),1-J194/J164,"")</x:f>
        <x:v>0.14171070659620277</x:v>
      </x:c>
      <x:c r="Y194" s="26" t="n">
        <x:f>IF(AND(K164&gt;0,E194=E164),1-K194/K164,"")</x:f>
        <x:v>0.032338597344551245</x:v>
      </x:c>
      <x:c r="Z194" s="26" t="n">
        <x:f>IF(AND(ISNUMBER(P164),P164&gt;0,E194=E164),1-P194/P164,"")</x:f>
        <x:v>0.05399171146318238</x:v>
      </x:c>
      <x:c r="AA194" s="26" t="n">
        <x:f>IF(AND(ISNUMBER(R194),ISNUMBER(R164),R164&gt;0,E194=E164),1-R194/R164,"")</x:f>
        <x:v>0.2409229918276602</x:v>
      </x:c>
      <x:c r="AB194" s="26"/>
      <x:c r="AC194" s="19" t="str">
        <x:v>D:/Codex/GRL研究/outputs/grid89_review/per_date.csv</x:v>
      </x:c>
    </x:row>
    <x:row r="195" ht="36" customHeight="1">
      <x:c r="A195" s="19" t="str">
        <x:v>GRID89 META费用</x:v>
      </x:c>
      <x:c r="B195" s="19" t="str">
        <x:v>2036-05-05_9</x:v>
      </x:c>
      <x:c r="C195" s="19" t="str">
        <x:v>META_COST0_SEED4</x:v>
      </x:c>
      <x:c r="D195" s="21" t="n">
        <x:v>1</x:v>
      </x:c>
      <x:c r="E195" s="21" t="n">
        <x:v>2017</x:v>
      </x:c>
      <x:c r="F195" s="21" t="n">
        <x:v>1</x:v>
      </x:c>
      <x:c r="G195" s="21" t="n">
        <x:v>1</x:v>
      </x:c>
      <x:c r="H195" s="22" t="n">
        <x:v>1737961.4846801758</x:v>
      </x:c>
      <x:c r="I195" s="23" t="n">
        <x:v>-0.023331480575255137</x:v>
      </x:c>
      <x:c r="J195" s="24" t="n">
        <x:v>128</x:v>
      </x:c>
      <x:c r="K195" s="25" t="n">
        <x:v>41.04081330003828</x:v>
      </x:c>
      <x:c r="L195" s="25" t="n">
        <x:v>7.679734600067604</x:v>
      </x:c>
      <x:c r="M195" s="25" t="n">
        <x:v>28.813818499973422</x:v>
      </x:c>
      <x:c r="N195" s="25" t="n">
        <x:v>0.1255693000239262</x:v>
      </x:c>
      <x:c r="O195" s="25" t="n">
        <x:v>4.421690899973328</x:v>
      </x:c>
      <x:c r="P195" s="25" t="n">
        <x:v>0.03114497999922605</x:v>
      </x:c>
      <x:c r="Q195" s="25" t="n">
        <x:v>0.7016636680008248</x:v>
      </x:c>
      <x:c r="R195" s="25" t="n">
        <x:v>3.281449400001293</x:v>
      </x:c>
      <x:c r="S195" s="25" t="n">
        <x:v>3.281449400001293</x:v>
      </x:c>
      <x:c r="T195" s="25" t="n">
        <x:v>41.04081330003828</x:v>
      </x:c>
      <x:c r="U195" s="25" t="n">
        <x:v>41.04081330003828</x:v>
      </x:c>
      <x:c r="V195" s="25"/>
      <x:c r="W195" s="19" t="str">
        <x:v>FRAME_GUARD</x:v>
      </x:c>
      <x:c r="X195" s="26" t="n">
        <x:f>IF(AND(J165&gt;0,E195=E165),1-J195/J165,"")</x:f>
        <x:v>0.7180616740088106</x:v>
      </x:c>
      <x:c r="Y195" s="26" t="n">
        <x:f>IF(AND(K165&gt;0,E195=E165),1-K195/K165,"")</x:f>
        <x:v>-0.05683126790715942</x:v>
      </x:c>
      <x:c r="Z195" s="26" t="n">
        <x:f>IF(AND(ISNUMBER(P165),P165&gt;0,E195=E165),1-P195/P165,"")</x:f>
        <x:v>-0.008835127491544137</x:v>
      </x:c>
      <x:c r="AA195" s="26" t="n">
        <x:f>IF(AND(ISNUMBER(R195),ISNUMBER(R165),R165&gt;0,E195=E165),1-R195/R165,"")</x:f>
        <x:v>0.22040110274978642</x:v>
      </x:c>
      <x:c r="AB195" s="26"/>
      <x:c r="AC195" s="19" t="str">
        <x:v>D:/Codex/GRL研究/outputs/grid89_review/per_date.csv</x:v>
      </x:c>
    </x:row>
    <x:row r="196" ht="36" customHeight="1">
      <x:c r="A196" s="19" t="str">
        <x:v>GRID89 META费用</x:v>
      </x:c>
      <x:c r="B196" s="19" t="str">
        <x:v>2036-07-07_9</x:v>
      </x:c>
      <x:c r="C196" s="19" t="str">
        <x:v>META_COST0_SEED4</x:v>
      </x:c>
      <x:c r="D196" s="21" t="n">
        <x:v>1</x:v>
      </x:c>
      <x:c r="E196" s="21" t="n">
        <x:v>2017</x:v>
      </x:c>
      <x:c r="F196" s="21" t="n">
        <x:v>1</x:v>
      </x:c>
      <x:c r="G196" s="21" t="n">
        <x:v>1</x:v>
      </x:c>
      <x:c r="H196" s="22" t="n">
        <x:v>1396410.2720947266</x:v>
      </x:c>
      <x:c r="I196" s="23" t="n">
        <x:v>-0.007282270640677879</x:v>
      </x:c>
      <x:c r="J196" s="24" t="n">
        <x:v>2729</x:v>
      </x:c>
      <x:c r="K196" s="25" t="n">
        <x:v>46.27021239998794</x:v>
      </x:c>
      <x:c r="L196" s="25" t="n">
        <x:v>15.408129600211396</x:v>
      </x:c>
      <x:c r="M196" s="25" t="n">
        <x:v>25.070039300004282</x:v>
      </x:c>
      <x:c r="N196" s="25" t="n">
        <x:v>1.3211484000566998</x:v>
      </x:c>
      <x:c r="O196" s="25" t="n">
        <x:v>4.4708950997155625</x:v>
      </x:c>
      <x:c r="P196" s="25" t="n">
        <x:v>0.0372401800006628</x:v>
      </x:c>
      <x:c r="Q196" s="25" t="n">
        <x:v>0.7446492680022493</x:v>
      </x:c>
      <x:c r="R196" s="25" t="n">
        <x:v>3.256780445001093</x:v>
      </x:c>
      <x:c r="S196" s="25" t="n">
        <x:v>4.177347929000135</x:v>
      </x:c>
      <x:c r="T196" s="25" t="n">
        <x:v>46.27021239998794</x:v>
      </x:c>
      <x:c r="U196" s="25" t="n">
        <x:v>46.27021239998794</x:v>
      </x:c>
      <x:c r="V196" s="25"/>
      <x:c r="W196" s="19" t="str">
        <x:v>FRAME_GUARD</x:v>
      </x:c>
      <x:c r="X196" s="26" t="n">
        <x:f>IF(AND(J166&gt;0,E196=E166),1-J196/J166,"")</x:f>
        <x:v>0.21354466858789622</x:v>
      </x:c>
      <x:c r="Y196" s="26" t="n">
        <x:f>IF(AND(K166&gt;0,E196=E166),1-K196/K166,"")</x:f>
        <x:v>0.034650132452625604</x:v>
      </x:c>
      <x:c r="Z196" s="26" t="n">
        <x:f>IF(AND(ISNUMBER(P166),P166&gt;0,E196=E166),1-P196/P166,"")</x:f>
        <x:v>-0.03185490258558432</x:v>
      </x:c>
      <x:c r="AA196" s="26" t="n">
        <x:f>IF(AND(ISNUMBER(R196),ISNUMBER(R166),R166&gt;0,E196=E166),1-R196/R166,"")</x:f>
        <x:v>0.044699195755501075</x:v>
      </x:c>
      <x:c r="AB196" s="26"/>
      <x:c r="AC196" s="19" t="str">
        <x:v>D:/Codex/GRL研究/outputs/grid89_review/per_date.csv</x:v>
      </x:c>
    </x:row>
    <x:row r="197" ht="36" customHeight="1">
      <x:c r="A197" s="19" t="str">
        <x:v>GRID89 META费用</x:v>
      </x:c>
      <x:c r="B197" s="19" t="str">
        <x:v>2036-09-01_9</x:v>
      </x:c>
      <x:c r="C197" s="19" t="str">
        <x:v>META_COST0_SEED4</x:v>
      </x:c>
      <x:c r="D197" s="21" t="n">
        <x:v>1</x:v>
      </x:c>
      <x:c r="E197" s="21" t="n">
        <x:v>2017</x:v>
      </x:c>
      <x:c r="F197" s="21" t="n">
        <x:v>1</x:v>
      </x:c>
      <x:c r="G197" s="21" t="n">
        <x:v>1</x:v>
      </x:c>
      <x:c r="H197" s="22" t="n">
        <x:v>1392539.194595337</x:v>
      </x:c>
      <x:c r="I197" s="23" t="n">
        <x:v>-0.00030211563703952393</x:v>
      </x:c>
      <x:c r="J197" s="24" t="n">
        <x:v>640</x:v>
      </x:c>
      <x:c r="K197" s="25" t="n">
        <x:v>41.139661300003354</x:v>
      </x:c>
      <x:c r="L197" s="25" t="n">
        <x:v>9.0407872998112</x:v>
      </x:c>
      <x:c r="M197" s="25" t="n">
        <x:v>26.63012500001787</x:v>
      </x:c>
      <x:c r="N197" s="25" t="n">
        <x:v>0.9475749999619438</x:v>
      </x:c>
      <x:c r="O197" s="25" t="n">
        <x:v>4.521174000212341</x:v>
      </x:c>
      <x:c r="P197" s="25" t="n">
        <x:v>0.030577079997601658</x:v>
      </x:c>
      <x:c r="Q197" s="25" t="n">
        <x:v>0.7528405400007612</x:v>
      </x:c>
      <x:c r="R197" s="25" t="n">
        <x:v>1.1551598200006992</x:v>
      </x:c>
      <x:c r="S197" s="25" t="n">
        <x:v>1.1935702840008888</x:v>
      </x:c>
      <x:c r="T197" s="25" t="n">
        <x:v>41.139661300003354</x:v>
      </x:c>
      <x:c r="U197" s="25" t="n">
        <x:v>41.139661300003354</x:v>
      </x:c>
      <x:c r="V197" s="25"/>
      <x:c r="W197" s="19" t="str">
        <x:v>FRAME_GUARD</x:v>
      </x:c>
      <x:c r="X197" s="26" t="n">
        <x:f>IF(AND(J167&gt;0,E197=E167),1-J197/J167,"")</x:f>
        <x:v>0.3967954759660698</x:v>
      </x:c>
      <x:c r="Y197" s="26" t="n">
        <x:f>IF(AND(K167&gt;0,E197=E167),1-K197/K167,"")</x:f>
        <x:v>0.024125477279347773</x:v>
      </x:c>
      <x:c r="Z197" s="26" t="n">
        <x:f>IF(AND(ISNUMBER(P167),P167&gt;0,E197=E167),1-P197/P167,"")</x:f>
        <x:v>0.02423622768482836</x:v>
      </x:c>
      <x:c r="AA197" s="26" t="n">
        <x:f>IF(AND(ISNUMBER(R197),ISNUMBER(R167),R167&gt;0,E197=E167),1-R197/R167,"")</x:f>
        <x:v>0.07399460880348463</x:v>
      </x:c>
      <x:c r="AB197" s="26"/>
      <x:c r="AC197" s="19" t="str">
        <x:v>D:/Codex/GRL研究/outputs/grid89_review/per_date.csv</x:v>
      </x:c>
    </x:row>
    <x:row r="198" ht="36" customHeight="1">
      <x:c r="A198" s="19" t="str">
        <x:v>GRID89 META费用</x:v>
      </x:c>
      <x:c r="B198" s="19" t="str">
        <x:v>2036-11-03_9</x:v>
      </x:c>
      <x:c r="C198" s="19" t="str">
        <x:v>META_COST0_SEED4</x:v>
      </x:c>
      <x:c r="D198" s="21" t="n">
        <x:v>1</x:v>
      </x:c>
      <x:c r="E198" s="21" t="n">
        <x:v>519</x:v>
      </x:c>
      <x:c r="F198" s="21" t="n">
        <x:v>1</x:v>
      </x:c>
      <x:c r="G198" s="21" t="n">
        <x:v>0</x:v>
      </x:c>
      <x:c r="H198" s="22" t="n">
        <x:v>361332.79052734375</x:v>
      </x:c>
      <x:c r="I198" s="23"/>
      <x:c r="J198" s="24" t="n">
        <x:v>0</x:v>
      </x:c>
      <x:c r="K198" s="25" t="n">
        <x:v>15.620295700020506</x:v>
      </x:c>
      <x:c r="L198" s="25" t="n">
        <x:v>1.9822183999531262</x:v>
      </x:c>
      <x:c r="M198" s="25" t="n">
        <x:v>12.692793600002915</x:v>
      </x:c>
      <x:c r="N198" s="25" t="n">
        <x:v>0</x:v>
      </x:c>
      <x:c r="O198" s="25" t="n">
        <x:v>0.9452837000644649</x:v>
      </x:c>
      <x:c r="P198" s="25" t="n">
        <x:v>0.02920158000015358</x:v>
      </x:c>
      <x:c r="Q198" s="25" t="n">
        <x:v>0.8760567060008969</x:v>
      </x:c>
      <x:c r="R198" s="25"/>
      <x:c r="S198" s="25"/>
      <x:c r="T198" s="25" t="n">
        <x:v>15.620295700020506</x:v>
      </x:c>
      <x:c r="U198" s="25" t="n">
        <x:v>15.620295700020506</x:v>
      </x:c>
      <x:c r="V198" s="25"/>
      <x:c r="W198" s="19" t="str">
        <x:v>FRAME_GUARD</x:v>
      </x:c>
      <x:c r="X198" s="26" t="str">
        <x:f>IF(AND(J168&gt;0,E198=E168),1-J198/J168,"")</x:f>
      </x:c>
      <x:c r="Y198" s="26" t="n">
        <x:f>IF(AND(K168&gt;0,E198=E168),1-K198/K168,"")</x:f>
        <x:v>-0.0035088609940689963</x:v>
      </x:c>
      <x:c r="Z198" s="26" t="n">
        <x:f>IF(AND(ISNUMBER(P168),P168&gt;0,E198=E168),1-P198/P168,"")</x:f>
        <x:v>0.02689522727735827</x:v>
      </x:c>
      <x:c r="AA198" s="26" t="str">
        <x:f>IF(AND(ISNUMBER(R198),ISNUMBER(R168),R168&gt;0,E198=E168),1-R198/R168,"")</x:f>
      </x:c>
      <x:c r="AB198" s="26"/>
      <x:c r="AC198" s="19" t="str">
        <x:v>D:/Codex/GRL研究/outputs/grid89_review/per_date.csv</x:v>
      </x:c>
    </x:row>
    <x:row r="199" ht="36" customHeight="1">
      <x:c r="A199" s="19" t="str">
        <x:v>GRID89 META费用</x:v>
      </x:c>
      <x:c r="B199" s="19" t="str">
        <x:v>2036-01-07_9</x:v>
      </x:c>
      <x:c r="C199" s="19" t="str">
        <x:v>META_COST1_SEED0</x:v>
      </x:c>
      <x:c r="D199" s="21" t="n">
        <x:v>1</x:v>
      </x:c>
      <x:c r="E199" s="21" t="n">
        <x:v>2017</x:v>
      </x:c>
      <x:c r="F199" s="21" t="n">
        <x:v>0</x:v>
      </x:c>
      <x:c r="G199" s="21" t="n">
        <x:v>1</x:v>
      </x:c>
      <x:c r="H199" s="22" t="n">
        <x:v>2451077.465576172</x:v>
      </x:c>
      <x:c r="I199" s="23" t="n">
        <x:v>0.01678354792150616</x:v>
      </x:c>
      <x:c r="J199" s="24" t="n">
        <x:v>1216</x:v>
      </x:c>
      <x:c r="K199" s="25" t="n">
        <x:v>91.50401960000454</x:v>
      </x:c>
      <x:c r="L199" s="25" t="n">
        <x:v>15.615702900035103</x:v>
      </x:c>
      <x:c r="M199" s="25" t="n">
        <x:v>69.40310509999836</x:v>
      </x:c>
      <x:c r="N199" s="25" t="n">
        <x:v>1.3767894999618875</x:v>
      </x:c>
      <x:c r="O199" s="25" t="n">
        <x:v>5.108422100009193</x:v>
      </x:c>
      <x:c r="P199" s="25" t="n">
        <x:v>0.03855759999860308</x:v>
      </x:c>
      <x:c r="Q199" s="25" t="n">
        <x:v>1.0268786640002374</x:v>
      </x:c>
      <x:c r="R199" s="25" t="n">
        <x:v>3.4677517799995257</x:v>
      </x:c>
      <x:c r="S199" s="25" t="n">
        <x:v>3.657135795999493</x:v>
      </x:c>
      <x:c r="T199" s="25" t="n">
        <x:v>91.50401960000454</x:v>
      </x:c>
      <x:c r="U199" s="25" t="n">
        <x:v>91.50401960000454</x:v>
      </x:c>
      <x:c r="V199" s="25"/>
      <x:c r="W199" s="19" t="str">
        <x:v>FRAME_GUARD</x:v>
      </x:c>
      <x:c r="X199" s="26" t="n">
        <x:f>IF(AND(J163&gt;0,E199=E163),1-J199/J163,"")</x:f>
        <x:v>0.15083798882681565</x:v>
      </x:c>
      <x:c r="Y199" s="26" t="n">
        <x:f>IF(AND(K163&gt;0,E199=E163),1-K199/K163,"")</x:f>
        <x:v>-0.042078280370695165</x:v>
      </x:c>
      <x:c r="Z199" s="26" t="n">
        <x:f>IF(AND(ISNUMBER(P163),P163&gt;0,E199=E163),1-P199/P163,"")</x:f>
        <x:v>0.008018671830348212</x:v>
      </x:c>
      <x:c r="AA199" s="26" t="n">
        <x:f>IF(AND(ISNUMBER(R199),ISNUMBER(R163),R163&gt;0,E199=E163),1-R199/R163,"")</x:f>
        <x:v>-0.053052648274890535</x:v>
      </x:c>
      <x:c r="AB199" s="26"/>
      <x:c r="AC199" s="19" t="str">
        <x:v>D:/Codex/GRL研究/outputs/grid89_review/per_date.csv</x:v>
      </x:c>
    </x:row>
    <x:row r="200" ht="36" customHeight="1">
      <x:c r="A200" s="19" t="str">
        <x:v>GRID89 META费用</x:v>
      </x:c>
      <x:c r="B200" s="19" t="str">
        <x:v>2036-03-03_9</x:v>
      </x:c>
      <x:c r="C200" s="19" t="str">
        <x:v>META_COST1_SEED0</x:v>
      </x:c>
      <x:c r="D200" s="21" t="n">
        <x:v>1</x:v>
      </x:c>
      <x:c r="E200" s="21" t="n">
        <x:v>1720</x:v>
      </x:c>
      <x:c r="F200" s="21" t="n">
        <x:v>1</x:v>
      </x:c>
      <x:c r="G200" s="21" t="n">
        <x:v>0</x:v>
      </x:c>
      <x:c r="H200" s="22" t="n">
        <x:v>2299451.3294067383</x:v>
      </x:c>
      <x:c r="I200" s="23"/>
      <x:c r="J200" s="24" t="n">
        <x:v>3788</x:v>
      </x:c>
      <x:c r="K200" s="25" t="n">
        <x:v>68.90239249998194</x:v>
      </x:c>
      <x:c r="L200" s="25" t="n">
        <x:v>19.585168000117847</x:v>
      </x:c>
      <x:c r="M200" s="25" t="n">
        <x:v>43.73338660005538</x:v>
      </x:c>
      <x:c r="N200" s="25" t="n">
        <x:v>1.0400135000163573</x:v>
      </x:c>
      <x:c r="O200" s="25" t="n">
        <x:v>4.543824399792356</x:v>
      </x:c>
      <x:c r="P200" s="25" t="n">
        <x:v>0.036001310000392535</x:v>
      </x:c>
      <x:c r="Q200" s="25" t="n">
        <x:v>1.0943375749994713</x:v>
      </x:c>
      <x:c r="R200" s="25" t="n">
        <x:v>3.1091945449983536</x:v>
      </x:c>
      <x:c r="S200" s="25" t="n">
        <x:v>3.211994668997686</x:v>
      </x:c>
      <x:c r="T200" s="25" t="n">
        <x:v>68.90239249998194</x:v>
      </x:c>
      <x:c r="U200" s="25" t="n">
        <x:v>68.90239249998194</x:v>
      </x:c>
      <x:c r="V200" s="25"/>
      <x:c r="W200" s="19" t="str">
        <x:v>FRAME_GUARD</x:v>
      </x:c>
      <x:c r="X200" s="26" t="n">
        <x:f>IF(AND(J164&gt;0,E200=E164),1-J200/J164,"")</x:f>
        <x:v>0.25856331963202195</x:v>
      </x:c>
      <x:c r="Y200" s="26" t="n">
        <x:f>IF(AND(K164&gt;0,E200=E164),1-K200/K164,"")</x:f>
        <x:v>0.05474005487265465</x:v>
      </x:c>
      <x:c r="Z200" s="26" t="n">
        <x:f>IF(AND(ISNUMBER(P164),P164&gt;0,E200=E164),1-P200/P164,"")</x:f>
        <x:v>0.061498666853890716</x:v>
      </x:c>
      <x:c r="AA200" s="26" t="n">
        <x:f>IF(AND(ISNUMBER(R200),ISNUMBER(R164),R164&gt;0,E200=E164),1-R200/R164,"")</x:f>
        <x:v>0.24661218835208765</x:v>
      </x:c>
      <x:c r="AB200" s="26"/>
      <x:c r="AC200" s="19" t="str">
        <x:v>D:/Codex/GRL研究/outputs/grid89_review/per_date.csv</x:v>
      </x:c>
    </x:row>
    <x:row r="201" ht="36" customHeight="1">
      <x:c r="A201" s="19" t="str">
        <x:v>GRID89 META费用</x:v>
      </x:c>
      <x:c r="B201" s="19" t="str">
        <x:v>2036-05-05_9</x:v>
      </x:c>
      <x:c r="C201" s="19" t="str">
        <x:v>META_COST1_SEED0</x:v>
      </x:c>
      <x:c r="D201" s="21" t="n">
        <x:v>1</x:v>
      </x:c>
      <x:c r="E201" s="21" t="n">
        <x:v>2017</x:v>
      </x:c>
      <x:c r="F201" s="21" t="n">
        <x:v>1</x:v>
      </x:c>
      <x:c r="G201" s="21" t="n">
        <x:v>1</x:v>
      </x:c>
      <x:c r="H201" s="22" t="n">
        <x:v>1732291.8922729492</x:v>
      </x:c>
      <x:c r="I201" s="23" t="n">
        <x:v>-0.02651757674074451</x:v>
      </x:c>
      <x:c r="J201" s="24" t="n">
        <x:v>454</x:v>
      </x:c>
      <x:c r="K201" s="25" t="n">
        <x:v>39.98860160003824</x:v>
      </x:c>
      <x:c r="L201" s="25" t="n">
        <x:v>8.6173773999908</x:v>
      </x:c>
      <x:c r="M201" s="25" t="n">
        <x:v>26.724596300005942</x:v>
      </x:c>
      <x:c r="N201" s="25" t="n">
        <x:v>0.12646279991895426</x:v>
      </x:c>
      <x:c r="O201" s="25" t="n">
        <x:v>4.52016510012254</x:v>
      </x:c>
      <x:c r="P201" s="25" t="n">
        <x:v>0.031406399998377285</x:v>
      </x:c>
      <x:c r="Q201" s="25" t="n">
        <x:v>0.6190089519980904</x:v>
      </x:c>
      <x:c r="R201" s="25" t="n">
        <x:v>4.364976500000921</x:v>
      </x:c>
      <x:c r="S201" s="25" t="n">
        <x:v>4.364976500000921</x:v>
      </x:c>
      <x:c r="T201" s="25" t="n">
        <x:v>39.98860160003824</x:v>
      </x:c>
      <x:c r="U201" s="25" t="n">
        <x:v>39.98860160003824</x:v>
      </x:c>
      <x:c r="V201" s="25"/>
      <x:c r="W201" s="19" t="str">
        <x:v>FRAME_GUARD</x:v>
      </x:c>
      <x:c r="X201" s="26" t="n">
        <x:f>IF(AND(J165&gt;0,E201=E165),1-J201/J165,"")</x:f>
        <x:v>0</x:v>
      </x:c>
      <x:c r="Y201" s="26" t="n">
        <x:f>IF(AND(K165&gt;0,E201=E165),1-K201/K165,"")</x:f>
        <x:v>-0.029736039143338777</x:v>
      </x:c>
      <x:c r="Z201" s="26" t="n">
        <x:f>IF(AND(ISNUMBER(P165),P165&gt;0,E201=E165),1-P201/P165,"")</x:f>
        <x:v>-0.01730293444403297</x:v>
      </x:c>
      <x:c r="AA201" s="26" t="n">
        <x:f>IF(AND(ISNUMBER(R201),ISNUMBER(R165),R165&gt;0,E201=E165),1-R201/R165,"")</x:f>
        <x:v>-0.03702067321911895</x:v>
      </x:c>
      <x:c r="AB201" s="26"/>
      <x:c r="AC201" s="19" t="str">
        <x:v>D:/Codex/GRL研究/outputs/grid89_review/per_date.csv</x:v>
      </x:c>
    </x:row>
    <x:row r="202" ht="36" customHeight="1">
      <x:c r="A202" s="19" t="str">
        <x:v>GRID89 META费用</x:v>
      </x:c>
      <x:c r="B202" s="19" t="str">
        <x:v>2036-07-07_9</x:v>
      </x:c>
      <x:c r="C202" s="19" t="str">
        <x:v>META_COST1_SEED0</x:v>
      </x:c>
      <x:c r="D202" s="21" t="n">
        <x:v>1</x:v>
      </x:c>
      <x:c r="E202" s="21" t="n">
        <x:v>2017</x:v>
      </x:c>
      <x:c r="F202" s="21" t="n">
        <x:v>1</x:v>
      </x:c>
      <x:c r="G202" s="21" t="n">
        <x:v>1</x:v>
      </x:c>
      <x:c r="H202" s="22" t="n">
        <x:v>1396410.2720947266</x:v>
      </x:c>
      <x:c r="I202" s="23" t="n">
        <x:v>-0.007282270640677879</x:v>
      </x:c>
      <x:c r="J202" s="24" t="n">
        <x:v>2445</x:v>
      </x:c>
      <x:c r="K202" s="25" t="n">
        <x:v>45.39674140003626</x:v>
      </x:c>
      <x:c r="L202" s="25" t="n">
        <x:v>14.632550299993454</x:v>
      </x:c>
      <x:c r="M202" s="25" t="n">
        <x:v>25.261417600049754</x:v>
      </x:c>
      <x:c r="N202" s="25" t="n">
        <x:v>1.349349100037216</x:v>
      </x:c>
      <x:c r="O202" s="25" t="n">
        <x:v>4.1534243999558385</x:v>
      </x:c>
      <x:c r="P202" s="25" t="n">
        <x:v>0.037227999998867736</x:v>
      </x:c>
      <x:c r="Q202" s="25" t="n">
        <x:v>0.7444923919989374</x:v>
      </x:c>
      <x:c r="R202" s="25" t="n">
        <x:v>3.3817760199985036</x:v>
      </x:c>
      <x:c r="S202" s="25" t="n">
        <x:v>4.173606963998901</x:v>
      </x:c>
      <x:c r="T202" s="25" t="n">
        <x:v>45.39674140003626</x:v>
      </x:c>
      <x:c r="U202" s="25" t="n">
        <x:v>45.39674140003626</x:v>
      </x:c>
      <x:c r="V202" s="25"/>
      <x:c r="W202" s="19" t="str">
        <x:v>FRAME_GUARD</x:v>
      </x:c>
      <x:c r="X202" s="26" t="n">
        <x:f>IF(AND(J166&gt;0,E202=E166),1-J202/J166,"")</x:f>
        <x:v>0.29538904899135443</x:v>
      </x:c>
      <x:c r="Y202" s="26" t="n">
        <x:f>IF(AND(K166&gt;0,E202=E166),1-K202/K166,"")</x:f>
        <x:v>0.05287363025766367</x:v>
      </x:c>
      <x:c r="Z202" s="26" t="n">
        <x:f>IF(AND(ISNUMBER(P166),P166&gt;0,E202=E166),1-P202/P166,"")</x:f>
        <x:v>-0.03151741778917594</x:v>
      </x:c>
      <x:c r="AA202" s="26" t="n">
        <x:f>IF(AND(ISNUMBER(R202),ISNUMBER(R166),R166&gt;0,E202=E166),1-R202/R166,"")</x:f>
        <x:v>0.008034650712155367</x:v>
      </x:c>
      <x:c r="AB202" s="26"/>
      <x:c r="AC202" s="19" t="str">
        <x:v>D:/Codex/GRL研究/outputs/grid89_review/per_date.csv</x:v>
      </x:c>
    </x:row>
    <x:row r="203" ht="36" customHeight="1">
      <x:c r="A203" s="19" t="str">
        <x:v>GRID89 META费用</x:v>
      </x:c>
      <x:c r="B203" s="19" t="str">
        <x:v>2036-09-01_9</x:v>
      </x:c>
      <x:c r="C203" s="19" t="str">
        <x:v>META_COST1_SEED0</x:v>
      </x:c>
      <x:c r="D203" s="21" t="n">
        <x:v>1</x:v>
      </x:c>
      <x:c r="E203" s="21" t="n">
        <x:v>2017</x:v>
      </x:c>
      <x:c r="F203" s="21" t="n">
        <x:v>1</x:v>
      </x:c>
      <x:c r="G203" s="21" t="n">
        <x:v>1</x:v>
      </x:c>
      <x:c r="H203" s="22" t="n">
        <x:v>1392539.194595337</x:v>
      </x:c>
      <x:c r="I203" s="23" t="n">
        <x:v>-0.00030211563703952393</x:v>
      </x:c>
      <x:c r="J203" s="24" t="n">
        <x:v>832</x:v>
      </x:c>
      <x:c r="K203" s="25" t="n">
        <x:v>41.70496250013093</x:v>
      </x:c>
      <x:c r="L203" s="25" t="n">
        <x:v>10.009368399947562</x:v>
      </x:c>
      <x:c r="M203" s="25" t="n">
        <x:v>26.27135879997877</x:v>
      </x:c>
      <x:c r="N203" s="25" t="n">
        <x:v>0.8040605999740364</x:v>
      </x:c>
      <x:c r="O203" s="25" t="n">
        <x:v>4.620174700230564</x:v>
      </x:c>
      <x:c r="P203" s="25" t="n">
        <x:v>0.031418839997786566</x:v>
      </x:c>
      <x:c r="Q203" s="25" t="n">
        <x:v>0.7367495720005535</x:v>
      </x:c>
      <x:c r="R203" s="25" t="n">
        <x:v>1.0829519050004819</x:v>
      </x:c>
      <x:c r="S203" s="25" t="n">
        <x:v>1.1310459010008707</x:v>
      </x:c>
      <x:c r="T203" s="25" t="n">
        <x:v>41.70496250013093</x:v>
      </x:c>
      <x:c r="U203" s="25" t="n">
        <x:v>41.70496250013093</x:v>
      </x:c>
      <x:c r="V203" s="25"/>
      <x:c r="W203" s="19" t="str">
        <x:v>FRAME_GUARD</x:v>
      </x:c>
      <x:c r="X203" s="26" t="n">
        <x:f>IF(AND(J167&gt;0,E203=E167),1-J203/J167,"")</x:f>
        <x:v>0.21583411875589065</x:v>
      </x:c>
      <x:c r="Y203" s="26" t="n">
        <x:f>IF(AND(K167&gt;0,E203=E167),1-K203/K167,"")</x:f>
        <x:v>0.01071595903258804</x:v>
      </x:c>
      <x:c r="Z203" s="26" t="n">
        <x:f>IF(AND(ISNUMBER(P167),P167&gt;0,E203=E167),1-P203/P167,"")</x:f>
        <x:v>-0.002625686965912255</x:v>
      </x:c>
      <x:c r="AA203" s="26" t="n">
        <x:f>IF(AND(ISNUMBER(R203),ISNUMBER(R167),R167&gt;0,E203=E167),1-R203/R167,"")</x:f>
        <x:v>0.1318783036996769</x:v>
      </x:c>
      <x:c r="AB203" s="26"/>
      <x:c r="AC203" s="19" t="str">
        <x:v>D:/Codex/GRL研究/outputs/grid89_review/per_date.csv</x:v>
      </x:c>
    </x:row>
    <x:row r="204" ht="36" customHeight="1">
      <x:c r="A204" s="19" t="str">
        <x:v>GRID89 META费用</x:v>
      </x:c>
      <x:c r="B204" s="19" t="str">
        <x:v>2036-11-03_9</x:v>
      </x:c>
      <x:c r="C204" s="19" t="str">
        <x:v>META_COST1_SEED0</x:v>
      </x:c>
      <x:c r="D204" s="21" t="n">
        <x:v>1</x:v>
      </x:c>
      <x:c r="E204" s="21" t="n">
        <x:v>519</x:v>
      </x:c>
      <x:c r="F204" s="21" t="n">
        <x:v>1</x:v>
      </x:c>
      <x:c r="G204" s="21" t="n">
        <x:v>0</x:v>
      </x:c>
      <x:c r="H204" s="22" t="n">
        <x:v>361332.79052734375</x:v>
      </x:c>
      <x:c r="I204" s="23"/>
      <x:c r="J204" s="24" t="n">
        <x:v>0</x:v>
      </x:c>
      <x:c r="K204" s="25" t="n">
        <x:v>15.535106300005282</x:v>
      </x:c>
      <x:c r="L204" s="25" t="n">
        <x:v>2.0063644999754615</x:v>
      </x:c>
      <x:c r="M204" s="25" t="n">
        <x:v>12.551840799991623</x:v>
      </x:c>
      <x:c r="N204" s="25" t="n">
        <x:v>0</x:v>
      </x:c>
      <x:c r="O204" s="25" t="n">
        <x:v>0.9769010000381968</x:v>
      </x:c>
      <x:c r="P204" s="25" t="n">
        <x:v>0.03153075999834981</x:v>
      </x:c>
      <x:c r="Q204" s="25" t="n">
        <x:v>0.8500720180014517</x:v>
      </x:c>
      <x:c r="R204" s="25"/>
      <x:c r="S204" s="25"/>
      <x:c r="T204" s="25" t="n">
        <x:v>15.535106300005282</x:v>
      </x:c>
      <x:c r="U204" s="25" t="n">
        <x:v>15.535106300005282</x:v>
      </x:c>
      <x:c r="V204" s="25"/>
      <x:c r="W204" s="19" t="str">
        <x:v>FRAME_GUARD</x:v>
      </x:c>
      <x:c r="X204" s="26" t="str">
        <x:f>IF(AND(J168&gt;0,E204=E168),1-J204/J168,"")</x:f>
      </x:c>
      <x:c r="Y204" s="26" t="n">
        <x:f>IF(AND(K168&gt;0,E204=E168),1-K204/K168,"")</x:f>
        <x:v>0.0019640390982087474</x:v>
      </x:c>
      <x:c r="Z204" s="26" t="n">
        <x:f>IF(AND(ISNUMBER(P168),P168&gt;0,E204=E168),1-P204/P168,"")</x:f>
        <x:v>-0.050721674710922704</x:v>
      </x:c>
      <x:c r="AA204" s="26" t="str">
        <x:f>IF(AND(ISNUMBER(R204),ISNUMBER(R168),R168&gt;0,E204=E168),1-R204/R168,"")</x:f>
      </x:c>
      <x:c r="AB204" s="26"/>
      <x:c r="AC204" s="19" t="str">
        <x:v>D:/Codex/GRL研究/outputs/grid89_review/per_date.csv</x:v>
      </x:c>
    </x:row>
    <x:row r="205" ht="36" customHeight="1">
      <x:c r="A205" s="19" t="str">
        <x:v>GRID89 META费用</x:v>
      </x:c>
      <x:c r="B205" s="19" t="str">
        <x:v>2036-01-07_9</x:v>
      </x:c>
      <x:c r="C205" s="19" t="str">
        <x:v>META_COST1_SEED1</x:v>
      </x:c>
      <x:c r="D205" s="21" t="n">
        <x:v>1</x:v>
      </x:c>
      <x:c r="E205" s="21" t="n">
        <x:v>2017</x:v>
      </x:c>
      <x:c r="F205" s="21" t="n">
        <x:v>1</x:v>
      </x:c>
      <x:c r="G205" s="21" t="n">
        <x:v>1</x:v>
      </x:c>
      <x:c r="H205" s="22" t="n">
        <x:v>2410618.7305908203</x:v>
      </x:c>
      <x:c r="I205" s="23" t="n">
        <x:v>0</x:v>
      </x:c>
      <x:c r="J205" s="24" t="n">
        <x:v>4153</x:v>
      </x:c>
      <x:c r="K205" s="25" t="n">
        <x:v>91.97463380001136</x:v>
      </x:c>
      <x:c r="L205" s="25" t="n">
        <x:v>22.593344300050376</x:v>
      </x:c>
      <x:c r="M205" s="25" t="n">
        <x:v>63.40518810000867</x:v>
      </x:c>
      <x:c r="N205" s="25" t="n">
        <x:v>0.8681351999912295</x:v>
      </x:c>
      <x:c r="O205" s="25" t="n">
        <x:v>5.1079661999610835</x:v>
      </x:c>
      <x:c r="P205" s="25" t="n">
        <x:v>0.035879460001160615</x:v>
      </x:c>
      <x:c r="Q205" s="25" t="n">
        <x:v>1.0631969480003975</x:v>
      </x:c>
      <x:c r="R205" s="25" t="n">
        <x:v>4.86062417499852</x:v>
      </x:c>
      <x:c r="S205" s="25" t="n">
        <x:v>5.160839314998157</x:v>
      </x:c>
      <x:c r="T205" s="25" t="n">
        <x:v>91.97463380001136</x:v>
      </x:c>
      <x:c r="U205" s="25" t="n">
        <x:v>91.97463380001136</x:v>
      </x:c>
      <x:c r="V205" s="25"/>
      <x:c r="W205" s="19" t="str">
        <x:v>FRAME_GUARD</x:v>
      </x:c>
      <x:c r="X205" s="26" t="n">
        <x:f>IF(AND(J163&gt;0,E205=E163),1-J205/J163,"")</x:f>
        <x:v>-1.900139664804469</x:v>
      </x:c>
      <x:c r="Y205" s="26" t="n">
        <x:f>IF(AND(K163&gt;0,E205=E163),1-K205/K163,"")</x:f>
        <x:v>-0.047437791771450355</x:v>
      </x:c>
      <x:c r="Z205" s="26" t="n">
        <x:f>IF(AND(ISNUMBER(P163),P163&gt;0,E205=E163),1-P205/P163,"")</x:f>
        <x:v>0.07691987086201757</x:v>
      </x:c>
      <x:c r="AA205" s="26" t="n">
        <x:f>IF(AND(ISNUMBER(R205),ISNUMBER(R163),R163&gt;0,E205=E163),1-R205/R163,"")</x:f>
        <x:v>-0.4760263953355528</x:v>
      </x:c>
      <x:c r="AB205" s="26"/>
      <x:c r="AC205" s="19" t="str">
        <x:v>D:/Codex/GRL研究/outputs/grid89_review/per_date.csv</x:v>
      </x:c>
    </x:row>
    <x:row r="206" ht="36" customHeight="1">
      <x:c r="A206" s="19" t="str">
        <x:v>GRID89 META费用</x:v>
      </x:c>
      <x:c r="B206" s="19" t="str">
        <x:v>2036-03-03_9</x:v>
      </x:c>
      <x:c r="C206" s="19" t="str">
        <x:v>META_COST1_SEED1</x:v>
      </x:c>
      <x:c r="D206" s="21" t="n">
        <x:v>1</x:v>
      </x:c>
      <x:c r="E206" s="21" t="n">
        <x:v>1720</x:v>
      </x:c>
      <x:c r="F206" s="21" t="n">
        <x:v>1</x:v>
      </x:c>
      <x:c r="G206" s="21" t="n">
        <x:v>0</x:v>
      </x:c>
      <x:c r="H206" s="22" t="n">
        <x:v>2303617.120239258</x:v>
      </x:c>
      <x:c r="I206" s="23"/>
      <x:c r="J206" s="24" t="n">
        <x:v>6556</x:v>
      </x:c>
      <x:c r="K206" s="25" t="n">
        <x:v>75.76943630007736</x:v>
      </x:c>
      <x:c r="L206" s="25" t="n">
        <x:v>26.856829599932098</x:v>
      </x:c>
      <x:c r="M206" s="25" t="n">
        <x:v>42.91960910001217</x:v>
      </x:c>
      <x:c r="N206" s="25" t="n">
        <x:v>1.218072800013033</x:v>
      </x:c>
      <x:c r="O206" s="25" t="n">
        <x:v>4.774924800120061</x:v>
      </x:c>
      <x:c r="P206" s="25" t="n">
        <x:v>0.03717772999825683</x:v>
      </x:c>
      <x:c r="Q206" s="25" t="n">
        <x:v>1.1631611630013854</x:v>
      </x:c>
      <x:c r="R206" s="25" t="n">
        <x:v>3.2622068150008996</x:v>
      </x:c>
      <x:c r="S206" s="25" t="n">
        <x:v>3.3892347230007727</x:v>
      </x:c>
      <x:c r="T206" s="25" t="n">
        <x:v>75.76943630007736</x:v>
      </x:c>
      <x:c r="U206" s="25" t="n">
        <x:v>75.76943630007736</x:v>
      </x:c>
      <x:c r="V206" s="25"/>
      <x:c r="W206" s="19" t="str">
        <x:v>FRAME_GUARD</x:v>
      </x:c>
      <x:c r="X206" s="26" t="n">
        <x:f>IF(AND(J164&gt;0,E206=E164),1-J206/J164,"")</x:f>
        <x:v>-0.28322568017224503</x:v>
      </x:c>
      <x:c r="Y206" s="26" t="n">
        <x:f>IF(AND(K164&gt;0,E206=E164),1-K206/K164,"")</x:f>
        <x:v>-0.03946772529502196</x:v>
      </x:c>
      <x:c r="Z206" s="26" t="n">
        <x:f>IF(AND(ISNUMBER(P164),P164&gt;0,E206=E164),1-P206/P164,"")</x:f>
        <x:v>0.030831123469404198</x:v>
      </x:c>
      <x:c r="AA206" s="26" t="n">
        <x:f>IF(AND(ISNUMBER(R206),ISNUMBER(R164),R164&gt;0,E206=E164),1-R206/R164,"")</x:f>
        <x:v>0.20953584025481586</x:v>
      </x:c>
      <x:c r="AB206" s="26"/>
      <x:c r="AC206" s="19" t="str">
        <x:v>D:/Codex/GRL研究/outputs/grid89_review/per_date.csv</x:v>
      </x:c>
    </x:row>
    <x:row r="207" ht="36" customHeight="1">
      <x:c r="A207" s="19" t="str">
        <x:v>GRID89 META费用</x:v>
      </x:c>
      <x:c r="B207" s="19" t="str">
        <x:v>2036-05-05_9</x:v>
      </x:c>
      <x:c r="C207" s="19" t="str">
        <x:v>META_COST1_SEED1</x:v>
      </x:c>
      <x:c r="D207" s="21" t="n">
        <x:v>1</x:v>
      </x:c>
      <x:c r="E207" s="21" t="n">
        <x:v>2017</x:v>
      </x:c>
      <x:c r="F207" s="21" t="n">
        <x:v>1</x:v>
      </x:c>
      <x:c r="G207" s="21" t="n">
        <x:v>1</x:v>
      </x:c>
      <x:c r="H207" s="22" t="n">
        <x:v>1732291.8922729492</x:v>
      </x:c>
      <x:c r="I207" s="23" t="n">
        <x:v>-0.02651757674074451</x:v>
      </x:c>
      <x:c r="J207" s="24" t="n">
        <x:v>454</x:v>
      </x:c>
      <x:c r="K207" s="25" t="n">
        <x:v>38.83157569999821</x:v>
      </x:c>
      <x:c r="L207" s="25" t="n">
        <x:v>8.538703699774487</x:v>
      </x:c>
      <x:c r="M207" s="25" t="n">
        <x:v>25.722046000038972</x:v>
      </x:c>
      <x:c r="N207" s="25" t="n">
        <x:v>0.14090430002397625</x:v>
      </x:c>
      <x:c r="O207" s="25" t="n">
        <x:v>4.429921700160776</x:v>
      </x:c>
      <x:c r="P207" s="25" t="n">
        <x:v>0.031341000002430515</x:v>
      </x:c>
      <x:c r="Q207" s="25" t="n">
        <x:v>0.5905196160003634</x:v>
      </x:c>
      <x:c r="R207" s="25" t="n">
        <x:v>4.221857299999101</x:v>
      </x:c>
      <x:c r="S207" s="25" t="n">
        <x:v>4.221857299999101</x:v>
      </x:c>
      <x:c r="T207" s="25" t="n">
        <x:v>38.83157569999821</x:v>
      </x:c>
      <x:c r="U207" s="25" t="n">
        <x:v>38.83157569999821</x:v>
      </x:c>
      <x:c r="V207" s="25"/>
      <x:c r="W207" s="19" t="str">
        <x:v>FRAME_GUARD</x:v>
      </x:c>
      <x:c r="X207" s="26" t="n">
        <x:f>IF(AND(J165&gt;0,E207=E165),1-J207/J165,"")</x:f>
        <x:v>0</x:v>
      </x:c>
      <x:c r="Y207" s="26" t="n">
        <x:f>IF(AND(K165&gt;0,E207=E165),1-K207/K165,"")</x:f>
        <x:v>0.00005823271967975163</x:v>
      </x:c>
      <x:c r="Z207" s="26" t="n">
        <x:f>IF(AND(ISNUMBER(P165),P165&gt;0,E207=E165),1-P207/P165,"")</x:f>
        <x:v>-0.015184525209204658</x:v>
      </x:c>
      <x:c r="AA207" s="26" t="n">
        <x:f>IF(AND(ISNUMBER(R207),ISNUMBER(R165),R165&gt;0,E207=E165),1-R207/R165,"")</x:f>
        <x:v>-0.003018756109957499</x:v>
      </x:c>
      <x:c r="AB207" s="26"/>
      <x:c r="AC207" s="19" t="str">
        <x:v>D:/Codex/GRL研究/outputs/grid89_review/per_date.csv</x:v>
      </x:c>
    </x:row>
    <x:row r="208" ht="36" customHeight="1">
      <x:c r="A208" s="19" t="str">
        <x:v>GRID89 META费用</x:v>
      </x:c>
      <x:c r="B208" s="19" t="str">
        <x:v>2036-07-07_9</x:v>
      </x:c>
      <x:c r="C208" s="19" t="str">
        <x:v>META_COST1_SEED1</x:v>
      </x:c>
      <x:c r="D208" s="21" t="n">
        <x:v>1</x:v>
      </x:c>
      <x:c r="E208" s="21" t="n">
        <x:v>2017</x:v>
      </x:c>
      <x:c r="F208" s="21" t="n">
        <x:v>1</x:v>
      </x:c>
      <x:c r="G208" s="21" t="n">
        <x:v>1</x:v>
      </x:c>
      <x:c r="H208" s="22" t="n">
        <x:v>1406653.906539917</x:v>
      </x:c>
      <x:c r="I208" s="23" t="n">
        <x:v>0</x:v>
      </x:c>
      <x:c r="J208" s="24" t="n">
        <x:v>7021</x:v>
      </x:c>
      <x:c r="K208" s="25" t="n">
        <x:v>61.475046200012</x:v>
      </x:c>
      <x:c r="L208" s="25" t="n">
        <x:v>28.48283679997985</x:v>
      </x:c>
      <x:c r="M208" s="25" t="n">
        <x:v>26.877108600052452</x:v>
      </x:c>
      <x:c r="N208" s="25" t="n">
        <x:v>1.4997156998688297</x:v>
      </x:c>
      <x:c r="O208" s="25" t="n">
        <x:v>4.6153851001108706</x:v>
      </x:c>
      <x:c r="P208" s="25" t="n">
        <x:v>0.033396319999883406</x:v>
      </x:c>
      <x:c r="Q208" s="25" t="n">
        <x:v>0.7581628280006405</x:v>
      </x:c>
      <x:c r="R208" s="25" t="n">
        <x:v>5.136922455001511</x:v>
      </x:c>
      <x:c r="S208" s="25" t="n">
        <x:v>5.745681051002212</x:v>
      </x:c>
      <x:c r="T208" s="25" t="n">
        <x:v>61.475046200012</x:v>
      </x:c>
      <x:c r="U208" s="25" t="n">
        <x:v>61.475046200012</x:v>
      </x:c>
      <x:c r="V208" s="25"/>
      <x:c r="W208" s="19" t="str">
        <x:v>FRAME_GUARD</x:v>
      </x:c>
      <x:c r="X208" s="26" t="n">
        <x:f>IF(AND(J166&gt;0,E208=E166),1-J208/J166,"")</x:f>
        <x:v>-1.0233429394812679</x:v>
      </x:c>
      <x:c r="Y208" s="26" t="n">
        <x:f>IF(AND(K166&gt;0,E208=E166),1-K208/K166,"")</x:f>
        <x:v>-0.2825730557196615</x:v>
      </x:c>
      <x:c r="Z208" s="26" t="n">
        <x:f>IF(AND(ISNUMBER(P166),P166&gt;0,E208=E166),1-P208/P166,"")</x:f>
        <x:v>0.07465118268538506</x:v>
      </x:c>
      <x:c r="AA208" s="26" t="n">
        <x:f>IF(AND(ISNUMBER(R208),ISNUMBER(R166),R166&gt;0,E208=E166),1-R208/R166,"")</x:f>
        <x:v>-0.5067967385203711</x:v>
      </x:c>
      <x:c r="AB208" s="26"/>
      <x:c r="AC208" s="19" t="str">
        <x:v>D:/Codex/GRL研究/outputs/grid89_review/per_date.csv</x:v>
      </x:c>
    </x:row>
    <x:row r="209" ht="36" customHeight="1">
      <x:c r="A209" s="19" t="str">
        <x:v>GRID89 META费用</x:v>
      </x:c>
      <x:c r="B209" s="19" t="str">
        <x:v>2036-09-01_9</x:v>
      </x:c>
      <x:c r="C209" s="19" t="str">
        <x:v>META_COST1_SEED1</x:v>
      </x:c>
      <x:c r="D209" s="21" t="n">
        <x:v>1</x:v>
      </x:c>
      <x:c r="E209" s="21" t="n">
        <x:v>2017</x:v>
      </x:c>
      <x:c r="F209" s="21" t="n">
        <x:v>1</x:v>
      </x:c>
      <x:c r="G209" s="21" t="n">
        <x:v>1</x:v>
      </x:c>
      <x:c r="H209" s="22" t="n">
        <x:v>1392960.0296020508</x:v>
      </x:c>
      <x:c r="I209" s="23" t="n">
        <x:v>0</x:v>
      </x:c>
      <x:c r="J209" s="24" t="n">
        <x:v>2120</x:v>
      </x:c>
      <x:c r="K209" s="25" t="n">
        <x:v>44.6412202000829</x:v>
      </x:c>
      <x:c r="L209" s="25" t="n">
        <x:v>12.575595399983285</x:v>
      </x:c>
      <x:c r="M209" s="25" t="n">
        <x:v>26.897017899955245</x:v>
      </x:c>
      <x:c r="N209" s="25" t="n">
        <x:v>0.5062053000510787</x:v>
      </x:c>
      <x:c r="O209" s="25" t="n">
        <x:v>4.66240160009329</x:v>
      </x:c>
      <x:c r="P209" s="25" t="n">
        <x:v>0.03076419999924836</x:v>
      </x:c>
      <x:c r="Q209" s="25" t="n">
        <x:v>0.731763060002122</x:v>
      </x:c>
      <x:c r="R209" s="25" t="n">
        <x:v>2.5412687599999115</x:v>
      </x:c>
      <x:c r="S209" s="25" t="n">
        <x:v>2.6699675119998205</x:v>
      </x:c>
      <x:c r="T209" s="25" t="n">
        <x:v>44.6412202000829</x:v>
      </x:c>
      <x:c r="U209" s="25" t="n">
        <x:v>44.6412202000829</x:v>
      </x:c>
      <x:c r="V209" s="25"/>
      <x:c r="W209" s="19" t="str">
        <x:v>FRAME_GUARD</x:v>
      </x:c>
      <x:c r="X209" s="26" t="n">
        <x:f>IF(AND(J167&gt;0,E209=E167),1-J209/J167,"")</x:f>
        <x:v>-0.9981149858623939</x:v>
      </x:c>
      <x:c r="Y209" s="26" t="n">
        <x:f>IF(AND(K167&gt;0,E209=E167),1-K209/K167,"")</x:f>
        <x:v>-0.05893505390672438</x:v>
      </x:c>
      <x:c r="Z209" s="26" t="n">
        <x:f>IF(AND(ISNUMBER(P167),P167&gt;0,E209=E167),1-P209/P167,"")</x:f>
        <x:v>0.018264927655632368</x:v>
      </x:c>
      <x:c r="AA209" s="26" t="n">
        <x:f>IF(AND(ISNUMBER(R209),ISNUMBER(R167),R167&gt;0,E209=E167),1-R209/R167,"")</x:f>
        <x:v>-1.0371454507808084</x:v>
      </x:c>
      <x:c r="AB209" s="26"/>
      <x:c r="AC209" s="19" t="str">
        <x:v>D:/Codex/GRL研究/outputs/grid89_review/per_date.csv</x:v>
      </x:c>
    </x:row>
    <x:row r="210" ht="36" customHeight="1">
      <x:c r="A210" s="19" t="str">
        <x:v>GRID89 META费用</x:v>
      </x:c>
      <x:c r="B210" s="19" t="str">
        <x:v>2036-11-03_9</x:v>
      </x:c>
      <x:c r="C210" s="19" t="str">
        <x:v>META_COST1_SEED1</x:v>
      </x:c>
      <x:c r="D210" s="21" t="n">
        <x:v>1</x:v>
      </x:c>
      <x:c r="E210" s="21" t="n">
        <x:v>519</x:v>
      </x:c>
      <x:c r="F210" s="21" t="n">
        <x:v>1</x:v>
      </x:c>
      <x:c r="G210" s="21" t="n">
        <x:v>0</x:v>
      </x:c>
      <x:c r="H210" s="22" t="n">
        <x:v>361332.79052734375</x:v>
      </x:c>
      <x:c r="I210" s="23"/>
      <x:c r="J210" s="24" t="n">
        <x:v>0</x:v>
      </x:c>
      <x:c r="K210" s="25" t="n">
        <x:v>15.356244699964009</x:v>
      </x:c>
      <x:c r="L210" s="25" t="n">
        <x:v>1.9453443999846058</x:v>
      </x:c>
      <x:c r="M210" s="25" t="n">
        <x:v>12.465993199970399</x:v>
      </x:c>
      <x:c r="N210" s="25" t="n">
        <x:v>0</x:v>
      </x:c>
      <x:c r="O210" s="25" t="n">
        <x:v>0.9449071000090044</x:v>
      </x:c>
      <x:c r="P210" s="25" t="n">
        <x:v>0.030143380000663435</x:v>
      </x:c>
      <x:c r="Q210" s="25" t="n">
        <x:v>0.859235594001227</x:v>
      </x:c>
      <x:c r="R210" s="25"/>
      <x:c r="S210" s="25"/>
      <x:c r="T210" s="25" t="n">
        <x:v>15.356244699964009</x:v>
      </x:c>
      <x:c r="U210" s="25" t="n">
        <x:v>15.356244699964009</x:v>
      </x:c>
      <x:c r="V210" s="25"/>
      <x:c r="W210" s="19" t="str">
        <x:v>FRAME_GUARD</x:v>
      </x:c>
      <x:c r="X210" s="26" t="str">
        <x:f>IF(AND(J168&gt;0,E210=E168),1-J210/J168,"")</x:f>
      </x:c>
      <x:c r="Y210" s="26" t="n">
        <x:f>IF(AND(K168&gt;0,E210=E168),1-K210/K168,"")</x:f>
        <x:v>0.013454807517705336</x:v>
      </x:c>
      <x:c r="Z210" s="26" t="n">
        <x:f>IF(AND(ISNUMBER(P168),P168&gt;0,E210=E168),1-P210/P168,"")</x:f>
        <x:v>-0.004489036020775217</x:v>
      </x:c>
      <x:c r="AA210" s="26" t="str">
        <x:f>IF(AND(ISNUMBER(R210),ISNUMBER(R168),R168&gt;0,E210=E168),1-R210/R168,"")</x:f>
      </x:c>
      <x:c r="AB210" s="26"/>
      <x:c r="AC210" s="19" t="str">
        <x:v>D:/Codex/GRL研究/outputs/grid89_review/per_date.csv</x:v>
      </x:c>
    </x:row>
    <x:row r="211" ht="36" customHeight="1">
      <x:c r="A211" s="19" t="str">
        <x:v>GRID89 META费用</x:v>
      </x:c>
      <x:c r="B211" s="19" t="str">
        <x:v>2036-01-07_9</x:v>
      </x:c>
      <x:c r="C211" s="19" t="str">
        <x:v>META_COST1_SEED2</x:v>
      </x:c>
      <x:c r="D211" s="21" t="n">
        <x:v>1</x:v>
      </x:c>
      <x:c r="E211" s="21" t="n">
        <x:v>2017</x:v>
      </x:c>
      <x:c r="F211" s="21" t="n">
        <x:v>1</x:v>
      </x:c>
      <x:c r="G211" s="21" t="n">
        <x:v>1</x:v>
      </x:c>
      <x:c r="H211" s="22" t="n">
        <x:v>2412707.07421875</x:v>
      </x:c>
      <x:c r="I211" s="23" t="n">
        <x:v>0.0008663102138171119</x:v>
      </x:c>
      <x:c r="J211" s="24" t="n">
        <x:v>1432</x:v>
      </x:c>
      <x:c r="K211" s="25" t="n">
        <x:v>87.67690350006524</x:v>
      </x:c>
      <x:c r="L211" s="25" t="n">
        <x:v>15.79590079994523</x:v>
      </x:c>
      <x:c r="M211" s="25" t="n">
        <x:v>66.45096829996692</x:v>
      </x:c>
      <x:c r="N211" s="25" t="n">
        <x:v>0.5878971998827183</x:v>
      </x:c>
      <x:c r="O211" s="25" t="n">
        <x:v>4.842137200270372</x:v>
      </x:c>
      <x:c r="P211" s="25" t="n">
        <x:v>0.036062159998255024</x:v>
      </x:c>
      <x:c r="Q211" s="25" t="n">
        <x:v>1.014330723998998</x:v>
      </x:c>
      <x:c r="R211" s="25" t="n">
        <x:v>3.3952419199995343</x:v>
      </x:c>
      <x:c r="S211" s="25" t="n">
        <x:v>3.6953613439996844</x:v>
      </x:c>
      <x:c r="T211" s="25" t="n">
        <x:v>87.67690350006524</x:v>
      </x:c>
      <x:c r="U211" s="25" t="n">
        <x:v>87.67690350006524</x:v>
      </x:c>
      <x:c r="V211" s="25"/>
      <x:c r="W211" s="19" t="str">
        <x:v>FRAME_GUARD</x:v>
      </x:c>
      <x:c r="X211" s="26" t="n">
        <x:f>IF(AND(J163&gt;0,E211=E163),1-J211/J163,"")</x:f>
        <x:v>0</x:v>
      </x:c>
      <x:c r="Y211" s="26" t="n">
        <x:f>IF(AND(K163&gt;0,E211=E163),1-K211/K163,"")</x:f>
        <x:v>0.0015061936407999577</x:v>
      </x:c>
      <x:c r="Z211" s="26" t="n">
        <x:f>IF(AND(ISNUMBER(P163),P163&gt;0,E211=E163),1-P211/P163,"")</x:f>
        <x:v>0.07221950087579254</x:v>
      </x:c>
      <x:c r="AA211" s="26" t="n">
        <x:f>IF(AND(ISNUMBER(R211),ISNUMBER(R163),R163&gt;0,E211=E163),1-R211/R163,"")</x:f>
        <x:v>-0.03103356936058521</x:v>
      </x:c>
      <x:c r="AB211" s="26"/>
      <x:c r="AC211" s="19" t="str">
        <x:v>D:/Codex/GRL研究/outputs/grid89_review/per_date.csv</x:v>
      </x:c>
    </x:row>
    <x:row r="212" ht="36" customHeight="1">
      <x:c r="A212" s="19" t="str">
        <x:v>GRID89 META费用</x:v>
      </x:c>
      <x:c r="B212" s="19" t="str">
        <x:v>2036-03-03_9</x:v>
      </x:c>
      <x:c r="C212" s="19" t="str">
        <x:v>META_COST1_SEED2</x:v>
      </x:c>
      <x:c r="D212" s="21" t="n">
        <x:v>1</x:v>
      </x:c>
      <x:c r="E212" s="21" t="n">
        <x:v>1720</x:v>
      </x:c>
      <x:c r="F212" s="21" t="n">
        <x:v>1</x:v>
      </x:c>
      <x:c r="G212" s="21" t="n">
        <x:v>0</x:v>
      </x:c>
      <x:c r="H212" s="22" t="n">
        <x:v>2300386.2553100586</x:v>
      </x:c>
      <x:c r="I212" s="23"/>
      <x:c r="J212" s="24" t="n">
        <x:v>5109</x:v>
      </x:c>
      <x:c r="K212" s="25" t="n">
        <x:v>72.72213639996335</x:v>
      </x:c>
      <x:c r="L212" s="25" t="n">
        <x:v>24.498427499809623</x:v>
      </x:c>
      <x:c r="M212" s="25" t="n">
        <x:v>42.247837500060996</x:v>
      </x:c>
      <x:c r="N212" s="25" t="n">
        <x:v>1.3973899000993697</x:v>
      </x:c>
      <x:c r="O212" s="25" t="n">
        <x:v>4.578481499993359</x:v>
      </x:c>
      <x:c r="P212" s="25" t="n">
        <x:v>0.03723429000292526</x:v>
      </x:c>
      <x:c r="Q212" s="25" t="n">
        <x:v>0.9882123150017625</x:v>
      </x:c>
      <x:c r="R212" s="25" t="n">
        <x:v>4.136148000001956</x:v>
      </x:c>
      <x:c r="S212" s="25" t="n">
        <x:v>4.763327040001714</x:v>
      </x:c>
      <x:c r="T212" s="25" t="n">
        <x:v>72.72213639996335</x:v>
      </x:c>
      <x:c r="U212" s="25" t="n">
        <x:v>72.72213639996335</x:v>
      </x:c>
      <x:c r="V212" s="25"/>
      <x:c r="W212" s="19" t="str">
        <x:v>FRAME_GUARD</x:v>
      </x:c>
      <x:c r="X212" s="26" t="n">
        <x:f>IF(AND(J164&gt;0,E212=E164),1-J212/J164,"")</x:f>
        <x:v>0</x:v>
      </x:c>
      <x:c r="Y212" s="26" t="n">
        <x:f>IF(AND(K164&gt;0,E212=E164),1-K212/K164,"")</x:f>
        <x:v>0.002337652310248961</x:v>
      </x:c>
      <x:c r="Z212" s="26" t="n">
        <x:f>IF(AND(ISNUMBER(P164),P164&gt;0,E212=E164),1-P212/P164,"")</x:f>
        <x:v>0.029356687128518577</x:v>
      </x:c>
      <x:c r="AA212" s="26" t="n">
        <x:f>IF(AND(ISNUMBER(R212),ISNUMBER(R164),R164&gt;0,E212=E164),1-R212/R164,"")</x:f>
        <x:v>-0.0022285338774170604</x:v>
      </x:c>
      <x:c r="AB212" s="26"/>
      <x:c r="AC212" s="19" t="str">
        <x:v>D:/Codex/GRL研究/outputs/grid89_review/per_date.csv</x:v>
      </x:c>
    </x:row>
    <x:row r="213" ht="36" customHeight="1">
      <x:c r="A213" s="19" t="str">
        <x:v>GRID89 META费用</x:v>
      </x:c>
      <x:c r="B213" s="19" t="str">
        <x:v>2036-05-05_9</x:v>
      </x:c>
      <x:c r="C213" s="19" t="str">
        <x:v>META_COST1_SEED2</x:v>
      </x:c>
      <x:c r="D213" s="21" t="n">
        <x:v>1</x:v>
      </x:c>
      <x:c r="E213" s="21" t="n">
        <x:v>2017</x:v>
      </x:c>
      <x:c r="F213" s="21" t="n">
        <x:v>1</x:v>
      </x:c>
      <x:c r="G213" s="21" t="n">
        <x:v>1</x:v>
      </x:c>
      <x:c r="H213" s="22" t="n">
        <x:v>1732291.8922729492</x:v>
      </x:c>
      <x:c r="I213" s="23" t="n">
        <x:v>-0.02651757674074451</x:v>
      </x:c>
      <x:c r="J213" s="24" t="n">
        <x:v>454</x:v>
      </x:c>
      <x:c r="K213" s="25" t="n">
        <x:v>38.09664209988114</x:v>
      </x:c>
      <x:c r="L213" s="25" t="n">
        <x:v>8.316167500062875</x:v>
      </x:c>
      <x:c r="M213" s="25" t="n">
        <x:v>25.37312540003768</x:v>
      </x:c>
      <x:c r="N213" s="25" t="n">
        <x:v>0.12444690001575509</x:v>
      </x:c>
      <x:c r="O213" s="25" t="n">
        <x:v>4.282902299764828</x:v>
      </x:c>
      <x:c r="P213" s="25" t="n">
        <x:v>0.02989202000098885</x:v>
      </x:c>
      <x:c r="Q213" s="25" t="n">
        <x:v>0.6226535759995512</x:v>
      </x:c>
      <x:c r="R213" s="25" t="n">
        <x:v>4.381193500001245</x:v>
      </x:c>
      <x:c r="S213" s="25" t="n">
        <x:v>4.381193500001245</x:v>
      </x:c>
      <x:c r="T213" s="25" t="n">
        <x:v>38.09664209988114</x:v>
      </x:c>
      <x:c r="U213" s="25" t="n">
        <x:v>38.09664209988114</x:v>
      </x:c>
      <x:c r="V213" s="25"/>
      <x:c r="W213" s="19" t="str">
        <x:v>FRAME_GUARD</x:v>
      </x:c>
      <x:c r="X213" s="26" t="n">
        <x:f>IF(AND(J165&gt;0,E213=E165),1-J213/J165,"")</x:f>
        <x:v>0</x:v>
      </x:c>
      <x:c r="Y213" s="26" t="n">
        <x:f>IF(AND(K165&gt;0,E213=E165),1-K213/K165,"")</x:f>
        <x:v>0.018983315971832893</x:v>
      </x:c>
      <x:c r="Z213" s="26" t="n">
        <x:f>IF(AND(ISNUMBER(P165),P165&gt;0,E213=E165),1-P213/P165,"")</x:f>
        <x:v>0.0317502271818203</x:v>
      </x:c>
      <x:c r="AA213" s="26" t="n">
        <x:f>IF(AND(ISNUMBER(R213),ISNUMBER(R165),R165&gt;0,E213=E165),1-R213/R165,"")</x:f>
        <x:v>-0.04087346927837099</x:v>
      </x:c>
      <x:c r="AB213" s="26"/>
      <x:c r="AC213" s="19" t="str">
        <x:v>D:/Codex/GRL研究/outputs/grid89_review/per_date.csv</x:v>
      </x:c>
    </x:row>
    <x:row r="214" ht="36" customHeight="1">
      <x:c r="A214" s="19" t="str">
        <x:v>GRID89 META费用</x:v>
      </x:c>
      <x:c r="B214" s="19" t="str">
        <x:v>2036-07-07_9</x:v>
      </x:c>
      <x:c r="C214" s="19" t="str">
        <x:v>META_COST1_SEED2</x:v>
      </x:c>
      <x:c r="D214" s="21" t="n">
        <x:v>1</x:v>
      </x:c>
      <x:c r="E214" s="21" t="n">
        <x:v>2017</x:v>
      </x:c>
      <x:c r="F214" s="21" t="n">
        <x:v>1</x:v>
      </x:c>
      <x:c r="G214" s="21" t="n">
        <x:v>1</x:v>
      </x:c>
      <x:c r="H214" s="22" t="n">
        <x:v>1391348.7835388184</x:v>
      </x:c>
      <x:c r="I214" s="23" t="n">
        <x:v>-0.010880517894231834</x:v>
      </x:c>
      <x:c r="J214" s="24" t="n">
        <x:v>3470</x:v>
      </x:c>
      <x:c r="K214" s="25" t="n">
        <x:v>47.53564010008631</x:v>
      </x:c>
      <x:c r="L214" s="25" t="n">
        <x:v>16.97989380004219</x:v>
      </x:c>
      <x:c r="M214" s="25" t="n">
        <x:v>24.989616099981504</x:v>
      </x:c>
      <x:c r="N214" s="25" t="n">
        <x:v>1.3342410000259406</x:v>
      </x:c>
      <x:c r="O214" s="25" t="n">
        <x:v>4.231889200036676</x:v>
      </x:c>
      <x:c r="P214" s="25" t="n">
        <x:v>0.036401759998989286</x:v>
      </x:c>
      <x:c r="Q214" s="25" t="n">
        <x:v>0.7557512679990025</x:v>
      </x:c>
      <x:c r="R214" s="25" t="n">
        <x:v>3.3389296050005197</x:v>
      </x:c>
      <x:c r="S214" s="25" t="n">
        <x:v>3.9075132810015205</x:v>
      </x:c>
      <x:c r="T214" s="25" t="n">
        <x:v>47.53564010008631</x:v>
      </x:c>
      <x:c r="U214" s="25" t="n">
        <x:v>47.53564010008631</x:v>
      </x:c>
      <x:c r="V214" s="25"/>
      <x:c r="W214" s="19" t="str">
        <x:v>FRAME_GUARD</x:v>
      </x:c>
      <x:c r="X214" s="26" t="n">
        <x:f>IF(AND(J166&gt;0,E214=E166),1-J214/J166,"")</x:f>
        <x:v>0</x:v>
      </x:c>
      <x:c r="Y214" s="26" t="n">
        <x:f>IF(AND(K166&gt;0,E214=E166),1-K214/K166,"")</x:f>
        <x:v>0.008249119807153926</x:v>
      </x:c>
      <x:c r="Z214" s="26" t="n">
        <x:f>IF(AND(ISNUMBER(P166),P166&gt;0,E214=E166),1-P214/P166,"")</x:f>
        <x:v>-0.008623871233500946</x:v>
      </x:c>
      <x:c r="AA214" s="26" t="n">
        <x:f>IF(AND(ISNUMBER(R214),ISNUMBER(R166),R166&gt;0,E214=E166),1-R214/R166,"")</x:f>
        <x:v>0.020602650120710497</x:v>
      </x:c>
      <x:c r="AB214" s="26"/>
      <x:c r="AC214" s="19" t="str">
        <x:v>D:/Codex/GRL研究/outputs/grid89_review/per_date.csv</x:v>
      </x:c>
    </x:row>
    <x:row r="215" ht="36" customHeight="1">
      <x:c r="A215" s="19" t="str">
        <x:v>GRID89 META费用</x:v>
      </x:c>
      <x:c r="B215" s="19" t="str">
        <x:v>2036-09-01_9</x:v>
      </x:c>
      <x:c r="C215" s="19" t="str">
        <x:v>META_COST1_SEED2</x:v>
      </x:c>
      <x:c r="D215" s="21" t="n">
        <x:v>1</x:v>
      </x:c>
      <x:c r="E215" s="21" t="n">
        <x:v>2017</x:v>
      </x:c>
      <x:c r="F215" s="21" t="n">
        <x:v>1</x:v>
      </x:c>
      <x:c r="G215" s="21" t="n">
        <x:v>1</x:v>
      </x:c>
      <x:c r="H215" s="22" t="n">
        <x:v>1392633.7291259766</x:v>
      </x:c>
      <x:c r="I215" s="23" t="n">
        <x:v>-0.00023424970504537512</x:v>
      </x:c>
      <x:c r="J215" s="24" t="n">
        <x:v>1061</x:v>
      </x:c>
      <x:c r="K215" s="25" t="n">
        <x:v>41.7337188000638</x:v>
      </x:c>
      <x:c r="L215" s="25" t="n">
        <x:v>10.164823999930377</x:v>
      </x:c>
      <x:c r="M215" s="25" t="n">
        <x:v>26.523773300094035</x:v>
      </x:c>
      <x:c r="N215" s="25" t="n">
        <x:v>0.46176939999713795</x:v>
      </x:c>
      <x:c r="O215" s="25" t="n">
        <x:v>4.583352100042248</x:v>
      </x:c>
      <x:c r="P215" s="25" t="n">
        <x:v>0.03077411999984178</x:v>
      </x:c>
      <x:c r="Q215" s="25" t="n">
        <x:v>0.7285466999997151</x:v>
      </x:c>
      <x:c r="R215" s="25" t="n">
        <x:v>1.0875734750021364</x:v>
      </x:c>
      <x:c r="S215" s="25" t="n">
        <x:v>1.1017240550022689</x:v>
      </x:c>
      <x:c r="T215" s="25" t="n">
        <x:v>41.7337188000638</x:v>
      </x:c>
      <x:c r="U215" s="25" t="n">
        <x:v>41.7337188000638</x:v>
      </x:c>
      <x:c r="V215" s="25"/>
      <x:c r="W215" s="19" t="str">
        <x:v>FRAME_GUARD</x:v>
      </x:c>
      <x:c r="X215" s="26" t="n">
        <x:f>IF(AND(J167&gt;0,E215=E167),1-J215/J167,"")</x:f>
        <x:v>0</x:v>
      </x:c>
      <x:c r="Y215" s="26" t="n">
        <x:f>IF(AND(K167&gt;0,E215=E167),1-K215/K167,"")</x:f>
        <x:v>0.010033830410586142</x:v>
      </x:c>
      <x:c r="Z215" s="26" t="n">
        <x:f>IF(AND(ISNUMBER(P167),P167&gt;0,E215=E167),1-P215/P167,"")</x:f>
        <x:v>0.017948364491289448</x:v>
      </x:c>
      <x:c r="AA215" s="26" t="n">
        <x:f>IF(AND(ISNUMBER(R215),ISNUMBER(R167),R167&gt;0,E215=E167),1-R215/R167,"")</x:f>
        <x:v>0.12817353604482418</x:v>
      </x:c>
      <x:c r="AB215" s="26"/>
      <x:c r="AC215" s="19" t="str">
        <x:v>D:/Codex/GRL研究/outputs/grid89_review/per_date.csv</x:v>
      </x:c>
    </x:row>
    <x:row r="216" ht="36" customHeight="1">
      <x:c r="A216" s="19" t="str">
        <x:v>GRID89 META费用</x:v>
      </x:c>
      <x:c r="B216" s="19" t="str">
        <x:v>2036-11-03_9</x:v>
      </x:c>
      <x:c r="C216" s="19" t="str">
        <x:v>META_COST1_SEED2</x:v>
      </x:c>
      <x:c r="D216" s="21" t="n">
        <x:v>1</x:v>
      </x:c>
      <x:c r="E216" s="21" t="n">
        <x:v>519</x:v>
      </x:c>
      <x:c r="F216" s="21" t="n">
        <x:v>1</x:v>
      </x:c>
      <x:c r="G216" s="21" t="n">
        <x:v>0</x:v>
      </x:c>
      <x:c r="H216" s="22" t="n">
        <x:v>361332.79052734375</x:v>
      </x:c>
      <x:c r="I216" s="23"/>
      <x:c r="J216" s="24" t="n">
        <x:v>0</x:v>
      </x:c>
      <x:c r="K216" s="25" t="n">
        <x:v>15.483917499997915</x:v>
      </x:c>
      <x:c r="L216" s="25" t="n">
        <x:v>1.934371999992436</x:v>
      </x:c>
      <x:c r="M216" s="25" t="n">
        <x:v>12.614820499977213</x:v>
      </x:c>
      <x:c r="N216" s="25" t="n">
        <x:v>0</x:v>
      </x:c>
      <x:c r="O216" s="25" t="n">
        <x:v>0.9347250000282656</x:v>
      </x:c>
      <x:c r="P216" s="25" t="n">
        <x:v>0.029242889999295533</x:v>
      </x:c>
      <x:c r="Q216" s="25" t="n">
        <x:v>0.8348136419999405</x:v>
      </x:c>
      <x:c r="R216" s="25"/>
      <x:c r="S216" s="25"/>
      <x:c r="T216" s="25" t="n">
        <x:v>15.483917499997915</x:v>
      </x:c>
      <x:c r="U216" s="25" t="n">
        <x:v>15.483917499997915</x:v>
      </x:c>
      <x:c r="V216" s="25"/>
      <x:c r="W216" s="19" t="str">
        <x:v>FRAME_GUARD</x:v>
      </x:c>
      <x:c r="X216" s="26" t="str">
        <x:f>IF(AND(J168&gt;0,E216=E168),1-J216/J168,"")</x:f>
      </x:c>
      <x:c r="Y216" s="26" t="n">
        <x:f>IF(AND(K168&gt;0,E216=E168),1-K216/K168,"")</x:f>
        <x:v>0.005252607725688585</x:v>
      </x:c>
      <x:c r="Z216" s="26" t="n">
        <x:f>IF(AND(ISNUMBER(P168),P168&gt;0,E216=E168),1-P216/P168,"")</x:f>
        <x:v>0.025518625143980844</x:v>
      </x:c>
      <x:c r="AA216" s="26" t="str">
        <x:f>IF(AND(ISNUMBER(R216),ISNUMBER(R168),R168&gt;0,E216=E168),1-R216/R168,"")</x:f>
      </x:c>
      <x:c r="AB216" s="26"/>
      <x:c r="AC216" s="19" t="str">
        <x:v>D:/Codex/GRL研究/outputs/grid89_review/per_date.csv</x:v>
      </x:c>
    </x:row>
    <x:row r="217" ht="36" customHeight="1">
      <x:c r="A217" s="19" t="str">
        <x:v>GRID89 META费用</x:v>
      </x:c>
      <x:c r="B217" s="19" t="str">
        <x:v>2036-01-07_9</x:v>
      </x:c>
      <x:c r="C217" s="19" t="str">
        <x:v>META_COST1_SEED3</x:v>
      </x:c>
      <x:c r="D217" s="21" t="n">
        <x:v>1</x:v>
      </x:c>
      <x:c r="E217" s="21" t="n">
        <x:v>2017</x:v>
      </x:c>
      <x:c r="F217" s="21" t="n">
        <x:v>1</x:v>
      </x:c>
      <x:c r="G217" s="21" t="n">
        <x:v>1</x:v>
      </x:c>
      <x:c r="H217" s="22" t="n">
        <x:v>2412707.07421875</x:v>
      </x:c>
      <x:c r="I217" s="23" t="n">
        <x:v>0.0008663102138171119</x:v>
      </x:c>
      <x:c r="J217" s="24" t="n">
        <x:v>1238</x:v>
      </x:c>
      <x:c r="K217" s="25" t="n">
        <x:v>86.9291419999754</x:v>
      </x:c>
      <x:c r="L217" s="25" t="n">
        <x:v>15.02714299980289</x:v>
      </x:c>
      <x:c r="M217" s="25" t="n">
        <x:v>66.4281257000257</x:v>
      </x:c>
      <x:c r="N217" s="25" t="n">
        <x:v>0.6015088000021933</x:v>
      </x:c>
      <x:c r="O217" s="25" t="n">
        <x:v>4.872364500144613</x:v>
      </x:c>
      <x:c r="P217" s="25" t="n">
        <x:v>0.036985959998128176</x:v>
      </x:c>
      <x:c r="Q217" s="25" t="n">
        <x:v>0.9156903760009973</x:v>
      </x:c>
      <x:c r="R217" s="25" t="n">
        <x:v>3.3386727199998854</x:v>
      </x:c>
      <x:c r="S217" s="25" t="n">
        <x:v>3.6231169440002122</x:v>
      </x:c>
      <x:c r="T217" s="25" t="n">
        <x:v>86.9291419999754</x:v>
      </x:c>
      <x:c r="U217" s="25" t="n">
        <x:v>86.9291419999754</x:v>
      </x:c>
      <x:c r="V217" s="25"/>
      <x:c r="W217" s="19" t="str">
        <x:v>FRAME_GUARD</x:v>
      </x:c>
      <x:c r="X217" s="26" t="n">
        <x:f>IF(AND(J163&gt;0,E217=E163),1-J217/J163,"")</x:f>
        <x:v>0.1354748603351955</x:v>
      </x:c>
      <x:c r="Y217" s="26" t="n">
        <x:f>IF(AND(K163&gt;0,E217=E163),1-K217/K163,"")</x:f>
        <x:v>0.010021950888921882</x:v>
      </x:c>
      <x:c r="Z217" s="26" t="n">
        <x:f>IF(AND(ISNUMBER(P163),P163&gt;0,E217=E163),1-P217/P163,"")</x:f>
        <x:v>0.04845265981539215</x:v>
      </x:c>
      <x:c r="AA217" s="26" t="n">
        <x:f>IF(AND(ISNUMBER(R217),ISNUMBER(R163),R163&gt;0,E217=E163),1-R217/R163,"")</x:f>
        <x:v>-0.013855192807223471</x:v>
      </x:c>
      <x:c r="AB217" s="26"/>
      <x:c r="AC217" s="19" t="str">
        <x:v>D:/Codex/GRL研究/outputs/grid89_review/per_date.csv</x:v>
      </x:c>
    </x:row>
    <x:row r="218" ht="36" customHeight="1">
      <x:c r="A218" s="19" t="str">
        <x:v>GRID89 META费用</x:v>
      </x:c>
      <x:c r="B218" s="19" t="str">
        <x:v>2036-03-03_9</x:v>
      </x:c>
      <x:c r="C218" s="19" t="str">
        <x:v>META_COST1_SEED3</x:v>
      </x:c>
      <x:c r="D218" s="21" t="n">
        <x:v>1</x:v>
      </x:c>
      <x:c r="E218" s="21" t="n">
        <x:v>1720</x:v>
      </x:c>
      <x:c r="F218" s="21" t="n">
        <x:v>1</x:v>
      </x:c>
      <x:c r="G218" s="21" t="n">
        <x:v>0</x:v>
      </x:c>
      <x:c r="H218" s="22" t="n">
        <x:v>2299451.3294067383</x:v>
      </x:c>
      <x:c r="I218" s="23"/>
      <x:c r="J218" s="24" t="n">
        <x:v>3852</x:v>
      </x:c>
      <x:c r="K218" s="25" t="n">
        <x:v>69.26656900001763</x:v>
      </x:c>
      <x:c r="L218" s="25" t="n">
        <x:v>19.823278900323203</x:v>
      </x:c>
      <x:c r="M218" s="25" t="n">
        <x:v>43.78208589999849</x:v>
      </x:c>
      <x:c r="N218" s="25" t="n">
        <x:v>1.0593515999353258</x:v>
      </x:c>
      <x:c r="O218" s="25" t="n">
        <x:v>4.601852599760605</x:v>
      </x:c>
      <x:c r="P218" s="25" t="n">
        <x:v>0.03618704500004242</x:v>
      </x:c>
      <x:c r="Q218" s="25" t="n">
        <x:v>1.0755292499997393</x:v>
      </x:c>
      <x:c r="R218" s="25" t="n">
        <x:v>3.1313168249986116</x:v>
      </x:c>
      <x:c r="S218" s="25" t="n">
        <x:v>3.2189644049985144</x:v>
      </x:c>
      <x:c r="T218" s="25" t="n">
        <x:v>69.26656900001763</x:v>
      </x:c>
      <x:c r="U218" s="25" t="n">
        <x:v>69.26656900001763</x:v>
      </x:c>
      <x:c r="V218" s="25"/>
      <x:c r="W218" s="19" t="str">
        <x:v>FRAME_GUARD</x:v>
      </x:c>
      <x:c r="X218" s="26" t="n">
        <x:f>IF(AND(J164&gt;0,E218=E164),1-J218/J164,"")</x:f>
        <x:v>0.24603640634174984</x:v>
      </x:c>
      <x:c r="Y218" s="26" t="n">
        <x:f>IF(AND(K164&gt;0,E218=E164),1-K218/K164,"")</x:f>
        <x:v>0.04974398077493025</x:v>
      </x:c>
      <x:c r="Z218" s="26" t="n">
        <x:f>IF(AND(ISNUMBER(P164),P164&gt;0,E218=E164),1-P218/P164,"")</x:f>
        <x:v>0.0566568279102132</x:v>
      </x:c>
      <x:c r="AA218" s="26" t="n">
        <x:f>IF(AND(ISNUMBER(R218),ISNUMBER(R164),R164&gt;0,E218=E164),1-R218/R164,"")</x:f>
        <x:v>0.24125174664384275</x:v>
      </x:c>
      <x:c r="AB218" s="26"/>
      <x:c r="AC218" s="19" t="str">
        <x:v>D:/Codex/GRL研究/outputs/grid89_review/per_date.csv</x:v>
      </x:c>
    </x:row>
    <x:row r="219" ht="36" customHeight="1">
      <x:c r="A219" s="19" t="str">
        <x:v>GRID89 META费用</x:v>
      </x:c>
      <x:c r="B219" s="19" t="str">
        <x:v>2036-05-05_9</x:v>
      </x:c>
      <x:c r="C219" s="19" t="str">
        <x:v>META_COST1_SEED3</x:v>
      </x:c>
      <x:c r="D219" s="21" t="n">
        <x:v>1</x:v>
      </x:c>
      <x:c r="E219" s="21" t="n">
        <x:v>2017</x:v>
      </x:c>
      <x:c r="F219" s="21" t="n">
        <x:v>1</x:v>
      </x:c>
      <x:c r="G219" s="21" t="n">
        <x:v>1</x:v>
      </x:c>
      <x:c r="H219" s="22" t="n">
        <x:v>1732291.8922729492</x:v>
      </x:c>
      <x:c r="I219" s="23" t="n">
        <x:v>-0.02651757674074451</x:v>
      </x:c>
      <x:c r="J219" s="24" t="n">
        <x:v>454</x:v>
      </x:c>
      <x:c r="K219" s="25" t="n">
        <x:v>38.51724020001711</x:v>
      </x:c>
      <x:c r="L219" s="25" t="n">
        <x:v>8.353025299984438</x:v>
      </x:c>
      <x:c r="M219" s="25" t="n">
        <x:v>25.676652199937962</x:v>
      </x:c>
      <x:c r="N219" s="25" t="n">
        <x:v>0.13192680001520785</x:v>
      </x:c>
      <x:c r="O219" s="25" t="n">
        <x:v>4.3556359000795055</x:v>
      </x:c>
      <x:c r="P219" s="25" t="n">
        <x:v>0.030115099997783543</x:v>
      </x:c>
      <x:c r="Q219" s="25" t="n">
        <x:v>0.5883262999997327</x:v>
      </x:c>
      <x:c r="R219" s="25" t="n">
        <x:v>4.273607999999513</x:v>
      </x:c>
      <x:c r="S219" s="25" t="n">
        <x:v>4.273607999999513</x:v>
      </x:c>
      <x:c r="T219" s="25" t="n">
        <x:v>38.51724020001711</x:v>
      </x:c>
      <x:c r="U219" s="25" t="n">
        <x:v>38.51724020001711</x:v>
      </x:c>
      <x:c r="V219" s="25"/>
      <x:c r="W219" s="19" t="str">
        <x:v>FRAME_GUARD</x:v>
      </x:c>
      <x:c r="X219" s="26" t="n">
        <x:f>IF(AND(J165&gt;0,E219=E165),1-J219/J165,"")</x:f>
        <x:v>0</x:v>
      </x:c>
      <x:c r="Y219" s="26" t="n">
        <x:f>IF(AND(K165&gt;0,E219=E165),1-K219/K165,"")</x:f>
        <x:v>0.008152604109560202</x:v>
      </x:c>
      <x:c r="Z219" s="26" t="n">
        <x:f>IF(AND(ISNUMBER(P165),P165&gt;0,E219=E165),1-P219/P165,"")</x:f>
        <x:v>0.024524313502865325</x:v>
      </x:c>
      <x:c r="AA219" s="26" t="n">
        <x:f>IF(AND(ISNUMBER(R219),ISNUMBER(R165),R165&gt;0,E219=E165),1-R219/R165,"")</x:f>
        <x:v>-0.015313563597231683</x:v>
      </x:c>
      <x:c r="AB219" s="26"/>
      <x:c r="AC219" s="19" t="str">
        <x:v>D:/Codex/GRL研究/outputs/grid89_review/per_date.csv</x:v>
      </x:c>
    </x:row>
    <x:row r="220" ht="36" customHeight="1">
      <x:c r="A220" s="19" t="str">
        <x:v>GRID89 META费用</x:v>
      </x:c>
      <x:c r="B220" s="19" t="str">
        <x:v>2036-07-07_9</x:v>
      </x:c>
      <x:c r="C220" s="19" t="str">
        <x:v>META_COST1_SEED3</x:v>
      </x:c>
      <x:c r="D220" s="21" t="n">
        <x:v>1</x:v>
      </x:c>
      <x:c r="E220" s="21" t="n">
        <x:v>2017</x:v>
      </x:c>
      <x:c r="F220" s="21" t="n">
        <x:v>1</x:v>
      </x:c>
      <x:c r="G220" s="21" t="n">
        <x:v>1</x:v>
      </x:c>
      <x:c r="H220" s="22" t="n">
        <x:v>1406653.906539917</x:v>
      </x:c>
      <x:c r="I220" s="23" t="n">
        <x:v>0</x:v>
      </x:c>
      <x:c r="J220" s="24" t="n">
        <x:v>4735</x:v>
      </x:c>
      <x:c r="K220" s="25" t="n">
        <x:v>54.51389240001663</x:v>
      </x:c>
      <x:c r="L220" s="25" t="n">
        <x:v>21.88512150009774</x:v>
      </x:c>
      <x:c r="M220" s="25" t="n">
        <x:v>26.47979379998651</x:v>
      </x:c>
      <x:c r="N220" s="25" t="n">
        <x:v>1.731898900041415</x:v>
      </x:c>
      <x:c r="O220" s="25" t="n">
        <x:v>4.417078199890966</x:v>
      </x:c>
      <x:c r="P220" s="25" t="n">
        <x:v>0.03351001999981234</x:v>
      </x:c>
      <x:c r="Q220" s="25" t="n">
        <x:v>0.7521860640021616</x:v>
      </x:c>
      <x:c r="R220" s="25" t="n">
        <x:v>4.651936569998178</x:v>
      </x:c>
      <x:c r="S220" s="25" t="n">
        <x:v>4.974661233998886</x:v>
      </x:c>
      <x:c r="T220" s="25" t="n">
        <x:v>54.51389240001663</x:v>
      </x:c>
      <x:c r="U220" s="25" t="n">
        <x:v>54.51389240001663</x:v>
      </x:c>
      <x:c r="V220" s="25"/>
      <x:c r="W220" s="19" t="str">
        <x:v>FRAME_GUARD</x:v>
      </x:c>
      <x:c r="X220" s="26" t="n">
        <x:f>IF(AND(J166&gt;0,E220=E166),1-J220/J166,"")</x:f>
        <x:v>-0.36455331412103753</x:v>
      </x:c>
      <x:c r="Y220" s="26" t="n">
        <x:f>IF(AND(K166&gt;0,E220=E166),1-K220/K166,"")</x:f>
        <x:v>-0.13734033362383258</x:v>
      </x:c>
      <x:c r="Z220" s="26" t="n">
        <x:f>IF(AND(ISNUMBER(P166),P166&gt;0,E220=E166),1-P220/P166,"")</x:f>
        <x:v>0.07150077088961604</x:v>
      </x:c>
      <x:c r="AA220" s="26" t="n">
        <x:f>IF(AND(ISNUMBER(R220),ISNUMBER(R166),R166&gt;0,E220=E166),1-R220/R166,"")</x:f>
        <x:v>-0.3645374079283885</x:v>
      </x:c>
      <x:c r="AB220" s="26"/>
      <x:c r="AC220" s="19" t="str">
        <x:v>D:/Codex/GRL研究/outputs/grid89_review/per_date.csv</x:v>
      </x:c>
    </x:row>
    <x:row r="221" ht="36" customHeight="1">
      <x:c r="A221" s="19" t="str">
        <x:v>GRID89 META费用</x:v>
      </x:c>
      <x:c r="B221" s="19" t="str">
        <x:v>2036-09-01_9</x:v>
      </x:c>
      <x:c r="C221" s="19" t="str">
        <x:v>META_COST1_SEED3</x:v>
      </x:c>
      <x:c r="D221" s="21" t="n">
        <x:v>1</x:v>
      </x:c>
      <x:c r="E221" s="21" t="n">
        <x:v>2017</x:v>
      </x:c>
      <x:c r="F221" s="21" t="n">
        <x:v>1</x:v>
      </x:c>
      <x:c r="G221" s="21" t="n">
        <x:v>1</x:v>
      </x:c>
      <x:c r="H221" s="22" t="n">
        <x:v>1392633.7291259766</x:v>
      </x:c>
      <x:c r="I221" s="23" t="n">
        <x:v>-0.00023424970504537512</x:v>
      </x:c>
      <x:c r="J221" s="24" t="n">
        <x:v>1586</x:v>
      </x:c>
      <x:c r="K221" s="25" t="n">
        <x:v>42.912972500031174</x:v>
      </x:c>
      <x:c r="L221" s="25" t="n">
        <x:v>11.905711699877429</x:v>
      </x:c>
      <x:c r="M221" s="25" t="n">
        <x:v>25.800666300056037</x:v>
      </x:c>
      <x:c r="N221" s="25" t="n">
        <x:v>0.5412698000072851</x:v>
      </x:c>
      <x:c r="O221" s="25" t="n">
        <x:v>4.665324700090423</x:v>
      </x:c>
      <x:c r="P221" s="25" t="n">
        <x:v>0.031062280001788165</x:v>
      </x:c>
      <x:c r="Q221" s="25" t="n">
        <x:v>0.7242890400026226</x:v>
      </x:c>
      <x:c r="R221" s="25" t="n">
        <x:v>2.148338759999205</x:v>
      </x:c>
      <x:c r="S221" s="25" t="n">
        <x:v>2.2948359119991433</x:v>
      </x:c>
      <x:c r="T221" s="25" t="n">
        <x:v>42.912972500031174</x:v>
      </x:c>
      <x:c r="U221" s="25" t="n">
        <x:v>42.912972500031174</x:v>
      </x:c>
      <x:c r="V221" s="25"/>
      <x:c r="W221" s="19" t="str">
        <x:v>FRAME_GUARD</x:v>
      </x:c>
      <x:c r="X221" s="26" t="n">
        <x:f>IF(AND(J167&gt;0,E221=E167),1-J221/J167,"")</x:f>
        <x:v>-0.49481621112158347</x:v>
      </x:c>
      <x:c r="Y221" s="26" t="n">
        <x:f>IF(AND(K167&gt;0,E221=E167),1-K221/K167,"")</x:f>
        <x:v>-0.017939264293091783</x:v>
      </x:c>
      <x:c r="Z221" s="26" t="n">
        <x:f>IF(AND(ISNUMBER(P167),P167&gt;0,E221=E167),1-P221/P167,"")</x:f>
        <x:v>0.008752715640856223</x:v>
      </x:c>
      <x:c r="AA221" s="26" t="n">
        <x:f>IF(AND(ISNUMBER(R221),ISNUMBER(R167),R167&gt;0,E221=E167),1-R221/R167,"")</x:f>
        <x:v>-0.7221628033032665</x:v>
      </x:c>
      <x:c r="AB221" s="26"/>
      <x:c r="AC221" s="19" t="str">
        <x:v>D:/Codex/GRL研究/outputs/grid89_review/per_date.csv</x:v>
      </x:c>
    </x:row>
    <x:row r="222" ht="36" customHeight="1">
      <x:c r="A222" s="19" t="str">
        <x:v>GRID89 META费用</x:v>
      </x:c>
      <x:c r="B222" s="19" t="str">
        <x:v>2036-11-03_9</x:v>
      </x:c>
      <x:c r="C222" s="19" t="str">
        <x:v>META_COST1_SEED3</x:v>
      </x:c>
      <x:c r="D222" s="21" t="n">
        <x:v>1</x:v>
      </x:c>
      <x:c r="E222" s="21" t="n">
        <x:v>519</x:v>
      </x:c>
      <x:c r="F222" s="21" t="n">
        <x:v>1</x:v>
      </x:c>
      <x:c r="G222" s="21" t="n">
        <x:v>0</x:v>
      </x:c>
      <x:c r="H222" s="22" t="n">
        <x:v>361332.79052734375</x:v>
      </x:c>
      <x:c r="I222" s="23"/>
      <x:c r="J222" s="24" t="n">
        <x:v>0</x:v>
      </x:c>
      <x:c r="K222" s="25" t="n">
        <x:v>15.350965300000098</x:v>
      </x:c>
      <x:c r="L222" s="25" t="n">
        <x:v>1.9471274000061385</x:v>
      </x:c>
      <x:c r="M222" s="25" t="n">
        <x:v>12.459212000012485</x:v>
      </x:c>
      <x:c r="N222" s="25" t="n">
        <x:v>0</x:v>
      </x:c>
      <x:c r="O222" s="25" t="n">
        <x:v>0.9446258999814745</x:v>
      </x:c>
      <x:c r="P222" s="25" t="n">
        <x:v>0.02916085999931963</x:v>
      </x:c>
      <x:c r="Q222" s="25" t="n">
        <x:v>0.8436338900009343</x:v>
      </x:c>
      <x:c r="R222" s="25"/>
      <x:c r="S222" s="25"/>
      <x:c r="T222" s="25" t="n">
        <x:v>15.350965300000098</x:v>
      </x:c>
      <x:c r="U222" s="25" t="n">
        <x:v>15.350965300000098</x:v>
      </x:c>
      <x:c r="V222" s="25"/>
      <x:c r="W222" s="19" t="str">
        <x:v>FRAME_GUARD</x:v>
      </x:c>
      <x:c r="X222" s="26" t="str">
        <x:f>IF(AND(J168&gt;0,E222=E168),1-J222/J168,"")</x:f>
      </x:c>
      <x:c r="Y222" s="26" t="n">
        <x:f>IF(AND(K168&gt;0,E222=E168),1-K222/K168,"")</x:f>
        <x:v>0.013793976810416608</x:v>
      </x:c>
      <x:c r="Z222" s="26" t="n">
        <x:f>IF(AND(ISNUMBER(P168),P168&gt;0,E222=E168),1-P222/P168,"")</x:f>
        <x:v>0.028252168482477247</x:v>
      </x:c>
      <x:c r="AA222" s="26" t="str">
        <x:f>IF(AND(ISNUMBER(R222),ISNUMBER(R168),R168&gt;0,E222=E168),1-R222/R168,"")</x:f>
      </x:c>
      <x:c r="AB222" s="26"/>
      <x:c r="AC222" s="19" t="str">
        <x:v>D:/Codex/GRL研究/outputs/grid89_review/per_date.csv</x:v>
      </x:c>
    </x:row>
    <x:row r="223" ht="36" customHeight="1">
      <x:c r="A223" s="19" t="str">
        <x:v>GRID89 META费用</x:v>
      </x:c>
      <x:c r="B223" s="19" t="str">
        <x:v>2036-01-07_9</x:v>
      </x:c>
      <x:c r="C223" s="19" t="str">
        <x:v>META_COST1_SEED4</x:v>
      </x:c>
      <x:c r="D223" s="21" t="n">
        <x:v>1</x:v>
      </x:c>
      <x:c r="E223" s="21" t="n">
        <x:v>2017</x:v>
      </x:c>
      <x:c r="F223" s="21" t="n">
        <x:v>0</x:v>
      </x:c>
      <x:c r="G223" s="21" t="n">
        <x:v>1</x:v>
      </x:c>
      <x:c r="H223" s="22" t="n">
        <x:v>2451077.465576172</x:v>
      </x:c>
      <x:c r="I223" s="23" t="n">
        <x:v>0.01678354792150616</x:v>
      </x:c>
      <x:c r="J223" s="24" t="n">
        <x:v>1600</x:v>
      </x:c>
      <x:c r="K223" s="25" t="n">
        <x:v>91.07429259998389</x:v>
      </x:c>
      <x:c r="L223" s="25" t="n">
        <x:v>15.781571099971188</x:v>
      </x:c>
      <x:c r="M223" s="25" t="n">
        <x:v>69.77586629998041</x:v>
      </x:c>
      <x:c r="N223" s="25" t="n">
        <x:v>0.6106732000043849</x:v>
      </x:c>
      <x:c r="O223" s="25" t="n">
        <x:v>4.906182000027911</x:v>
      </x:c>
      <x:c r="P223" s="25" t="n">
        <x:v>0.03694969999924067</x:v>
      </x:c>
      <x:c r="Q223" s="25" t="n">
        <x:v>1.0788437920015663</x:v>
      </x:c>
      <x:c r="R223" s="25" t="n">
        <x:v>4.154103419999592</x:v>
      </x:c>
      <x:c r="S223" s="25" t="n">
        <x:v>4.459764044000185</x:v>
      </x:c>
      <x:c r="T223" s="25" t="n">
        <x:v>91.07429259998389</x:v>
      </x:c>
      <x:c r="U223" s="25" t="n">
        <x:v>91.07429259998389</x:v>
      </x:c>
      <x:c r="V223" s="25"/>
      <x:c r="W223" s="19" t="str">
        <x:v>FRAME_GUARD</x:v>
      </x:c>
      <x:c r="X223" s="26" t="n">
        <x:f>IF(AND(J163&gt;0,E223=E163),1-J223/J163,"")</x:f>
        <x:v>-0.11731843575418988</x:v>
      </x:c>
      <x:c r="Y223" s="26" t="n">
        <x:f>IF(AND(K163&gt;0,E223=E163),1-K223/K163,"")</x:f>
        <x:v>-0.03718440603415907</x:v>
      </x:c>
      <x:c r="Z223" s="26" t="n">
        <x:f>IF(AND(ISNUMBER(P163),P163&gt;0,E223=E163),1-P223/P163,"")</x:f>
        <x:v>0.049385530166688896</x:v>
      </x:c>
      <x:c r="AA223" s="26" t="n">
        <x:f>IF(AND(ISNUMBER(R223),ISNUMBER(R163),R163&gt;0,E223=E163),1-R223/R163,"")</x:f>
        <x:v>-0.26147714287639934</x:v>
      </x:c>
      <x:c r="AB223" s="26"/>
      <x:c r="AC223" s="19" t="str">
        <x:v>D:/Codex/GRL研究/outputs/grid89_review/per_date.csv</x:v>
      </x:c>
    </x:row>
    <x:row r="224" ht="36" customHeight="1">
      <x:c r="A224" s="19" t="str">
        <x:v>GRID89 META费用</x:v>
      </x:c>
      <x:c r="B224" s="19" t="str">
        <x:v>2036-03-03_9</x:v>
      </x:c>
      <x:c r="C224" s="19" t="str">
        <x:v>META_COST1_SEED4</x:v>
      </x:c>
      <x:c r="D224" s="21" t="n">
        <x:v>1</x:v>
      </x:c>
      <x:c r="E224" s="21" t="n">
        <x:v>1720</x:v>
      </x:c>
      <x:c r="F224" s="21" t="n">
        <x:v>1</x:v>
      </x:c>
      <x:c r="G224" s="21" t="n">
        <x:v>0</x:v>
      </x:c>
      <x:c r="H224" s="22" t="n">
        <x:v>2311936.183227539</x:v>
      </x:c>
      <x:c r="I224" s="23"/>
      <x:c r="J224" s="24" t="n">
        <x:v>4300</x:v>
      </x:c>
      <x:c r="K224" s="25" t="n">
        <x:v>69.54152519995841</x:v>
      </x:c>
      <x:c r="L224" s="25" t="n">
        <x:v>22.544970399914746</x:v>
      </x:c>
      <x:c r="M224" s="25" t="n">
        <x:v>40.93447379995996</x:v>
      </x:c>
      <x:c r="N224" s="25" t="n">
        <x:v>1.449413500056835</x:v>
      </x:c>
      <x:c r="O224" s="25" t="n">
        <x:v>4.612667500026873</x:v>
      </x:c>
      <x:c r="P224" s="25" t="n">
        <x:v>0.03852773000071465</x:v>
      </x:c>
      <x:c r="Q224" s="25" t="n">
        <x:v>1.0906893599996268</x:v>
      </x:c>
      <x:c r="R224" s="25" t="n">
        <x:v>3.1630832849994475</x:v>
      </x:c>
      <x:c r="S224" s="25" t="n">
        <x:v>3.167502176998969</x:v>
      </x:c>
      <x:c r="T224" s="25" t="n">
        <x:v>69.54152519995841</x:v>
      </x:c>
      <x:c r="U224" s="25" t="n">
        <x:v>69.54152519995841</x:v>
      </x:c>
      <x:c r="V224" s="25"/>
      <x:c r="W224" s="19" t="str">
        <x:v>FRAME_GUARD</x:v>
      </x:c>
      <x:c r="X224" s="26" t="n">
        <x:f>IF(AND(J164&gt;0,E224=E164),1-J224/J164,"")</x:f>
        <x:v>0.15834801330984538</x:v>
      </x:c>
      <x:c r="Y224" s="26" t="n">
        <x:f>IF(AND(K164&gt;0,E224=E164),1-K224/K164,"")</x:f>
        <x:v>0.04597190446468424</x:v>
      </x:c>
      <x:c r="Z224" s="26" t="n">
        <x:f>IF(AND(ISNUMBER(P164),P164&gt;0,E224=E164),1-P224/P164,"")</x:f>
        <x:v>-0.004361395970585491</x:v>
      </x:c>
      <x:c r="AA224" s="26" t="n">
        <x:f>IF(AND(ISNUMBER(R224),ISNUMBER(R164),R164&gt;0,E224=E164),1-R224/R164,"")</x:f>
        <x:v>0.23355442714920704</x:v>
      </x:c>
      <x:c r="AB224" s="26"/>
      <x:c r="AC224" s="19" t="str">
        <x:v>D:/Codex/GRL研究/outputs/grid89_review/per_date.csv</x:v>
      </x:c>
    </x:row>
    <x:row r="225" ht="36" customHeight="1">
      <x:c r="A225" s="19" t="str">
        <x:v>GRID89 META费用</x:v>
      </x:c>
      <x:c r="B225" s="19" t="str">
        <x:v>2036-05-05_9</x:v>
      </x:c>
      <x:c r="C225" s="19" t="str">
        <x:v>META_COST1_SEED4</x:v>
      </x:c>
      <x:c r="D225" s="21" t="n">
        <x:v>1</x:v>
      </x:c>
      <x:c r="E225" s="21" t="n">
        <x:v>2017</x:v>
      </x:c>
      <x:c r="F225" s="21" t="n">
        <x:v>1</x:v>
      </x:c>
      <x:c r="G225" s="21" t="n">
        <x:v>1</x:v>
      </x:c>
      <x:c r="H225" s="22" t="n">
        <x:v>1746784.1606140137</x:v>
      </x:c>
      <x:c r="I225" s="23" t="n">
        <x:v>-0.018373470908400247</x:v>
      </x:c>
      <x:c r="J225" s="24" t="n">
        <x:v>1024</x:v>
      </x:c>
      <x:c r="K225" s="25" t="n">
        <x:v>50.952488200018706</x:v>
      </x:c>
      <x:c r="L225" s="25" t="n">
        <x:v>10.75470810011393</x:v>
      </x:c>
      <x:c r="M225" s="25" t="n">
        <x:v>34.80086150001807</x:v>
      </x:c>
      <x:c r="N225" s="25" t="n">
        <x:v>0.7789270000175748</x:v>
      </x:c>
      <x:c r="O225" s="25" t="n">
        <x:v>4.6179915998691285</x:v>
      </x:c>
      <x:c r="P225" s="25" t="n">
        <x:v>0.031246040000405626</x:v>
      </x:c>
      <x:c r="Q225" s="25" t="n">
        <x:v>0.7496128239996317</x:v>
      </x:c>
      <x:c r="R225" s="25" t="n">
        <x:v>2.6505982000016957</x:v>
      </x:c>
      <x:c r="S225" s="25" t="n">
        <x:v>2.827533000001859</x:v>
      </x:c>
      <x:c r="T225" s="25" t="n">
        <x:v>50.952488200018706</x:v>
      </x:c>
      <x:c r="U225" s="25" t="n">
        <x:v>50.952488200018706</x:v>
      </x:c>
      <x:c r="V225" s="25"/>
      <x:c r="W225" s="19" t="str">
        <x:v>FRAME_GUARD</x:v>
      </x:c>
      <x:c r="X225" s="26" t="n">
        <x:f>IF(AND(J165&gt;0,E225=E165),1-J225/J165,"")</x:f>
        <x:v>-1.2555066079295156</x:v>
      </x:c>
      <x:c r="Y225" s="26" t="n">
        <x:f>IF(AND(K165&gt;0,E225=E165),1-K225/K165,"")</x:f>
        <x:v>-0.3120642204086175</x:v>
      </x:c>
      <x:c r="Z225" s="26" t="n">
        <x:f>IF(AND(ISNUMBER(P165),P165&gt;0,E225=E165),1-P225/P165,"")</x:f>
        <x:v>-0.012108620657275138</x:v>
      </x:c>
      <x:c r="AA225" s="26" t="n">
        <x:f>IF(AND(ISNUMBER(R225),ISNUMBER(R165),R165&gt;0,E225=E165),1-R225/R165,"")</x:f>
        <x:v>0.37027722146990627</x:v>
      </x:c>
      <x:c r="AB225" s="26"/>
      <x:c r="AC225" s="19" t="str">
        <x:v>D:/Codex/GRL研究/outputs/grid89_review/per_date.csv</x:v>
      </x:c>
    </x:row>
    <x:row r="226" ht="36" customHeight="1">
      <x:c r="A226" s="19" t="str">
        <x:v>GRID89 META费用</x:v>
      </x:c>
      <x:c r="B226" s="19" t="str">
        <x:v>2036-07-07_9</x:v>
      </x:c>
      <x:c r="C226" s="19" t="str">
        <x:v>META_COST1_SEED4</x:v>
      </x:c>
      <x:c r="D226" s="21" t="n">
        <x:v>1</x:v>
      </x:c>
      <x:c r="E226" s="21" t="n">
        <x:v>2017</x:v>
      </x:c>
      <x:c r="F226" s="21" t="n">
        <x:v>1</x:v>
      </x:c>
      <x:c r="G226" s="21" t="n">
        <x:v>1</x:v>
      </x:c>
      <x:c r="H226" s="22" t="n">
        <x:v>1396410.2720947266</x:v>
      </x:c>
      <x:c r="I226" s="23" t="n">
        <x:v>-0.007282270640677879</x:v>
      </x:c>
      <x:c r="J226" s="24" t="n">
        <x:v>2701</x:v>
      </x:c>
      <x:c r="K226" s="25" t="n">
        <x:v>46.08950359992377</x:v>
      </x:c>
      <x:c r="L226" s="25" t="n">
        <x:v>15.313818599948718</x:v>
      </x:c>
      <x:c r="M226" s="25" t="n">
        <x:v>25.225809900002787</x:v>
      </x:c>
      <x:c r="N226" s="25" t="n">
        <x:v>1.3352696999827458</x:v>
      </x:c>
      <x:c r="O226" s="25" t="n">
        <x:v>4.214605399989523</x:v>
      </x:c>
      <x:c r="P226" s="25" t="n">
        <x:v>0.037239900001441124</x:v>
      </x:c>
      <x:c r="Q226" s="25" t="n">
        <x:v>0.7440024440010892</x:v>
      </x:c>
      <x:c r="R226" s="25" t="n">
        <x:v>3.479892904999176</x:v>
      </x:c>
      <x:c r="S226" s="25" t="n">
        <x:v>4.269262420999767</x:v>
      </x:c>
      <x:c r="T226" s="25" t="n">
        <x:v>46.08950359992377</x:v>
      </x:c>
      <x:c r="U226" s="25" t="n">
        <x:v>46.08950359992377</x:v>
      </x:c>
      <x:c r="V226" s="25"/>
      <x:c r="W226" s="19" t="str">
        <x:v>FRAME_GUARD</x:v>
      </x:c>
      <x:c r="X226" s="26" t="n">
        <x:f>IF(AND(J166&gt;0,E226=E166),1-J226/J166,"")</x:f>
        <x:v>0.22161383285302594</x:v>
      </x:c>
      <x:c r="Y226" s="26" t="n">
        <x:f>IF(AND(K166&gt;0,E226=E166),1-K226/K166,"")</x:f>
        <x:v>0.03842031649022104</x:v>
      </x:c>
      <x:c r="Z226" s="26" t="n">
        <x:f>IF(AND(ISNUMBER(P166),P166&gt;0,E226=E166),1-P226/P166,"")</x:f>
        <x:v>-0.031847144337112</x:v>
      </x:c>
      <x:c r="AA226" s="26" t="n">
        <x:f>IF(AND(ISNUMBER(R226),ISNUMBER(R166),R166&gt;0,E226=E166),1-R226/R166,"")</x:f>
        <x:v>-0.02074565570824749</x:v>
      </x:c>
      <x:c r="AB226" s="26"/>
      <x:c r="AC226" s="19" t="str">
        <x:v>D:/Codex/GRL研究/outputs/grid89_review/per_date.csv</x:v>
      </x:c>
    </x:row>
    <x:row r="227" ht="36" customHeight="1">
      <x:c r="A227" s="19" t="str">
        <x:v>GRID89 META费用</x:v>
      </x:c>
      <x:c r="B227" s="19" t="str">
        <x:v>2036-09-01_9</x:v>
      </x:c>
      <x:c r="C227" s="19" t="str">
        <x:v>META_COST1_SEED4</x:v>
      </x:c>
      <x:c r="D227" s="21" t="n">
        <x:v>1</x:v>
      </x:c>
      <x:c r="E227" s="21" t="n">
        <x:v>2017</x:v>
      </x:c>
      <x:c r="F227" s="21" t="n">
        <x:v>1</x:v>
      </x:c>
      <x:c r="G227" s="21" t="n">
        <x:v>1</x:v>
      </x:c>
      <x:c r="H227" s="22" t="n">
        <x:v>1392539.194595337</x:v>
      </x:c>
      <x:c r="I227" s="23" t="n">
        <x:v>-0.00030211563703952393</x:v>
      </x:c>
      <x:c r="J227" s="24" t="n">
        <x:v>768</x:v>
      </x:c>
      <x:c r="K227" s="25" t="n">
        <x:v>41.08597710007598</x:v>
      </x:c>
      <x:c r="L227" s="25" t="n">
        <x:v>9.948795499880362</x:v>
      </x:c>
      <x:c r="M227" s="25" t="n">
        <x:v>26.123956900039047</x:v>
      </x:c>
      <x:c r="N227" s="25" t="n">
        <x:v>0.46167889997013845</x:v>
      </x:c>
      <x:c r="O227" s="25" t="n">
        <x:v>4.551545800186432</x:v>
      </x:c>
      <x:c r="P227" s="25" t="n">
        <x:v>0.03106861999985994</x:v>
      </x:c>
      <x:c r="Q227" s="25" t="n">
        <x:v>0.7326827559994126</x:v>
      </x:c>
      <x:c r="R227" s="25" t="n">
        <x:v>1.1017483000015997</x:v>
      </x:c>
      <x:c r="S227" s="25" t="n">
        <x:v>1.1574580600016269</x:v>
      </x:c>
      <x:c r="T227" s="25" t="n">
        <x:v>41.08597710007598</x:v>
      </x:c>
      <x:c r="U227" s="25" t="n">
        <x:v>41.08597710007598</x:v>
      </x:c>
      <x:c r="V227" s="25"/>
      <x:c r="W227" s="19" t="str">
        <x:v>FRAME_GUARD</x:v>
      </x:c>
      <x:c r="X227" s="26" t="n">
        <x:f>IF(AND(J167&gt;0,E227=E167),1-J227/J167,"")</x:f>
        <x:v>0.27615457115928366</x:v>
      </x:c>
      <x:c r="Y227" s="26" t="n">
        <x:f>IF(AND(K167&gt;0,E227=E167),1-K227/K167,"")</x:f>
        <x:v>0.02539892099099461</x:v>
      </x:c>
      <x:c r="Z227" s="26" t="n">
        <x:f>IF(AND(ISNUMBER(P167),P167&gt;0,E227=E167),1-P227/P167,"")</x:f>
        <x:v>0.008550396111474345</x:v>
      </x:c>
      <x:c r="AA227" s="26" t="n">
        <x:f>IF(AND(ISNUMBER(R227),ISNUMBER(R167),R167&gt;0,E227=E167),1-R227/R167,"")</x:f>
        <x:v>0.11681063704028449</x:v>
      </x:c>
      <x:c r="AB227" s="26"/>
      <x:c r="AC227" s="19" t="str">
        <x:v>D:/Codex/GRL研究/outputs/grid89_review/per_date.csv</x:v>
      </x:c>
    </x:row>
    <x:row r="228" ht="36" customHeight="1">
      <x:c r="A228" s="19" t="str">
        <x:v>GRID89 META费用</x:v>
      </x:c>
      <x:c r="B228" s="19" t="str">
        <x:v>2036-11-03_9</x:v>
      </x:c>
      <x:c r="C228" s="19" t="str">
        <x:v>META_COST1_SEED4</x:v>
      </x:c>
      <x:c r="D228" s="21" t="n">
        <x:v>1</x:v>
      </x:c>
      <x:c r="E228" s="21" t="n">
        <x:v>519</x:v>
      </x:c>
      <x:c r="F228" s="21" t="n">
        <x:v>1</x:v>
      </x:c>
      <x:c r="G228" s="21" t="n">
        <x:v>0</x:v>
      </x:c>
      <x:c r="H228" s="22" t="n">
        <x:v>361332.79052734375</x:v>
      </x:c>
      <x:c r="I228" s="23"/>
      <x:c r="J228" s="24" t="n">
        <x:v>0</x:v>
      </x:c>
      <x:c r="K228" s="25" t="n">
        <x:v>15.520474099939747</x:v>
      </x:c>
      <x:c r="L228" s="25" t="n">
        <x:v>2.0006187000326463</x:v>
      </x:c>
      <x:c r="M228" s="25" t="n">
        <x:v>12.553603300006216</x:v>
      </x:c>
      <x:c r="N228" s="25" t="n">
        <x:v>0</x:v>
      </x:c>
      <x:c r="O228" s="25" t="n">
        <x:v>0.9662520999008848</x:v>
      </x:c>
      <x:c r="P228" s="25" t="n">
        <x:v>0.028206090002276932</x:v>
      </x:c>
      <x:c r="Q228" s="25" t="n">
        <x:v>0.8508279540004933</x:v>
      </x:c>
      <x:c r="R228" s="25"/>
      <x:c r="S228" s="25"/>
      <x:c r="T228" s="25" t="n">
        <x:v>15.520474099939747</x:v>
      </x:c>
      <x:c r="U228" s="25" t="n">
        <x:v>15.520474099939747</x:v>
      </x:c>
      <x:c r="V228" s="25"/>
      <x:c r="W228" s="19" t="str">
        <x:v>FRAME_GUARD</x:v>
      </x:c>
      <x:c r="X228" s="26" t="str">
        <x:f>IF(AND(J168&gt;0,E228=E168),1-J228/J168,"")</x:f>
      </x:c>
      <x:c r="Y228" s="26" t="n">
        <x:f>IF(AND(K168&gt;0,E228=E168),1-K228/K168,"")</x:f>
        <x:v>0.002904068832830342</x:v>
      </x:c>
      <x:c r="Z228" s="26" t="n">
        <x:f>IF(AND(ISNUMBER(P168),P168&gt;0,E228=E168),1-P228/P168,"")</x:f>
        <x:v>0.06006864009016921</x:v>
      </x:c>
      <x:c r="AA228" s="26" t="str">
        <x:f>IF(AND(ISNUMBER(R228),ISNUMBER(R168),R168&gt;0,E228=E168),1-R228/R168,"")</x:f>
      </x:c>
      <x:c r="AB228" s="26"/>
      <x:c r="AC228" s="19" t="str">
        <x:v>D:/Codex/GRL研究/outputs/grid89_review/per_date.csv</x:v>
      </x:c>
    </x:row>
    <x:row r="229" ht="36" customHeight="1">
      <x:c r="A229" s="19" t="str">
        <x:v>GRID89 换序</x:v>
      </x:c>
      <x:c r="B229" s="19" t="str">
        <x:v>2036-01-07_9</x:v>
      </x:c>
      <x:c r="C229" s="19" t="str">
        <x:v>FRAME_GUARD__LOCAL_STRESS</x:v>
      </x:c>
      <x:c r="D229" s="21" t="n">
        <x:v>1</x:v>
      </x:c>
      <x:c r="E229" s="21" t="n">
        <x:v>2017</x:v>
      </x:c>
      <x:c r="F229" s="21" t="n">
        <x:v>1</x:v>
      </x:c>
      <x:c r="G229" s="21" t="n">
        <x:v>1</x:v>
      </x:c>
      <x:c r="H229" s="22" t="n">
        <x:v>2410786.7030029297</x:v>
      </x:c>
      <x:c r="I229" s="23" t="n">
        <x:v>0.00006968020698505661</x:v>
      </x:c>
      <x:c r="J229" s="24" t="n">
        <x:v>1464</x:v>
      </x:c>
      <x:c r="K229" s="25" t="n">
        <x:v>86.14758850010548</x:v>
      </x:c>
      <x:c r="L229" s="25" t="n">
        <x:v>14.339269200067065</x:v>
      </x:c>
      <x:c r="M229" s="25" t="n">
        <x:v>66.4534023000706</x:v>
      </x:c>
      <x:c r="N229" s="25" t="n">
        <x:v>0.5216629000387911</x:v>
      </x:c>
      <x:c r="O229" s="25" t="n">
        <x:v>4.833254099929036</x:v>
      </x:c>
      <x:c r="P229" s="25" t="n">
        <x:v>0.03654637999861722</x:v>
      </x:c>
      <x:c r="Q229" s="25" t="n">
        <x:v>1.1883709959982642</x:v>
      </x:c>
      <x:c r="R229" s="25" t="n">
        <x:v>2.1507038999996437</x:v>
      </x:c>
      <x:c r="S229" s="25" t="n">
        <x:v>2.183367419999704</x:v>
      </x:c>
      <x:c r="T229" s="25" t="n">
        <x:v>86.14758850010548</x:v>
      </x:c>
      <x:c r="U229" s="25" t="n">
        <x:v>86.14758850010548</x:v>
      </x:c>
      <x:c r="V229" s="25"/>
      <x:c r="W229" s="19" t="str">
        <x:v>FULL__LOCAL_STRESS</x:v>
      </x:c>
      <x:c r="X229" s="26" t="n">
        <x:f>IF(AND(J259&gt;0,E229=E259),1-J229/J259,"")</x:f>
        <x:v>0.731129476584022</x:v>
      </x:c>
      <x:c r="Y229" s="26" t="n">
        <x:f>IF(AND(K259&gt;0,E229=E259),1-K229/K259,"")</x:f>
        <x:v>0.10997237317134101</x:v>
      </x:c>
      <x:c r="Z229" s="26" t="n">
        <x:f>IF(AND(ISNUMBER(P259),P259&gt;0,E229=E259),1-P229/P259,"")</x:f>
        <x:v>-0.010638333134382894</x:v>
      </x:c>
      <x:c r="AA229" s="26" t="n">
        <x:f>IF(AND(ISNUMBER(R229),ISNUMBER(R259),R259&gt;0,E229=E259),1-R229/R259,"")</x:f>
        <x:v>0.5695717671132154</x:v>
      </x:c>
      <x:c r="AB229" s="26"/>
      <x:c r="AC229" s="19" t="str">
        <x:v>D:/Codex/GRL研究/outputs/grid89_review/per_date.csv</x:v>
      </x:c>
    </x:row>
    <x:row r="230" ht="36" customHeight="1">
      <x:c r="A230" s="19" t="str">
        <x:v>GRID89 换序</x:v>
      </x:c>
      <x:c r="B230" s="19" t="str">
        <x:v>2036-03-03_9</x:v>
      </x:c>
      <x:c r="C230" s="19" t="str">
        <x:v>FRAME_GUARD__LOCAL_STRESS</x:v>
      </x:c>
      <x:c r="D230" s="21" t="n">
        <x:v>1</x:v>
      </x:c>
      <x:c r="E230" s="21" t="n">
        <x:v>1720</x:v>
      </x:c>
      <x:c r="F230" s="21" t="n">
        <x:v>1</x:v>
      </x:c>
      <x:c r="G230" s="21" t="n">
        <x:v>0</x:v>
      </x:c>
      <x:c r="H230" s="22" t="n">
        <x:v>2266575.1646118164</x:v>
      </x:c>
      <x:c r="I230" s="23"/>
      <x:c r="J230" s="24" t="n">
        <x:v>4236</x:v>
      </x:c>
      <x:c r="K230" s="25" t="n">
        <x:v>67.8368975999656</x:v>
      </x:c>
      <x:c r="L230" s="25" t="n">
        <x:v>22.056918500064057</x:v>
      </x:c>
      <x:c r="M230" s="25" t="n">
        <x:v>40.321321399955195</x:v>
      </x:c>
      <x:c r="N230" s="25" t="n">
        <x:v>0.9200251999427564</x:v>
      </x:c>
      <x:c r="O230" s="25" t="n">
        <x:v>4.538632500003587</x:v>
      </x:c>
      <x:c r="P230" s="25" t="n">
        <x:v>0.03674544500281626</x:v>
      </x:c>
      <x:c r="Q230" s="25" t="n">
        <x:v>0.8967209210026315</x:v>
      </x:c>
      <x:c r="R230" s="25" t="n">
        <x:v>3.59415838000059</x:v>
      </x:c>
      <x:c r="S230" s="25" t="n">
        <x:v>3.7277837560015903</x:v>
      </x:c>
      <x:c r="T230" s="25" t="n">
        <x:v>67.8368975999656</x:v>
      </x:c>
      <x:c r="U230" s="25" t="n">
        <x:v>67.8368975999656</x:v>
      </x:c>
      <x:c r="V230" s="25"/>
      <x:c r="W230" s="19" t="str">
        <x:v>FULL__LOCAL_STRESS</x:v>
      </x:c>
      <x:c r="X230" s="26" t="n">
        <x:f>IF(AND(J260&gt;0,E230=E260),1-J230/J260,"")</x:f>
        <x:v>0.4817080631347118</x:v>
      </x:c>
      <x:c r="Y230" s="26" t="n">
        <x:f>IF(AND(K260&gt;0,E230=E260),1-K230/K260,"")</x:f>
        <x:v>0.17907839038389584</x:v>
      </x:c>
      <x:c r="Z230" s="26" t="n">
        <x:f>IF(AND(ISNUMBER(P260),P260&gt;0,E230=E260),1-P230/P260,"")</x:f>
        <x:v>0.018696352024411333</x:v>
      </x:c>
      <x:c r="AA230" s="26" t="n">
        <x:f>IF(AND(ISNUMBER(R230),ISNUMBER(R260),R260&gt;0,E230=E260),1-R230/R260,"")</x:f>
        <x:v>0.23293213581805217</x:v>
      </x:c>
      <x:c r="AB230" s="26"/>
      <x:c r="AC230" s="19" t="str">
        <x:v>D:/Codex/GRL研究/outputs/grid89_review/per_date.csv</x:v>
      </x:c>
    </x:row>
    <x:row r="231" ht="36" customHeight="1">
      <x:c r="A231" s="19" t="str">
        <x:v>GRID89 换序</x:v>
      </x:c>
      <x:c r="B231" s="19" t="str">
        <x:v>2036-05-05_9</x:v>
      </x:c>
      <x:c r="C231" s="19" t="str">
        <x:v>FRAME_GUARD__LOCAL_STRESS</x:v>
      </x:c>
      <x:c r="D231" s="21" t="n">
        <x:v>1</x:v>
      </x:c>
      <x:c r="E231" s="21" t="n">
        <x:v>2017</x:v>
      </x:c>
      <x:c r="F231" s="21" t="n">
        <x:v>1</x:v>
      </x:c>
      <x:c r="G231" s="21" t="n">
        <x:v>1</x:v>
      </x:c>
      <x:c r="H231" s="22" t="n">
        <x:v>1732291.8922729492</x:v>
      </x:c>
      <x:c r="I231" s="23" t="n">
        <x:v>-0.02651757674074451</x:v>
      </x:c>
      <x:c r="J231" s="24" t="n">
        <x:v>471</x:v>
      </x:c>
      <x:c r="K231" s="25" t="n">
        <x:v>37.78897589990811</x:v>
      </x:c>
      <x:c r="L231" s="25" t="n">
        <x:v>8.263503900114301</x:v>
      </x:c>
      <x:c r="M231" s="25" t="n">
        <x:v>25.136192099973414</x:v>
      </x:c>
      <x:c r="N231" s="25" t="n">
        <x:v>0.1096700000052806</x:v>
      </x:c>
      <x:c r="O231" s="25" t="n">
        <x:v>4.279609899815114</x:v>
      </x:c>
      <x:c r="P231" s="25" t="n">
        <x:v>0.029678879999119084</x:v>
      </x:c>
      <x:c r="Q231" s="25" t="n">
        <x:v>0.5807727080026032</x:v>
      </x:c>
      <x:c r="R231" s="25" t="n">
        <x:v>4.17640979999851</x:v>
      </x:c>
      <x:c r="S231" s="25" t="n">
        <x:v>4.17640979999851</x:v>
      </x:c>
      <x:c r="T231" s="25" t="n">
        <x:v>37.78897589990811</x:v>
      </x:c>
      <x:c r="U231" s="25" t="n">
        <x:v>37.78897589990811</x:v>
      </x:c>
      <x:c r="V231" s="25"/>
      <x:c r="W231" s="19" t="str">
        <x:v>FULL__LOCAL_STRESS</x:v>
      </x:c>
      <x:c r="X231" s="26" t="n">
        <x:f>IF(AND(J261&gt;0,E231=E261),1-J231/J261,"")</x:f>
        <x:v>0.8171583850931677</x:v>
      </x:c>
      <x:c r="Y231" s="26" t="n">
        <x:f>IF(AND(K261&gt;0,E231=E261),1-K231/K261,"")</x:f>
        <x:v>0.25688024196049775</x:v>
      </x:c>
      <x:c r="Z231" s="26" t="n">
        <x:f>IF(AND(ISNUMBER(P261),P261&gt;0,E231=E261),1-P231/P261,"")</x:f>
        <x:v>0.10906767979877918</x:v>
      </x:c>
      <x:c r="AA231" s="26" t="n">
        <x:f>IF(AND(ISNUMBER(R231),ISNUMBER(R261),R261&gt;0,E231=E261),1-R231/R261,"")</x:f>
        <x:v>0.01350981019803521</x:v>
      </x:c>
      <x:c r="AB231" s="26"/>
      <x:c r="AC231" s="19" t="str">
        <x:v>D:/Codex/GRL研究/outputs/grid89_review/per_date.csv</x:v>
      </x:c>
    </x:row>
    <x:row r="232" ht="36" customHeight="1">
      <x:c r="A232" s="19" t="str">
        <x:v>GRID89 换序</x:v>
      </x:c>
      <x:c r="B232" s="19" t="str">
        <x:v>2036-07-07_9</x:v>
      </x:c>
      <x:c r="C232" s="19" t="str">
        <x:v>FRAME_GUARD__LOCAL_STRESS</x:v>
      </x:c>
      <x:c r="D232" s="21" t="n">
        <x:v>1</x:v>
      </x:c>
      <x:c r="E232" s="21" t="n">
        <x:v>2017</x:v>
      </x:c>
      <x:c r="F232" s="21" t="n">
        <x:v>1</x:v>
      </x:c>
      <x:c r="G232" s="21" t="n">
        <x:v>1</x:v>
      </x:c>
      <x:c r="H232" s="22" t="n">
        <x:v>1411685.346069336</x:v>
      </x:c>
      <x:c r="I232" s="23" t="n">
        <x:v>0.0035768851926023526</x:v>
      </x:c>
      <x:c r="J232" s="24" t="n">
        <x:v>3469</x:v>
      </x:c>
      <x:c r="K232" s="25" t="n">
        <x:v>50.462983700050245</x:v>
      </x:c>
      <x:c r="L232" s="25" t="n">
        <x:v>18.137971699896298</x:v>
      </x:c>
      <x:c r="M232" s="25" t="n">
        <x:v>26.921978999991552</x:v>
      </x:c>
      <x:c r="N232" s="25" t="n">
        <x:v>1.12727950012777</x:v>
      </x:c>
      <x:c r="O232" s="25" t="n">
        <x:v>4.275753500034625</x:v>
      </x:c>
      <x:c r="P232" s="25" t="n">
        <x:v>0.03382180000116932</x:v>
      </x:c>
      <x:c r="Q232" s="25" t="n">
        <x:v>0.7454254999982364</x:v>
      </x:c>
      <x:c r="R232" s="25" t="n">
        <x:v>4.146186194998699</x:v>
      </x:c>
      <x:c r="S232" s="25" t="n">
        <x:v>4.3628985989994185</x:v>
      </x:c>
      <x:c r="T232" s="25" t="n">
        <x:v>50.462983700050245</x:v>
      </x:c>
      <x:c r="U232" s="25" t="n">
        <x:v>50.462983700050245</x:v>
      </x:c>
      <x:c r="V232" s="25"/>
      <x:c r="W232" s="19" t="str">
        <x:v>FULL__LOCAL_STRESS</x:v>
      </x:c>
      <x:c r="X232" s="26" t="n">
        <x:f>IF(AND(J262&gt;0,E232=E262),1-J232/J262,"")</x:f>
        <x:v>0.6154954555530925</x:v>
      </x:c>
      <x:c r="Y232" s="26" t="n">
        <x:f>IF(AND(K262&gt;0,E232=E262),1-K232/K262,"")</x:f>
        <x:v>0.23283501464312828</x:v>
      </x:c>
      <x:c r="Z232" s="26" t="n">
        <x:f>IF(AND(ISNUMBER(P262),P262&gt;0,E232=E262),1-P232/P262,"")</x:f>
        <x:v>-0.01663990444133856</x:v>
      </x:c>
      <x:c r="AA232" s="26" t="n">
        <x:f>IF(AND(ISNUMBER(R232),ISNUMBER(R262),R262&gt;0,E232=E262),1-R232/R262,"")</x:f>
        <x:v>0.1633045928488316</x:v>
      </x:c>
      <x:c r="AB232" s="26"/>
      <x:c r="AC232" s="19" t="str">
        <x:v>D:/Codex/GRL研究/outputs/grid89_review/per_date.csv</x:v>
      </x:c>
    </x:row>
    <x:row r="233" ht="36" customHeight="1">
      <x:c r="A233" s="19" t="str">
        <x:v>GRID89 换序</x:v>
      </x:c>
      <x:c r="B233" s="19" t="str">
        <x:v>2036-09-01_9</x:v>
      </x:c>
      <x:c r="C233" s="19" t="str">
        <x:v>FRAME_GUARD__LOCAL_STRESS</x:v>
      </x:c>
      <x:c r="D233" s="21" t="n">
        <x:v>1</x:v>
      </x:c>
      <x:c r="E233" s="21" t="n">
        <x:v>2017</x:v>
      </x:c>
      <x:c r="F233" s="21" t="n">
        <x:v>1</x:v>
      </x:c>
      <x:c r="G233" s="21" t="n">
        <x:v>1</x:v>
      </x:c>
      <x:c r="H233" s="22" t="n">
        <x:v>1392633.7291259766</x:v>
      </x:c>
      <x:c r="I233" s="23" t="n">
        <x:v>-0.00023424970504537512</x:v>
      </x:c>
      <x:c r="J233" s="24" t="n">
        <x:v>1439</x:v>
      </x:c>
      <x:c r="K233" s="25" t="n">
        <x:v>42.79893339991759</x:v>
      </x:c>
      <x:c r="L233" s="25" t="n">
        <x:v>11.010187999967457</x:v>
      </x:c>
      <x:c r="M233" s="25" t="n">
        <x:v>26.659165000040957</x:v>
      </x:c>
      <x:c r="N233" s="25" t="n">
        <x:v>0.4400325999740744</x:v>
      </x:c>
      <x:c r="O233" s="25" t="n">
        <x:v>4.689547799935099</x:v>
      </x:c>
      <x:c r="P233" s="25" t="n">
        <x:v>0.031986400001915154</x:v>
      </x:c>
      <x:c r="Q233" s="25" t="n">
        <x:v>0.7403875320004588</x:v>
      </x:c>
      <x:c r="R233" s="25" t="n">
        <x:v>1.5357554600019283</x:v>
      </x:c>
      <x:c r="S233" s="25" t="n">
        <x:v>1.5787931720021515</x:v>
      </x:c>
      <x:c r="T233" s="25" t="n">
        <x:v>42.79893339991759</x:v>
      </x:c>
      <x:c r="U233" s="25" t="n">
        <x:v>42.79893339991759</x:v>
      </x:c>
      <x:c r="V233" s="25"/>
      <x:c r="W233" s="19" t="str">
        <x:v>FULL__LOCAL_STRESS</x:v>
      </x:c>
      <x:c r="X233" s="26" t="n">
        <x:f>IF(AND(J263&gt;0,E233=E263),1-J233/J263,"")</x:f>
        <x:v>0.5982691233947515</x:v>
      </x:c>
      <x:c r="Y233" s="26" t="n">
        <x:f>IF(AND(K263&gt;0,E233=E263),1-K233/K263,"")</x:f>
        <x:v>0.11786293160726091</x:v>
      </x:c>
      <x:c r="Z233" s="26" t="n">
        <x:f>IF(AND(ISNUMBER(P263),P263&gt;0,E233=E263),1-P233/P263,"")</x:f>
        <x:v>-0.01871538882593593</x:v>
      </x:c>
      <x:c r="AA233" s="26" t="n">
        <x:f>IF(AND(ISNUMBER(R233),ISNUMBER(R263),R263&gt;0,E233=E263),1-R233/R263,"")</x:f>
        <x:v>0.47564040015916254</x:v>
      </x:c>
      <x:c r="AB233" s="26"/>
      <x:c r="AC233" s="19" t="str">
        <x:v>D:/Codex/GRL研究/outputs/grid89_review/per_date.csv</x:v>
      </x:c>
    </x:row>
    <x:row r="234" ht="36" customHeight="1">
      <x:c r="A234" s="19" t="str">
        <x:v>GRID89 换序</x:v>
      </x:c>
      <x:c r="B234" s="19" t="str">
        <x:v>2036-11-03_9</x:v>
      </x:c>
      <x:c r="C234" s="19" t="str">
        <x:v>FRAME_GUARD__LOCAL_STRESS</x:v>
      </x:c>
      <x:c r="D234" s="21" t="n">
        <x:v>1</x:v>
      </x:c>
      <x:c r="E234" s="21" t="n">
        <x:v>519</x:v>
      </x:c>
      <x:c r="F234" s="21" t="n">
        <x:v>1</x:v>
      </x:c>
      <x:c r="G234" s="21" t="n">
        <x:v>0</x:v>
      </x:c>
      <x:c r="H234" s="22" t="n">
        <x:v>361332.79052734375</x:v>
      </x:c>
      <x:c r="I234" s="23"/>
      <x:c r="J234" s="24" t="n">
        <x:v>0</x:v>
      </x:c>
      <x:c r="K234" s="25" t="n">
        <x:v>15.736896299993532</x:v>
      </x:c>
      <x:c r="L234" s="25" t="n">
        <x:v>1.9915103000384988</x:v>
      </x:c>
      <x:c r="M234" s="25" t="n">
        <x:v>12.782527899998968</x:v>
      </x:c>
      <x:c r="N234" s="25" t="n">
        <x:v>0</x:v>
      </x:c>
      <x:c r="O234" s="25" t="n">
        <x:v>0.9628580999560654</x:v>
      </x:c>
      <x:c r="P234" s="25" t="n">
        <x:v>0.030326129999593828</x:v>
      </x:c>
      <x:c r="Q234" s="25" t="n">
        <x:v>0.8881137200001888</x:v>
      </x:c>
      <x:c r="R234" s="25"/>
      <x:c r="S234" s="25"/>
      <x:c r="T234" s="25" t="n">
        <x:v>15.736896299993532</x:v>
      </x:c>
      <x:c r="U234" s="25" t="n">
        <x:v>15.736896299993532</x:v>
      </x:c>
      <x:c r="V234" s="25"/>
      <x:c r="W234" s="19" t="str">
        <x:v>FULL__LOCAL_STRESS</x:v>
      </x:c>
      <x:c r="X234" s="26" t="str">
        <x:f>IF(AND(J264&gt;0,E234=E264),1-J234/J264,"")</x:f>
      </x:c>
      <x:c r="Y234" s="26" t="n">
        <x:f>IF(AND(K264&gt;0,E234=E264),1-K234/K264,"")</x:f>
        <x:v>0.002192243172061681</x:v>
      </x:c>
      <x:c r="Z234" s="26" t="n">
        <x:f>IF(AND(ISNUMBER(P264),P264&gt;0,E234=E264),1-P234/P264,"")</x:f>
        <x:v>0.03374917480042039</x:v>
      </x:c>
      <x:c r="AA234" s="26" t="str">
        <x:f>IF(AND(ISNUMBER(R234),ISNUMBER(R264),R264&gt;0,E234=E264),1-R234/R264,"")</x:f>
      </x:c>
      <x:c r="AB234" s="26"/>
      <x:c r="AC234" s="19" t="str">
        <x:v>D:/Codex/GRL研究/outputs/grid89_review/per_date.csv</x:v>
      </x:c>
    </x:row>
    <x:row r="235" ht="36" customHeight="1">
      <x:c r="A235" s="19" t="str">
        <x:v>GRID89 换序</x:v>
      </x:c>
      <x:c r="B235" s="19" t="str">
        <x:v>2036-01-07_9</x:v>
      </x:c>
      <x:c r="C235" s="19" t="str">
        <x:v>FRAME_GUARD__RANDOM_11</x:v>
      </x:c>
      <x:c r="D235" s="21" t="n">
        <x:v>1</x:v>
      </x:c>
      <x:c r="E235" s="21" t="n">
        <x:v>2017</x:v>
      </x:c>
      <x:c r="F235" s="21" t="n">
        <x:v>1</x:v>
      </x:c>
      <x:c r="G235" s="21" t="n">
        <x:v>1</x:v>
      </x:c>
      <x:c r="H235" s="22" t="n">
        <x:v>2416874.5676879883</x:v>
      </x:c>
      <x:c r="I235" s="23" t="n">
        <x:v>0.0025951167713837986</x:v>
      </x:c>
      <x:c r="J235" s="24" t="n">
        <x:v>2162</x:v>
      </x:c>
      <x:c r="K235" s="25" t="n">
        <x:v>81.8602804999864</x:v>
      </x:c>
      <x:c r="L235" s="25" t="n">
        <x:v>17.31982210006754</x:v>
      </x:c>
      <x:c r="M235" s="25" t="n">
        <x:v>59.38206880006692</x:v>
      </x:c>
      <x:c r="N235" s="25" t="n">
        <x:v>0.5907570000272244</x:v>
      </x:c>
      <x:c r="O235" s="25" t="n">
        <x:v>4.567632599824719</x:v>
      </x:c>
      <x:c r="P235" s="25" t="n">
        <x:v>0.03491151999987773</x:v>
      </x:c>
      <x:c r="Q235" s="25" t="n">
        <x:v>0.9456303239976058</x:v>
      </x:c>
      <x:c r="R235" s="25" t="n">
        <x:v>1.9735907250014861</x:v>
      </x:c>
      <x:c r="S235" s="25" t="n">
        <x:v>2.0631847050015497</x:v>
      </x:c>
      <x:c r="T235" s="25" t="n">
        <x:v>81.8602804999864</x:v>
      </x:c>
      <x:c r="U235" s="25" t="n">
        <x:v>81.8602804999864</x:v>
      </x:c>
      <x:c r="V235" s="25"/>
      <x:c r="W235" s="19" t="str">
        <x:v>FULL__RANDOM_11</x:v>
      </x:c>
      <x:c r="X235" s="26" t="n">
        <x:f>IF(AND(J265&gt;0,E235=E265),1-J235/J265,"")</x:f>
        <x:v>0.6029384756657483</x:v>
      </x:c>
      <x:c r="Y235" s="26" t="n">
        <x:f>IF(AND(K265&gt;0,E235=E265),1-K235/K265,"")</x:f>
        <x:v>0.08078113415441257</x:v>
      </x:c>
      <x:c r="Z235" s="26" t="n">
        <x:f>IF(AND(ISNUMBER(P265),P265&gt;0,E235=E265),1-P235/P265,"")</x:f>
        <x:v>-0.08770760100561659</x:v>
      </x:c>
      <x:c r="AA235" s="26" t="n">
        <x:f>IF(AND(ISNUMBER(R235),ISNUMBER(R265),R265&gt;0,E235=E265),1-R235/R265,"")</x:f>
        <x:v>0.5676770707342738</x:v>
      </x:c>
      <x:c r="AB235" s="26"/>
      <x:c r="AC235" s="19" t="str">
        <x:v>D:/Codex/GRL研究/outputs/grid89_review/per_date.csv</x:v>
      </x:c>
    </x:row>
    <x:row r="236" ht="36" customHeight="1">
      <x:c r="A236" s="19" t="str">
        <x:v>GRID89 换序</x:v>
      </x:c>
      <x:c r="B236" s="19" t="str">
        <x:v>2036-03-03_9</x:v>
      </x:c>
      <x:c r="C236" s="19" t="str">
        <x:v>FRAME_GUARD__RANDOM_11</x:v>
      </x:c>
      <x:c r="D236" s="21" t="n">
        <x:v>1</x:v>
      </x:c>
      <x:c r="E236" s="21" t="n">
        <x:v>1720</x:v>
      </x:c>
      <x:c r="F236" s="21" t="n">
        <x:v>1</x:v>
      </x:c>
      <x:c r="G236" s="21" t="n">
        <x:v>0</x:v>
      </x:c>
      <x:c r="H236" s="22" t="n">
        <x:v>2293351.6708984375</x:v>
      </x:c>
      <x:c r="I236" s="23"/>
      <x:c r="J236" s="24" t="n">
        <x:v>4192</x:v>
      </x:c>
      <x:c r="K236" s="25" t="n">
        <x:v>68.87207780000244</x:v>
      </x:c>
      <x:c r="L236" s="25" t="n">
        <x:v>22.498451999788813</x:v>
      </x:c>
      <x:c r="M236" s="25" t="n">
        <x:v>40.45840380001391</x:v>
      </x:c>
      <x:c r="N236" s="25" t="n">
        <x:v>1.2528470000106608</x:v>
      </x:c>
      <x:c r="O236" s="25" t="n">
        <x:v>4.6623750001890585</x:v>
      </x:c>
      <x:c r="P236" s="25" t="n">
        <x:v>0.03690972999793302</x:v>
      </x:c>
      <x:c r="Q236" s="25" t="n">
        <x:v>0.9233055589982897</x:v>
      </x:c>
      <x:c r="R236" s="25" t="n">
        <x:v>3.9473837349989473</x:v>
      </x:c>
      <x:c r="S236" s="25" t="n">
        <x:v>4.236741866998854</x:v>
      </x:c>
      <x:c r="T236" s="25" t="n">
        <x:v>68.87207780000244</x:v>
      </x:c>
      <x:c r="U236" s="25" t="n">
        <x:v>68.87207780000244</x:v>
      </x:c>
      <x:c r="V236" s="25"/>
      <x:c r="W236" s="19" t="str">
        <x:v>FULL__RANDOM_11</x:v>
      </x:c>
      <x:c r="X236" s="26" t="n">
        <x:f>IF(AND(J266&gt;0,E236=E266),1-J236/J266,"")</x:f>
        <x:v>0.4870916432154656</x:v>
      </x:c>
      <x:c r="Y236" s="26" t="n">
        <x:f>IF(AND(K266&gt;0,E236=E266),1-K236/K266,"")</x:f>
        <x:v>0.17234711535912972</x:v>
      </x:c>
      <x:c r="Z236" s="26" t="n">
        <x:f>IF(AND(ISNUMBER(P266),P266&gt;0,E236=E266),1-P236/P266,"")</x:f>
        <x:v>0.034314148729443605</x:v>
      </x:c>
      <x:c r="AA236" s="26" t="n">
        <x:f>IF(AND(ISNUMBER(R236),ISNUMBER(R266),R266&gt;0,E236=E266),1-R236/R266,"")</x:f>
        <x:v>0.1657090977678043</x:v>
      </x:c>
      <x:c r="AB236" s="26"/>
      <x:c r="AC236" s="19" t="str">
        <x:v>D:/Codex/GRL研究/outputs/grid89_review/per_date.csv</x:v>
      </x:c>
    </x:row>
    <x:row r="237" ht="36" customHeight="1">
      <x:c r="A237" s="19" t="str">
        <x:v>GRID89 换序</x:v>
      </x:c>
      <x:c r="B237" s="19" t="str">
        <x:v>2036-05-05_9</x:v>
      </x:c>
      <x:c r="C237" s="19" t="str">
        <x:v>FRAME_GUARD__RANDOM_11</x:v>
      </x:c>
      <x:c r="D237" s="21" t="n">
        <x:v>1</x:v>
      </x:c>
      <x:c r="E237" s="21" t="n">
        <x:v>2017</x:v>
      </x:c>
      <x:c r="F237" s="21" t="n">
        <x:v>1</x:v>
      </x:c>
      <x:c r="G237" s="21" t="n">
        <x:v>1</x:v>
      </x:c>
      <x:c r="H237" s="22" t="n">
        <x:v>1748541.2622680664</x:v>
      </x:c>
      <x:c r="I237" s="23" t="n">
        <x:v>-0.017386046338828565</x:v>
      </x:c>
      <x:c r="J237" s="24" t="n">
        <x:v>683</x:v>
      </x:c>
      <x:c r="K237" s="25" t="n">
        <x:v>40.529727100110904</x:v>
      </x:c>
      <x:c r="L237" s="25" t="n">
        <x:v>9.221938999926351</x:v>
      </x:c>
      <x:c r="M237" s="25" t="n">
        <x:v>26.731740099967283</x:v>
      </x:c>
      <x:c r="N237" s="25" t="n">
        <x:v>0.22795630005566636</x:v>
      </x:c>
      <x:c r="O237" s="25" t="n">
        <x:v>4.3480917001616035</x:v>
      </x:c>
      <x:c r="P237" s="25" t="n">
        <x:v>0.03005020000055083</x:v>
      </x:c>
      <x:c r="Q237" s="25" t="n">
        <x:v>0.6977449239992634</x:v>
      </x:c>
      <x:c r="R237" s="25" t="n">
        <x:v>3.7926298799990037</x:v>
      </x:c>
      <x:c r="S237" s="25" t="n">
        <x:v>3.8400846959989576</x:v>
      </x:c>
      <x:c r="T237" s="25" t="n">
        <x:v>40.529727100110904</x:v>
      </x:c>
      <x:c r="U237" s="25" t="n">
        <x:v>40.529727100110904</x:v>
      </x:c>
      <x:c r="V237" s="25"/>
      <x:c r="W237" s="19" t="str">
        <x:v>FULL__RANDOM_11</x:v>
      </x:c>
      <x:c r="X237" s="26" t="n">
        <x:f>IF(AND(J267&gt;0,E237=E267),1-J237/J267,"")</x:f>
        <x:v>0.734860248447205</x:v>
      </x:c>
      <x:c r="Y237" s="26" t="n">
        <x:f>IF(AND(K267&gt;0,E237=E267),1-K237/K267,"")</x:f>
        <x:v>0.1994891410651195</x:v>
      </x:c>
      <x:c r="Z237" s="26" t="n">
        <x:f>IF(AND(ISNUMBER(P267),P267&gt;0,E237=E267),1-P237/P267,"")</x:f>
        <x:v>0.09254088671222827</x:v>
      </x:c>
      <x:c r="AA237" s="26" t="n">
        <x:f>IF(AND(ISNUMBER(R237),ISNUMBER(R267),R267&gt;0,E237=E267),1-R237/R267,"")</x:f>
        <x:v>0.0982554440315423</x:v>
      </x:c>
      <x:c r="AB237" s="26"/>
      <x:c r="AC237" s="19" t="str">
        <x:v>D:/Codex/GRL研究/outputs/grid89_review/per_date.csv</x:v>
      </x:c>
    </x:row>
    <x:row r="238" ht="36" customHeight="1">
      <x:c r="A238" s="19" t="str">
        <x:v>GRID89 换序</x:v>
      </x:c>
      <x:c r="B238" s="19" t="str">
        <x:v>2036-07-07_9</x:v>
      </x:c>
      <x:c r="C238" s="19" t="str">
        <x:v>FRAME_GUARD__RANDOM_11</x:v>
      </x:c>
      <x:c r="D238" s="21" t="n">
        <x:v>1</x:v>
      </x:c>
      <x:c r="E238" s="21" t="n">
        <x:v>2017</x:v>
      </x:c>
      <x:c r="F238" s="21" t="n">
        <x:v>1</x:v>
      </x:c>
      <x:c r="G238" s="21" t="n">
        <x:v>1</x:v>
      </x:c>
      <x:c r="H238" s="22" t="n">
        <x:v>1396124.1355133057</x:v>
      </x:c>
      <x:c r="I238" s="23" t="n">
        <x:v>-0.007485687117247175</x:v>
      </x:c>
      <x:c r="J238" s="24" t="n">
        <x:v>4231</x:v>
      </x:c>
      <x:c r="K238" s="25" t="n">
        <x:v>52.2635103999819</x:v>
      </x:c>
      <x:c r="L238" s="25" t="n">
        <x:v>19.60772750018441</x:v>
      </x:c>
      <x:c r="M238" s="25" t="n">
        <x:v>27.11477429999286</x:v>
      </x:c>
      <x:c r="N238" s="25" t="n">
        <x:v>1.2691564000633662</x:v>
      </x:c>
      <x:c r="O238" s="25" t="n">
        <x:v>4.271852199741261</x:v>
      </x:c>
      <x:c r="P238" s="25" t="n">
        <x:v>0.032447039999533446</x:v>
      </x:c>
      <x:c r="Q238" s="25" t="n">
        <x:v>0.7482966799993299</x:v>
      </x:c>
      <x:c r="R238" s="25" t="n">
        <x:v>3.4418317849989744</x:v>
      </x:c>
      <x:c r="S238" s="25" t="n">
        <x:v>4.04269219699916</x:v>
      </x:c>
      <x:c r="T238" s="25" t="n">
        <x:v>52.2635103999819</x:v>
      </x:c>
      <x:c r="U238" s="25" t="n">
        <x:v>52.2635103999819</x:v>
      </x:c>
      <x:c r="V238" s="25"/>
      <x:c r="W238" s="19" t="str">
        <x:v>FULL__RANDOM_11</x:v>
      </x:c>
      <x:c r="X238" s="26" t="n">
        <x:f>IF(AND(J268&gt;0,E238=E268),1-J238/J268,"")</x:f>
        <x:v>0.5310352471735758</x:v>
      </x:c>
      <x:c r="Y238" s="26" t="n">
        <x:f>IF(AND(K268&gt;0,E238=E268),1-K238/K268,"")</x:f>
        <x:v>0.19145957093332067</x:v>
      </x:c>
      <x:c r="Z238" s="26" t="n">
        <x:f>IF(AND(ISNUMBER(P268),P268&gt;0,E238=E268),1-P238/P268,"")</x:f>
        <x:v>-0.002552183803796959</x:v>
      </x:c>
      <x:c r="AA238" s="26" t="n">
        <x:f>IF(AND(ISNUMBER(R238),ISNUMBER(R268),R268&gt;0,E238=E268),1-R238/R268,"")</x:f>
        <x:v>0.30824844192003986</x:v>
      </x:c>
      <x:c r="AB238" s="26"/>
      <x:c r="AC238" s="19" t="str">
        <x:v>D:/Codex/GRL研究/outputs/grid89_review/per_date.csv</x:v>
      </x:c>
    </x:row>
    <x:row r="239" ht="36" customHeight="1">
      <x:c r="A239" s="19" t="str">
        <x:v>GRID89 换序</x:v>
      </x:c>
      <x:c r="B239" s="19" t="str">
        <x:v>2036-09-01_9</x:v>
      </x:c>
      <x:c r="C239" s="19" t="str">
        <x:v>FRAME_GUARD__RANDOM_11</x:v>
      </x:c>
      <x:c r="D239" s="21" t="n">
        <x:v>1</x:v>
      </x:c>
      <x:c r="E239" s="21" t="n">
        <x:v>2017</x:v>
      </x:c>
      <x:c r="F239" s="21" t="n">
        <x:v>1</x:v>
      </x:c>
      <x:c r="G239" s="21" t="n">
        <x:v>1</x:v>
      </x:c>
      <x:c r="H239" s="22" t="n">
        <x:v>1394553.4213867188</x:v>
      </x:c>
      <x:c r="I239" s="23" t="n">
        <x:v>0.0011438890928716638</x:v>
      </x:c>
      <x:c r="J239" s="24" t="n">
        <x:v>1530</x:v>
      </x:c>
      <x:c r="K239" s="25" t="n">
        <x:v>44.906445900003746</x:v>
      </x:c>
      <x:c r="L239" s="25" t="n">
        <x:v>11.87232429998403</x:v>
      </x:c>
      <x:c r="M239" s="25" t="n">
        <x:v>27.717795000011392</x:v>
      </x:c>
      <x:c r="N239" s="25" t="n">
        <x:v>0.5130358000569686</x:v>
      </x:c>
      <x:c r="O239" s="25" t="n">
        <x:v>4.803290799951355</x:v>
      </x:c>
      <x:c r="P239" s="25" t="n">
        <x:v>0.032423820001713455</x:v>
      </x:c>
      <x:c r="Q239" s="25" t="n">
        <x:v>0.7539811880000342</x:v>
      </x:c>
      <x:c r="R239" s="25" t="n">
        <x:v>1.6536477949986874</x:v>
      </x:c>
      <x:c r="S239" s="25" t="n">
        <x:v>1.6762280389985245</x:v>
      </x:c>
      <x:c r="T239" s="25" t="n">
        <x:v>44.906445900003746</x:v>
      </x:c>
      <x:c r="U239" s="25" t="n">
        <x:v>44.906445900003746</x:v>
      </x:c>
      <x:c r="V239" s="25"/>
      <x:c r="W239" s="19" t="str">
        <x:v>FULL__RANDOM_11</x:v>
      </x:c>
      <x:c r="X239" s="26" t="n">
        <x:f>IF(AND(J269&gt;0,E239=E269),1-J239/J269,"")</x:f>
        <x:v>0.5728643216080402</x:v>
      </x:c>
      <x:c r="Y239" s="26" t="n">
        <x:f>IF(AND(K269&gt;0,E239=E269),1-K239/K269,"")</x:f>
        <x:v>0.057536256759391224</x:v>
      </x:c>
      <x:c r="Z239" s="26" t="n">
        <x:f>IF(AND(ISNUMBER(P269),P269&gt;0,E239=E269),1-P239/P269,"")</x:f>
        <x:v>-0.07224818205527694</x:v>
      </x:c>
      <x:c r="AA239" s="26" t="n">
        <x:f>IF(AND(ISNUMBER(R239),ISNUMBER(R269),R269&gt;0,E239=E269),1-R239/R269,"")</x:f>
        <x:v>0.43467017971960076</x:v>
      </x:c>
      <x:c r="AB239" s="26"/>
      <x:c r="AC239" s="19" t="str">
        <x:v>D:/Codex/GRL研究/outputs/grid89_review/per_date.csv</x:v>
      </x:c>
    </x:row>
    <x:row r="240" ht="36" customHeight="1">
      <x:c r="A240" s="19" t="str">
        <x:v>GRID89 换序</x:v>
      </x:c>
      <x:c r="B240" s="19" t="str">
        <x:v>2036-11-03_9</x:v>
      </x:c>
      <x:c r="C240" s="19" t="str">
        <x:v>FRAME_GUARD__RANDOM_11</x:v>
      </x:c>
      <x:c r="D240" s="21" t="n">
        <x:v>1</x:v>
      </x:c>
      <x:c r="E240" s="21" t="n">
        <x:v>519</x:v>
      </x:c>
      <x:c r="F240" s="21" t="n">
        <x:v>1</x:v>
      </x:c>
      <x:c r="G240" s="21" t="n">
        <x:v>0</x:v>
      </x:c>
      <x:c r="H240" s="22" t="n">
        <x:v>361332.79052734375</x:v>
      </x:c>
      <x:c r="I240" s="23"/>
      <x:c r="J240" s="24" t="n">
        <x:v>0</x:v>
      </x:c>
      <x:c r="K240" s="25" t="n">
        <x:v>15.832828399958089</x:v>
      </x:c>
      <x:c r="L240" s="25" t="n">
        <x:v>2.0328394999924058</x:v>
      </x:c>
      <x:c r="M240" s="25" t="n">
        <x:v>12.829983800012997</x:v>
      </x:c>
      <x:c r="N240" s="25" t="n">
        <x:v>0</x:v>
      </x:c>
      <x:c r="O240" s="25" t="n">
        <x:v>0.9700050999526866</x:v>
      </x:c>
      <x:c r="P240" s="25" t="n">
        <x:v>0.02961035999906014</x:v>
      </x:c>
      <x:c r="Q240" s="25" t="n">
        <x:v>0.8867232479999856</x:v>
      </x:c>
      <x:c r="R240" s="25"/>
      <x:c r="S240" s="25"/>
      <x:c r="T240" s="25" t="n">
        <x:v>15.832828399958089</x:v>
      </x:c>
      <x:c r="U240" s="25" t="n">
        <x:v>15.832828399958089</x:v>
      </x:c>
      <x:c r="V240" s="25"/>
      <x:c r="W240" s="19" t="str">
        <x:v>FULL__RANDOM_11</x:v>
      </x:c>
      <x:c r="X240" s="26" t="str">
        <x:f>IF(AND(J270&gt;0,E240=E270),1-J240/J270,"")</x:f>
      </x:c>
      <x:c r="Y240" s="26" t="n">
        <x:f>IF(AND(K270&gt;0,E240=E270),1-K240/K270,"")</x:f>
        <x:v>0.0022793749132696828</x:v>
      </x:c>
      <x:c r="Z240" s="26" t="n">
        <x:f>IF(AND(ISNUMBER(P270),P270&gt;0,E240=E270),1-P240/P270,"")</x:f>
        <x:v>0.08710756274819809</x:v>
      </x:c>
      <x:c r="AA240" s="26" t="str">
        <x:f>IF(AND(ISNUMBER(R240),ISNUMBER(R270),R270&gt;0,E240=E270),1-R240/R270,"")</x:f>
      </x:c>
      <x:c r="AB240" s="26"/>
      <x:c r="AC240" s="19" t="str">
        <x:v>D:/Codex/GRL研究/outputs/grid89_review/per_date.csv</x:v>
      </x:c>
    </x:row>
    <x:row r="241" ht="36" customHeight="1">
      <x:c r="A241" s="19" t="str">
        <x:v>GRID89 换序</x:v>
      </x:c>
      <x:c r="B241" s="19" t="str">
        <x:v>2036-01-07_9</x:v>
      </x:c>
      <x:c r="C241" s="19" t="str">
        <x:v>FRAME_GUARD__RANDOM_23</x:v>
      </x:c>
      <x:c r="D241" s="21" t="n">
        <x:v>1</x:v>
      </x:c>
      <x:c r="E241" s="21" t="n">
        <x:v>2017</x:v>
      </x:c>
      <x:c r="F241" s="21" t="n">
        <x:v>1</x:v>
      </x:c>
      <x:c r="G241" s="21" t="n">
        <x:v>1</x:v>
      </x:c>
      <x:c r="H241" s="22" t="n">
        <x:v>2414335.8994140625</x:v>
      </x:c>
      <x:c r="I241" s="23" t="n">
        <x:v>0.0015419978182660277</x:v>
      </x:c>
      <x:c r="J241" s="24" t="n">
        <x:v>1930</x:v>
      </x:c>
      <x:c r="K241" s="25" t="n">
        <x:v>80.14124189999711</x:v>
      </x:c>
      <x:c r="L241" s="25" t="n">
        <x:v>16.03824559995337</x:v>
      </x:c>
      <x:c r="M241" s="25" t="n">
        <x:v>58.8369391999986</x:v>
      </x:c>
      <x:c r="N241" s="25" t="n">
        <x:v>0.6301870000570489</x:v>
      </x:c>
      <x:c r="O241" s="25" t="n">
        <x:v>4.635870099988097</x:v>
      </x:c>
      <x:c r="P241" s="25" t="n">
        <x:v>0.033803459999762704</x:v>
      </x:c>
      <x:c r="Q241" s="25" t="n">
        <x:v>0.9754570200001756</x:v>
      </x:c>
      <x:c r="R241" s="25" t="n">
        <x:v>1.8813873249991957</x:v>
      </x:c>
      <x:c r="S241" s="25" t="n">
        <x:v>1.9430593849994693</x:v>
      </x:c>
      <x:c r="T241" s="25" t="n">
        <x:v>80.14124189999711</x:v>
      </x:c>
      <x:c r="U241" s="25" t="n">
        <x:v>80.14124189999711</x:v>
      </x:c>
      <x:c r="V241" s="25"/>
      <x:c r="W241" s="19" t="str">
        <x:v>FULL__RANDOM_23</x:v>
      </x:c>
      <x:c r="X241" s="26" t="n">
        <x:f>IF(AND(J271&gt;0,E241=E271),1-J241/J271,"")</x:f>
        <x:v>0.6455463728191001</x:v>
      </x:c>
      <x:c r="Y241" s="26" t="n">
        <x:f>IF(AND(K271&gt;0,E241=E271),1-K241/K271,"")</x:f>
        <x:v>0.10901424558120021</x:v>
      </x:c>
      <x:c r="Z241" s="26" t="n">
        <x:f>IF(AND(ISNUMBER(P271),P271&gt;0,E241=E271),1-P241/P271,"")</x:f>
        <x:v>-0.0033344097503893444</x:v>
      </x:c>
      <x:c r="AA241" s="26" t="n">
        <x:f>IF(AND(ISNUMBER(R241),ISNUMBER(R271),R271&gt;0,E241=E271),1-R241/R271,"")</x:f>
        <x:v>0.590472588815645</x:v>
      </x:c>
      <x:c r="AB241" s="26"/>
      <x:c r="AC241" s="19" t="str">
        <x:v>D:/Codex/GRL研究/outputs/grid89_review/per_date.csv</x:v>
      </x:c>
    </x:row>
    <x:row r="242" ht="36" customHeight="1">
      <x:c r="A242" s="19" t="str">
        <x:v>GRID89 换序</x:v>
      </x:c>
      <x:c r="B242" s="19" t="str">
        <x:v>2036-03-03_9</x:v>
      </x:c>
      <x:c r="C242" s="19" t="str">
        <x:v>FRAME_GUARD__RANDOM_23</x:v>
      </x:c>
      <x:c r="D242" s="21" t="n">
        <x:v>1</x:v>
      </x:c>
      <x:c r="E242" s="21" t="n">
        <x:v>1720</x:v>
      </x:c>
      <x:c r="F242" s="21" t="n">
        <x:v>1</x:v>
      </x:c>
      <x:c r="G242" s="21" t="n">
        <x:v>0</x:v>
      </x:c>
      <x:c r="H242" s="22" t="n">
        <x:v>2300386.2553100586</x:v>
      </x:c>
      <x:c r="I242" s="23"/>
      <x:c r="J242" s="24" t="n">
        <x:v>5174</x:v>
      </x:c>
      <x:c r="K242" s="25" t="n">
        <x:v>73.85875369996938</x:v>
      </x:c>
      <x:c r="L242" s="25" t="n">
        <x:v>25.47203110002374</x:v>
      </x:c>
      <x:c r="M242" s="25" t="n">
        <x:v>42.28665750001164</x:v>
      </x:c>
      <x:c r="N242" s="25" t="n">
        <x:v>1.405898099870683</x:v>
      </x:c>
      <x:c r="O242" s="25" t="n">
        <x:v>4.694167000063317</x:v>
      </x:c>
      <x:c r="P242" s="25" t="n">
        <x:v>0.03760177999902225</x:v>
      </x:c>
      <x:c r="Q242" s="25" t="n">
        <x:v>1.0251288769992555</x:v>
      </x:c>
      <x:c r="R242" s="25" t="n">
        <x:v>3.928440209998551</x:v>
      </x:c>
      <x:c r="S242" s="25" t="n">
        <x:v>4.406624681999565</x:v>
      </x:c>
      <x:c r="T242" s="25" t="n">
        <x:v>73.85875369996938</x:v>
      </x:c>
      <x:c r="U242" s="25" t="n">
        <x:v>73.85875369996938</x:v>
      </x:c>
      <x:c r="V242" s="25"/>
      <x:c r="W242" s="19" t="str">
        <x:v>FULL__RANDOM_23</x:v>
      </x:c>
      <x:c r="X242" s="26" t="n">
        <x:f>IF(AND(J272&gt;0,E242=E272),1-J242/J272,"")</x:f>
        <x:v>0.3669399241404625</x:v>
      </x:c>
      <x:c r="Y242" s="26" t="n">
        <x:f>IF(AND(K272&gt;0,E242=E272),1-K242/K272,"")</x:f>
        <x:v>0.10687857536404377</x:v>
      </x:c>
      <x:c r="Z242" s="26" t="n">
        <x:f>IF(AND(ISNUMBER(P272),P272&gt;0,E242=E272),1-P242/P272,"")</x:f>
        <x:v>0.041351487650735375</x:v>
      </x:c>
      <x:c r="AA242" s="26" t="n">
        <x:f>IF(AND(ISNUMBER(R242),ISNUMBER(R272),R272&gt;0,E242=E272),1-R242/R272,"")</x:f>
        <x:v>0.18076835784248546</x:v>
      </x:c>
      <x:c r="AB242" s="26"/>
      <x:c r="AC242" s="19" t="str">
        <x:v>D:/Codex/GRL研究/outputs/grid89_review/per_date.csv</x:v>
      </x:c>
    </x:row>
    <x:row r="243" ht="36" customHeight="1">
      <x:c r="A243" s="19" t="str">
        <x:v>GRID89 换序</x:v>
      </x:c>
      <x:c r="B243" s="19" t="str">
        <x:v>2036-05-05_9</x:v>
      </x:c>
      <x:c r="C243" s="19" t="str">
        <x:v>FRAME_GUARD__RANDOM_23</x:v>
      </x:c>
      <x:c r="D243" s="21" t="n">
        <x:v>1</x:v>
      </x:c>
      <x:c r="E243" s="21" t="n">
        <x:v>2017</x:v>
      </x:c>
      <x:c r="F243" s="21" t="n">
        <x:v>1</x:v>
      </x:c>
      <x:c r="G243" s="21" t="n">
        <x:v>1</x:v>
      </x:c>
      <x:c r="H243" s="22" t="n">
        <x:v>1779479.3731079102</x:v>
      </x:c>
      <x:c r="I243" s="23" t="n">
        <x:v>0</x:v>
      </x:c>
      <x:c r="J243" s="24" t="n">
        <x:v>1082</x:v>
      </x:c>
      <x:c r="K243" s="25" t="n">
        <x:v>46.49774359996809</x:v>
      </x:c>
      <x:c r="L243" s="25" t="n">
        <x:v>9.276684799900977</x:v>
      </x:c>
      <x:c r="M243" s="25" t="n">
        <x:v>32.433299000047555</x:v>
      </x:c>
      <x:c r="N243" s="25" t="n">
        <x:v>0.3454655999739771</x:v>
      </x:c>
      <x:c r="O243" s="25" t="n">
        <x:v>4.4422942000455805</x:v>
      </x:c>
      <x:c r="P243" s="25" t="n">
        <x:v>0.03298247999773593</x:v>
      </x:c>
      <x:c r="Q243" s="25" t="n">
        <x:v>0.7310848399998209</x:v>
      </x:c>
      <x:c r="R243" s="25" t="n">
        <x:v>2.6088569499988807</x:v>
      </x:c>
      <x:c r="S243" s="25" t="n">
        <x:v>2.6642625899985433</x:v>
      </x:c>
      <x:c r="T243" s="25" t="n">
        <x:v>46.49774359996809</x:v>
      </x:c>
      <x:c r="U243" s="25" t="n">
        <x:v>46.49774359996809</x:v>
      </x:c>
      <x:c r="V243" s="25"/>
      <x:c r="W243" s="19" t="str">
        <x:v>FULL__RANDOM_23</x:v>
      </x:c>
      <x:c r="X243" s="26" t="n">
        <x:f>IF(AND(J273&gt;0,E243=E273),1-J243/J273,"")</x:f>
        <x:v>0.5799689440993789</x:v>
      </x:c>
      <x:c r="Y243" s="26" t="n">
        <x:f>IF(AND(K273&gt;0,E243=E273),1-K243/K273,"")</x:f>
        <x:v>0.08392412816844252</x:v>
      </x:c>
      <x:c r="Z243" s="26" t="n">
        <x:f>IF(AND(ISNUMBER(P273),P273&gt;0,E243=E273),1-P243/P273,"")</x:f>
        <x:v>0.010709212468575813</x:v>
      </x:c>
      <x:c r="AA243" s="26" t="n">
        <x:f>IF(AND(ISNUMBER(R243),ISNUMBER(R273),R273&gt;0,E243=E273),1-R243/R273,"")</x:f>
        <x:v>0.3952477852160309</x:v>
      </x:c>
      <x:c r="AB243" s="26"/>
      <x:c r="AC243" s="19" t="str">
        <x:v>D:/Codex/GRL研究/outputs/grid89_review/per_date.csv</x:v>
      </x:c>
    </x:row>
    <x:row r="244" ht="36" customHeight="1">
      <x:c r="A244" s="19" t="str">
        <x:v>GRID89 换序</x:v>
      </x:c>
      <x:c r="B244" s="19" t="str">
        <x:v>2036-07-07_9</x:v>
      </x:c>
      <x:c r="C244" s="19" t="str">
        <x:v>FRAME_GUARD__RANDOM_23</x:v>
      </x:c>
      <x:c r="D244" s="21" t="n">
        <x:v>1</x:v>
      </x:c>
      <x:c r="E244" s="21" t="n">
        <x:v>2017</x:v>
      </x:c>
      <x:c r="F244" s="21" t="n">
        <x:v>0</x:v>
      </x:c>
      <x:c r="G244" s="21" t="n">
        <x:v>1</x:v>
      </x:c>
      <x:c r="H244" s="22" t="n">
        <x:v>1423306.6496429443</x:v>
      </x:c>
      <x:c r="I244" s="23" t="n">
        <x:v>0.0118385503538605</x:v>
      </x:c>
      <x:c r="J244" s="24" t="n">
        <x:v>3951</x:v>
      </x:c>
      <x:c r="K244" s="25" t="n">
        <x:v>57.437878199958504</x:v>
      </x:c>
      <x:c r="L244" s="25" t="n">
        <x:v>19.112975999894843</x:v>
      </x:c>
      <x:c r="M244" s="25" t="n">
        <x:v>32.938270000042394</x:v>
      </x:c>
      <x:c r="N244" s="25" t="n">
        <x:v>1.2445790001256682</x:v>
      </x:c>
      <x:c r="O244" s="25" t="n">
        <x:v>4.142053199895599</x:v>
      </x:c>
      <x:c r="P244" s="25" t="n">
        <x:v>0.031632359999639446</x:v>
      </x:c>
      <x:c r="Q244" s="25" t="n">
        <x:v>0.7333483200000773</x:v>
      </x:c>
      <x:c r="R244" s="25" t="n">
        <x:v>4.365586035000524</x:v>
      </x:c>
      <x:c r="S244" s="25" t="n">
        <x:v>4.448925207000066</x:v>
      </x:c>
      <x:c r="T244" s="25" t="n">
        <x:v>57.437878199958504</x:v>
      </x:c>
      <x:c r="U244" s="25" t="n">
        <x:v>57.437878199958504</x:v>
      </x:c>
      <x:c r="V244" s="25"/>
      <x:c r="W244" s="19" t="str">
        <x:v>FULL__RANDOM_23</x:v>
      </x:c>
      <x:c r="X244" s="26" t="n">
        <x:f>IF(AND(J274&gt;0,E244=E274),1-J244/J274,"")</x:f>
        <x:v>0.5620704943471514</x:v>
      </x:c>
      <x:c r="Y244" s="26" t="n">
        <x:f>IF(AND(K274&gt;0,E244=E274),1-K244/K274,"")</x:f>
        <x:v>0.11369927512638356</x:v>
      </x:c>
      <x:c r="Z244" s="26" t="n">
        <x:f>IF(AND(ISNUMBER(P274),P274&gt;0,E244=E274),1-P244/P274,"")</x:f>
        <x:v>0.02933801064916841</x:v>
      </x:c>
      <x:c r="AA244" s="26" t="n">
        <x:f>IF(AND(ISNUMBER(R244),ISNUMBER(R274),R274&gt;0,E244=E274),1-R244/R274,"")</x:f>
        <x:v>0.11392799227383743</x:v>
      </x:c>
      <x:c r="AB244" s="26"/>
      <x:c r="AC244" s="19" t="str">
        <x:v>D:/Codex/GRL研究/outputs/grid89_review/per_date.csv</x:v>
      </x:c>
    </x:row>
    <x:row r="245" ht="36" customHeight="1">
      <x:c r="A245" s="19" t="str">
        <x:v>GRID89 换序</x:v>
      </x:c>
      <x:c r="B245" s="19" t="str">
        <x:v>2036-09-01_9</x:v>
      </x:c>
      <x:c r="C245" s="19" t="str">
        <x:v>FRAME_GUARD__RANDOM_23</x:v>
      </x:c>
      <x:c r="D245" s="21" t="n">
        <x:v>1</x:v>
      </x:c>
      <x:c r="E245" s="21" t="n">
        <x:v>2017</x:v>
      </x:c>
      <x:c r="F245" s="21" t="n">
        <x:v>1</x:v>
      </x:c>
      <x:c r="G245" s="21" t="n">
        <x:v>1</x:v>
      </x:c>
      <x:c r="H245" s="22" t="n">
        <x:v>1392627.770401001</x:v>
      </x:c>
      <x:c r="I245" s="23" t="n">
        <x:v>-0.00023852744801633463</x:v>
      </x:c>
      <x:c r="J245" s="24" t="n">
        <x:v>1726</x:v>
      </x:c>
      <x:c r="K245" s="25" t="n">
        <x:v>44.24328289998448</x:v>
      </x:c>
      <x:c r="L245" s="25" t="n">
        <x:v>12.351994000189734</x:v>
      </x:c>
      <x:c r="M245" s="25" t="n">
        <x:v>26.805460500017944</x:v>
      </x:c>
      <x:c r="N245" s="25" t="n">
        <x:v>0.4566424000331608</x:v>
      </x:c>
      <x:c r="O245" s="25" t="n">
        <x:v>4.62918599974364</x:v>
      </x:c>
      <x:c r="P245" s="25" t="n">
        <x:v>0.03092934000087552</x:v>
      </x:c>
      <x:c r="Q245" s="25" t="n">
        <x:v>0.7367379560004333</x:v>
      </x:c>
      <x:c r="R245" s="25" t="n">
        <x:v>2.4105551100008595</x:v>
      </x:c>
      <x:c r="S245" s="25" t="n">
        <x:v>2.5397558220008793</x:v>
      </x:c>
      <x:c r="T245" s="25" t="n">
        <x:v>44.24328289998448</x:v>
      </x:c>
      <x:c r="U245" s="25" t="n">
        <x:v>44.24328289998448</x:v>
      </x:c>
      <x:c r="V245" s="25"/>
      <x:c r="W245" s="19" t="str">
        <x:v>FULL__RANDOM_23</x:v>
      </x:c>
      <x:c r="X245" s="26" t="n">
        <x:f>IF(AND(J275&gt;0,E245=E275),1-J245/J275,"")</x:f>
        <x:v>0.518146286990508</x:v>
      </x:c>
      <x:c r="Y245" s="26" t="n">
        <x:f>IF(AND(K275&gt;0,E245=E275),1-K245/K275,"")</x:f>
        <x:v>0.07203896675464949</x:v>
      </x:c>
      <x:c r="Z245" s="26" t="n">
        <x:f>IF(AND(ISNUMBER(P275),P275&gt;0,E245=E275),1-P245/P275,"")</x:f>
        <x:v>-0.014394010550881076</x:v>
      </x:c>
      <x:c r="AA245" s="26" t="n">
        <x:f>IF(AND(ISNUMBER(R245),ISNUMBER(R275),R275&gt;0,E245=E275),1-R245/R275,"")</x:f>
        <x:v>0.16333913951011603</x:v>
      </x:c>
      <x:c r="AB245" s="26"/>
      <x:c r="AC245" s="19" t="str">
        <x:v>D:/Codex/GRL研究/outputs/grid89_review/per_date.csv</x:v>
      </x:c>
    </x:row>
    <x:row r="246" ht="36" customHeight="1">
      <x:c r="A246" s="19" t="str">
        <x:v>GRID89 换序</x:v>
      </x:c>
      <x:c r="B246" s="19" t="str">
        <x:v>2036-11-03_9</x:v>
      </x:c>
      <x:c r="C246" s="19" t="str">
        <x:v>FRAME_GUARD__RANDOM_23</x:v>
      </x:c>
      <x:c r="D246" s="21" t="n">
        <x:v>1</x:v>
      </x:c>
      <x:c r="E246" s="21" t="n">
        <x:v>519</x:v>
      </x:c>
      <x:c r="F246" s="21" t="n">
        <x:v>1</x:v>
      </x:c>
      <x:c r="G246" s="21" t="n">
        <x:v>0</x:v>
      </x:c>
      <x:c r="H246" s="22" t="n">
        <x:v>361332.79052734375</x:v>
      </x:c>
      <x:c r="I246" s="23"/>
      <x:c r="J246" s="24" t="n">
        <x:v>0</x:v>
      </x:c>
      <x:c r="K246" s="25" t="n">
        <x:v>15.792983500021364</x:v>
      </x:c>
      <x:c r="L246" s="25" t="n">
        <x:v>2.02760570002647</x:v>
      </x:c>
      <x:c r="M246" s="25" t="n">
        <x:v>12.788597200004006</x:v>
      </x:c>
      <x:c r="N246" s="25" t="n">
        <x:v>0</x:v>
      </x:c>
      <x:c r="O246" s="25" t="n">
        <x:v>0.9767805999908887</x:v>
      </x:c>
      <x:c r="P246" s="25" t="n">
        <x:v>0.029878159999498107</x:v>
      </x:c>
      <x:c r="Q246" s="25" t="n">
        <x:v>0.8904470399997162</x:v>
      </x:c>
      <x:c r="R246" s="25"/>
      <x:c r="S246" s="25"/>
      <x:c r="T246" s="25" t="n">
        <x:v>15.792983500021364</x:v>
      </x:c>
      <x:c r="U246" s="25" t="n">
        <x:v>15.792983500021364</x:v>
      </x:c>
      <x:c r="V246" s="25"/>
      <x:c r="W246" s="19" t="str">
        <x:v>FULL__RANDOM_23</x:v>
      </x:c>
      <x:c r="X246" s="26" t="str">
        <x:f>IF(AND(J276&gt;0,E246=E276),1-J246/J276,"")</x:f>
      </x:c>
      <x:c r="Y246" s="26" t="n">
        <x:f>IF(AND(K276&gt;0,E246=E276),1-K246/K276,"")</x:f>
        <x:v>-0.004940861529830087</x:v>
      </x:c>
      <x:c r="Z246" s="26" t="n">
        <x:f>IF(AND(ISNUMBER(P276),P276&gt;0,E246=E276),1-P246/P276,"")</x:f>
        <x:v>-0.027274652643897612</x:v>
      </x:c>
      <x:c r="AA246" s="26" t="str">
        <x:f>IF(AND(ISNUMBER(R246),ISNUMBER(R276),R276&gt;0,E246=E276),1-R246/R276,"")</x:f>
      </x:c>
      <x:c r="AB246" s="26"/>
      <x:c r="AC246" s="19" t="str">
        <x:v>D:/Codex/GRL研究/outputs/grid89_review/per_date.csv</x:v>
      </x:c>
    </x:row>
    <x:row r="247" ht="36" customHeight="1">
      <x:c r="A247" s="19" t="str">
        <x:v>GRID89 换序</x:v>
      </x:c>
      <x:c r="B247" s="19" t="str">
        <x:v>2036-01-07_9</x:v>
      </x:c>
      <x:c r="C247" s="19" t="str">
        <x:v>FRAME_GUARD__RANDOM_37</x:v>
      </x:c>
      <x:c r="D247" s="21" t="n">
        <x:v>1</x:v>
      </x:c>
      <x:c r="E247" s="21" t="n">
        <x:v>2017</x:v>
      </x:c>
      <x:c r="F247" s="21" t="n">
        <x:v>1</x:v>
      </x:c>
      <x:c r="G247" s="21" t="n">
        <x:v>1</x:v>
      </x:c>
      <x:c r="H247" s="22" t="n">
        <x:v>2414933.123352051</x:v>
      </x:c>
      <x:c r="I247" s="23" t="n">
        <x:v>0.001789744975628338</x:v>
      </x:c>
      <x:c r="J247" s="24" t="n">
        <x:v>2044</x:v>
      </x:c>
      <x:c r="K247" s="25" t="n">
        <x:v>94.6104027999354</x:v>
      </x:c>
      <x:c r="L247" s="25" t="n">
        <x:v>17.68118499992852</x:v>
      </x:c>
      <x:c r="M247" s="25" t="n">
        <x:v>71.26466030001029</x:v>
      </x:c>
      <x:c r="N247" s="25" t="n">
        <x:v>0.7068123999670206</x:v>
      </x:c>
      <x:c r="O247" s="25" t="n">
        <x:v>4.95774510002957</x:v>
      </x:c>
      <x:c r="P247" s="25" t="n">
        <x:v>0.03822798000037435</x:v>
      </x:c>
      <x:c r="Q247" s="25" t="n">
        <x:v>1.2888493800003147</x:v>
      </x:c>
      <x:c r="R247" s="25" t="n">
        <x:v>2.9000326500017763</x:v>
      </x:c>
      <x:c r="S247" s="25" t="n">
        <x:v>3.0024761300022873</x:v>
      </x:c>
      <x:c r="T247" s="25" t="n">
        <x:v>94.6104027999354</x:v>
      </x:c>
      <x:c r="U247" s="25" t="n">
        <x:v>94.6104027999354</x:v>
      </x:c>
      <x:c r="V247" s="25"/>
      <x:c r="W247" s="19" t="str">
        <x:v>FULL__RANDOM_37</x:v>
      </x:c>
      <x:c r="X247" s="26" t="n">
        <x:f>IF(AND(J277&gt;0,E247=E277),1-J247/J277,"")</x:f>
        <x:v>0.6246097337006428</x:v>
      </x:c>
      <x:c r="Y247" s="26" t="n">
        <x:f>IF(AND(K277&gt;0,E247=E277),1-K247/K277,"")</x:f>
        <x:v>-0.027481745340577568</x:v>
      </x:c>
      <x:c r="Z247" s="26" t="n">
        <x:f>IF(AND(ISNUMBER(P277),P277&gt;0,E247=E277),1-P247/P277,"")</x:f>
        <x:v>-0.09977497004802904</x:v>
      </x:c>
      <x:c r="AA247" s="26" t="n">
        <x:f>IF(AND(ISNUMBER(R247),ISNUMBER(R277),R277&gt;0,E247=E277),1-R247/R277,"")</x:f>
        <x:v>0.38051890164521973</x:v>
      </x:c>
      <x:c r="AB247" s="26"/>
      <x:c r="AC247" s="19" t="str">
        <x:v>D:/Codex/GRL研究/outputs/grid89_review/per_date.csv</x:v>
      </x:c>
    </x:row>
    <x:row r="248" ht="36" customHeight="1">
      <x:c r="A248" s="19" t="str">
        <x:v>GRID89 换序</x:v>
      </x:c>
      <x:c r="B248" s="19" t="str">
        <x:v>2036-03-03_9</x:v>
      </x:c>
      <x:c r="C248" s="19" t="str">
        <x:v>FRAME_GUARD__RANDOM_37</x:v>
      </x:c>
      <x:c r="D248" s="21" t="n">
        <x:v>1</x:v>
      </x:c>
      <x:c r="E248" s="21" t="n">
        <x:v>1720</x:v>
      </x:c>
      <x:c r="F248" s="21" t="n">
        <x:v>1</x:v>
      </x:c>
      <x:c r="G248" s="21" t="n">
        <x:v>0</x:v>
      </x:c>
      <x:c r="H248" s="22" t="n">
        <x:v>2261907.3327026367</x:v>
      </x:c>
      <x:c r="I248" s="23"/>
      <x:c r="J248" s="24" t="n">
        <x:v>4321</x:v>
      </x:c>
      <x:c r="K248" s="25" t="n">
        <x:v>77.48470779997297</x:v>
      </x:c>
      <x:c r="L248" s="25" t="n">
        <x:v>22.066581099985342</x:v>
      </x:c>
      <x:c r="M248" s="25" t="n">
        <x:v>50.00562099998933</x:v>
      </x:c>
      <x:c r="N248" s="25" t="n">
        <x:v>0.9276148999888392</x:v>
      </x:c>
      <x:c r="O248" s="25" t="n">
        <x:v>4.4848908000094525</x:v>
      </x:c>
      <x:c r="P248" s="25" t="n">
        <x:v>0.035177874997316394</x:v>
      </x:c>
      <x:c r="Q248" s="25" t="n">
        <x:v>0.9528901099995334</x:v>
      </x:c>
      <x:c r="R248" s="25" t="n">
        <x:v>3.829634560000704</x:v>
      </x:c>
      <x:c r="S248" s="25" t="n">
        <x:v>3.959104832000885</x:v>
      </x:c>
      <x:c r="T248" s="25" t="n">
        <x:v>77.48470779997297</x:v>
      </x:c>
      <x:c r="U248" s="25" t="n">
        <x:v>77.48470779997297</x:v>
      </x:c>
      <x:c r="V248" s="25"/>
      <x:c r="W248" s="19" t="str">
        <x:v>FULL__RANDOM_37</x:v>
      </x:c>
      <x:c r="X248" s="26" t="n">
        <x:f>IF(AND(J278&gt;0,E248=E278),1-J248/J278,"")</x:f>
        <x:v>0.4713079652514377</x:v>
      </x:c>
      <x:c r="Y248" s="26" t="n">
        <x:f>IF(AND(K278&gt;0,E248=E278),1-K248/K278,"")</x:f>
        <x:v>0.06745975029894902</x:v>
      </x:c>
      <x:c r="Z248" s="26" t="n">
        <x:f>IF(AND(ISNUMBER(P278),P278&gt;0,E248=E278),1-P248/P278,"")</x:f>
        <x:v>0.07147378270269844</x:v>
      </x:c>
      <x:c r="AA248" s="26" t="n">
        <x:f>IF(AND(ISNUMBER(R248),ISNUMBER(R278),R278&gt;0,E248=E278),1-R248/R278,"")</x:f>
        <x:v>0.19123010327659318</x:v>
      </x:c>
      <x:c r="AB248" s="26"/>
      <x:c r="AC248" s="19" t="str">
        <x:v>D:/Codex/GRL研究/outputs/grid89_review/per_date.csv</x:v>
      </x:c>
    </x:row>
    <x:row r="249" ht="36" customHeight="1">
      <x:c r="A249" s="19" t="str">
        <x:v>GRID89 换序</x:v>
      </x:c>
      <x:c r="B249" s="19" t="str">
        <x:v>2036-05-05_9</x:v>
      </x:c>
      <x:c r="C249" s="19" t="str">
        <x:v>FRAME_GUARD__RANDOM_37</x:v>
      </x:c>
      <x:c r="D249" s="21" t="n">
        <x:v>1</x:v>
      </x:c>
      <x:c r="E249" s="21" t="n">
        <x:v>2017</x:v>
      </x:c>
      <x:c r="F249" s="21" t="n">
        <x:v>1</x:v>
      </x:c>
      <x:c r="G249" s="21" t="n">
        <x:v>1</x:v>
      </x:c>
      <x:c r="H249" s="22" t="n">
        <x:v>1729939.1753845215</x:v>
      </x:c>
      <x:c r="I249" s="23" t="n">
        <x:v>-0.0278397145097925</x:v>
      </x:c>
      <x:c r="J249" s="24" t="n">
        <x:v>977</x:v>
      </x:c>
      <x:c r="K249" s="25" t="n">
        <x:v>40.32392839992826</x:v>
      </x:c>
      <x:c r="L249" s="25" t="n">
        <x:v>9.977605300042342</x:v>
      </x:c>
      <x:c r="M249" s="25" t="n">
        <x:v>25.800185899974167</x:v>
      </x:c>
      <x:c r="N249" s="25" t="n">
        <x:v>0.22556740002619335</x:v>
      </x:c>
      <x:c r="O249" s="25" t="n">
        <x:v>4.320569799885561</x:v>
      </x:c>
      <x:c r="P249" s="25" t="n">
        <x:v>0.029525960000319172</x:v>
      </x:c>
      <x:c r="Q249" s="25" t="n">
        <x:v>0.6565118199998398</x:v>
      </x:c>
      <x:c r="R249" s="25" t="n">
        <x:v>4.252698084999247</x:v>
      </x:c>
      <x:c r="S249" s="25" t="n">
        <x:v>4.3070544169992715</x:v>
      </x:c>
      <x:c r="T249" s="25" t="n">
        <x:v>40.32392839992826</x:v>
      </x:c>
      <x:c r="U249" s="25" t="n">
        <x:v>40.32392839992826</x:v>
      </x:c>
      <x:c r="V249" s="25"/>
      <x:c r="W249" s="19" t="str">
        <x:v>FULL__RANDOM_37</x:v>
      </x:c>
      <x:c r="X249" s="26" t="n">
        <x:f>IF(AND(J279&gt;0,E249=E279),1-J249/J279,"")</x:f>
        <x:v>0.6207298136645962</x:v>
      </x:c>
      <x:c r="Y249" s="26" t="n">
        <x:f>IF(AND(K279&gt;0,E249=E279),1-K249/K279,"")</x:f>
        <x:v>0.20218228264714178</x:v>
      </x:c>
      <x:c r="Z249" s="26" t="n">
        <x:f>IF(AND(ISNUMBER(P279),P279&gt;0,E249=E279),1-P249/P279,"")</x:f>
        <x:v>0.10690532561846977</x:v>
      </x:c>
      <x:c r="AA249" s="26" t="n">
        <x:f>IF(AND(ISNUMBER(R249),ISNUMBER(R279),R279&gt;0,E249=E279),1-R249/R279,"")</x:f>
        <x:v>0.0028174166519362442</x:v>
      </x:c>
      <x:c r="AB249" s="26"/>
      <x:c r="AC249" s="19" t="str">
        <x:v>D:/Codex/GRL研究/outputs/grid89_review/per_date.csv</x:v>
      </x:c>
    </x:row>
    <x:row r="250" ht="36" customHeight="1">
      <x:c r="A250" s="19" t="str">
        <x:v>GRID89 换序</x:v>
      </x:c>
      <x:c r="B250" s="19" t="str">
        <x:v>2036-07-07_9</x:v>
      </x:c>
      <x:c r="C250" s="19" t="str">
        <x:v>FRAME_GUARD__RANDOM_37</x:v>
      </x:c>
      <x:c r="D250" s="21" t="n">
        <x:v>1</x:v>
      </x:c>
      <x:c r="E250" s="21" t="n">
        <x:v>2017</x:v>
      </x:c>
      <x:c r="F250" s="21" t="n">
        <x:v>1</x:v>
      </x:c>
      <x:c r="G250" s="21" t="n">
        <x:v>1</x:v>
      </x:c>
      <x:c r="H250" s="22" t="n">
        <x:v>1390214.114364624</x:v>
      </x:c>
      <x:c r="I250" s="23" t="n">
        <x:v>-0.01168716206513909</x:v>
      </x:c>
      <x:c r="J250" s="24" t="n">
        <x:v>4045</x:v>
      </x:c>
      <x:c r="K250" s="25" t="n">
        <x:v>51.00464660005673</x:v>
      </x:c>
      <x:c r="L250" s="25" t="n">
        <x:v>19.03512190002948</x:v>
      </x:c>
      <x:c r="M250" s="25" t="n">
        <x:v>26.659724799996184</x:v>
      </x:c>
      <x:c r="N250" s="25" t="n">
        <x:v>1.109872099939821</x:v>
      </x:c>
      <x:c r="O250" s="25" t="n">
        <x:v>4.1999278000912454</x:v>
      </x:c>
      <x:c r="P250" s="25" t="n">
        <x:v>0.032733260001259624</x:v>
      </x:c>
      <x:c r="Q250" s="25" t="n">
        <x:v>0.7411257759993893</x:v>
      </x:c>
      <x:c r="R250" s="25" t="n">
        <x:v>3.9378150650010864</x:v>
      </x:c>
      <x:c r="S250" s="25" t="n">
        <x:v>4.009265093001923</x:v>
      </x:c>
      <x:c r="T250" s="25" t="n">
        <x:v>51.00464660005673</x:v>
      </x:c>
      <x:c r="U250" s="25" t="n">
        <x:v>51.00464660005673</x:v>
      </x:c>
      <x:c r="V250" s="25"/>
      <x:c r="W250" s="19" t="str">
        <x:v>FULL__RANDOM_37</x:v>
      </x:c>
      <x:c r="X250" s="26" t="n">
        <x:f>IF(AND(J280&gt;0,E250=E280),1-J250/J280,"")</x:f>
        <x:v>0.5516515185103081</x:v>
      </x:c>
      <x:c r="Y250" s="26" t="n">
        <x:f>IF(AND(K280&gt;0,E250=E280),1-K250/K280,"")</x:f>
        <x:v>0.20883820756507343</x:v>
      </x:c>
      <x:c r="Z250" s="26" t="n">
        <x:f>IF(AND(ISNUMBER(P280),P280&gt;0,E250=E280),1-P250/P280,"")</x:f>
        <x:v>-0.006933088260784093</x:v>
      </x:c>
      <x:c r="AA250" s="26" t="n">
        <x:f>IF(AND(ISNUMBER(R250),ISNUMBER(R280),R280&gt;0,E250=E280),1-R250/R280,"")</x:f>
        <x:v>0.19788046416838712</x:v>
      </x:c>
      <x:c r="AB250" s="26"/>
      <x:c r="AC250" s="19" t="str">
        <x:v>D:/Codex/GRL研究/outputs/grid89_review/per_date.csv</x:v>
      </x:c>
    </x:row>
    <x:row r="251" ht="36" customHeight="1">
      <x:c r="A251" s="19" t="str">
        <x:v>GRID89 换序</x:v>
      </x:c>
      <x:c r="B251" s="19" t="str">
        <x:v>2036-09-01_9</x:v>
      </x:c>
      <x:c r="C251" s="19" t="str">
        <x:v>FRAME_GUARD__RANDOM_37</x:v>
      </x:c>
      <x:c r="D251" s="21" t="n">
        <x:v>1</x:v>
      </x:c>
      <x:c r="E251" s="21" t="n">
        <x:v>2017</x:v>
      </x:c>
      <x:c r="F251" s="21" t="n">
        <x:v>0</x:v>
      </x:c>
      <x:c r="G251" s="21" t="n">
        <x:v>1</x:v>
      </x:c>
      <x:c r="H251" s="22" t="n">
        <x:v>1406592.3524627686</x:v>
      </x:c>
      <x:c r="I251" s="23" t="n">
        <x:v>0.00978658581080194</x:v>
      </x:c>
      <x:c r="J251" s="24" t="n">
        <x:v>1179</x:v>
      </x:c>
      <x:c r="K251" s="25" t="n">
        <x:v>41.59755309999673</x:v>
      </x:c>
      <x:c r="L251" s="25" t="n">
        <x:v>10.581054299898824</x:v>
      </x:c>
      <x:c r="M251" s="25" t="n">
        <x:v>26.04039439995904</x:v>
      </x:c>
      <x:c r="N251" s="25" t="n">
        <x:v>0.43851329998869915</x:v>
      </x:c>
      <x:c r="O251" s="25" t="n">
        <x:v>4.537591100150166</x:v>
      </x:c>
      <x:c r="P251" s="25" t="n">
        <x:v>0.030740680002054425</x:v>
      </x:c>
      <x:c r="Q251" s="25" t="n">
        <x:v>0.7283218359998136</x:v>
      </x:c>
      <x:c r="R251" s="25" t="n">
        <x:v>1.4457955249983567</x:v>
      </x:c>
      <x:c r="S251" s="25" t="n">
        <x:v>1.511717344998433</x:v>
      </x:c>
      <x:c r="T251" s="25" t="n">
        <x:v>41.59755309999673</x:v>
      </x:c>
      <x:c r="U251" s="25" t="n">
        <x:v>41.59755309999673</x:v>
      </x:c>
      <x:c r="V251" s="25"/>
      <x:c r="W251" s="19" t="str">
        <x:v>FULL__RANDOM_37</x:v>
      </x:c>
      <x:c r="X251" s="26" t="n">
        <x:f>IF(AND(J281&gt;0,E251=E281),1-J251/J281,"")</x:f>
        <x:v>0.670854271356784</x:v>
      </x:c>
      <x:c r="Y251" s="26" t="n">
        <x:f>IF(AND(K281&gt;0,E251=E281),1-K251/K281,"")</x:f>
        <x:v>0.13398964083102083</x:v>
      </x:c>
      <x:c r="Z251" s="26" t="n">
        <x:f>IF(AND(ISNUMBER(P281),P281&gt;0,E251=E281),1-P251/P281,"")</x:f>
        <x:v>0.011435451360279791</x:v>
      </x:c>
      <x:c r="AA251" s="26" t="n">
        <x:f>IF(AND(ISNUMBER(R251),ISNUMBER(R281),R281&gt;0,E251=E281),1-R251/R281,"")</x:f>
        <x:v>0.5109503520697813</x:v>
      </x:c>
      <x:c r="AB251" s="26"/>
      <x:c r="AC251" s="19" t="str">
        <x:v>D:/Codex/GRL研究/outputs/grid89_review/per_date.csv</x:v>
      </x:c>
    </x:row>
    <x:row r="252" ht="36" customHeight="1">
      <x:c r="A252" s="19" t="str">
        <x:v>GRID89 换序</x:v>
      </x:c>
      <x:c r="B252" s="19" t="str">
        <x:v>2036-11-03_9</x:v>
      </x:c>
      <x:c r="C252" s="19" t="str">
        <x:v>FRAME_GUARD__RANDOM_37</x:v>
      </x:c>
      <x:c r="D252" s="21" t="n">
        <x:v>1</x:v>
      </x:c>
      <x:c r="E252" s="21" t="n">
        <x:v>519</x:v>
      </x:c>
      <x:c r="F252" s="21" t="n">
        <x:v>1</x:v>
      </x:c>
      <x:c r="G252" s="21" t="n">
        <x:v>0</x:v>
      </x:c>
      <x:c r="H252" s="22" t="n">
        <x:v>361332.79052734375</x:v>
      </x:c>
      <x:c r="I252" s="23"/>
      <x:c r="J252" s="24" t="n">
        <x:v>0</x:v>
      </x:c>
      <x:c r="K252" s="25" t="n">
        <x:v>15.796645700025692</x:v>
      </x:c>
      <x:c r="L252" s="25" t="n">
        <x:v>2.013484699986293</x:v>
      </x:c>
      <x:c r="M252" s="25" t="n">
        <x:v>12.820386599993071</x:v>
      </x:c>
      <x:c r="N252" s="25" t="n">
        <x:v>0</x:v>
      </x:c>
      <x:c r="O252" s="25" t="n">
        <x:v>0.9627744000463281</x:v>
      </x:c>
      <x:c r="P252" s="25" t="n">
        <x:v>0.03021940000180619</x:v>
      </x:c>
      <x:c r="Q252" s="25" t="n">
        <x:v>0.8753082259994754</x:v>
      </x:c>
      <x:c r="R252" s="25"/>
      <x:c r="S252" s="25"/>
      <x:c r="T252" s="25" t="n">
        <x:v>15.796645700025692</x:v>
      </x:c>
      <x:c r="U252" s="25" t="n">
        <x:v>15.796645700025692</x:v>
      </x:c>
      <x:c r="V252" s="25"/>
      <x:c r="W252" s="19" t="str">
        <x:v>FULL__RANDOM_37</x:v>
      </x:c>
      <x:c r="X252" s="26" t="str">
        <x:f>IF(AND(J282&gt;0,E252=E282),1-J252/J282,"")</x:f>
      </x:c>
      <x:c r="Y252" s="26" t="n">
        <x:f>IF(AND(K282&gt;0,E252=E282),1-K252/K282,"")</x:f>
        <x:v>0.006454754818910335</x:v>
      </x:c>
      <x:c r="Z252" s="26" t="n">
        <x:f>IF(AND(ISNUMBER(P282),P282&gt;0,E252=E282),1-P252/P282,"")</x:f>
        <x:v>-0.0008077494020215514</x:v>
      </x:c>
      <x:c r="AA252" s="26" t="str">
        <x:f>IF(AND(ISNUMBER(R252),ISNUMBER(R282),R282&gt;0,E252=E282),1-R252/R282,"")</x:f>
      </x:c>
      <x:c r="AB252" s="26"/>
      <x:c r="AC252" s="19" t="str">
        <x:v>D:/Codex/GRL研究/outputs/grid89_review/per_date.csv</x:v>
      </x:c>
    </x:row>
    <x:row r="253" ht="36" customHeight="1">
      <x:c r="A253" s="19" t="str">
        <x:v>GRID89 换序</x:v>
      </x:c>
      <x:c r="B253" s="19" t="str">
        <x:v>2036-01-07_9</x:v>
      </x:c>
      <x:c r="C253" s="19" t="str">
        <x:v>FRAME_GUARD__STATIC_ID</x:v>
      </x:c>
      <x:c r="D253" s="21" t="n">
        <x:v>1</x:v>
      </x:c>
      <x:c r="E253" s="21" t="n">
        <x:v>2017</x:v>
      </x:c>
      <x:c r="F253" s="21" t="n">
        <x:v>1</x:v>
      </x:c>
      <x:c r="G253" s="21" t="n">
        <x:v>1</x:v>
      </x:c>
      <x:c r="H253" s="22" t="n">
        <x:v>2412707.07421875</x:v>
      </x:c>
      <x:c r="I253" s="23" t="n">
        <x:v>0.0008663102138171119</x:v>
      </x:c>
      <x:c r="J253" s="24" t="n">
        <x:v>1432</x:v>
      </x:c>
      <x:c r="K253" s="25" t="n">
        <x:v>81.45166200000313</x:v>
      </x:c>
      <x:c r="L253" s="25" t="n">
        <x:v>14.718737799932569</x:v>
      </x:c>
      <x:c r="M253" s="25" t="n">
        <x:v>61.606074899969826</x:v>
      </x:c>
      <x:c r="N253" s="25" t="n">
        <x:v>0.5173366000635724</x:v>
      </x:c>
      <x:c r="O253" s="25" t="n">
        <x:v>4.609512700037158</x:v>
      </x:c>
      <x:c r="P253" s="25" t="n">
        <x:v>0.034094800002640036</x:v>
      </x:c>
      <x:c r="Q253" s="25" t="n">
        <x:v>0.9657920479999922</x:v>
      </x:c>
      <x:c r="R253" s="25" t="n">
        <x:v>3.032875199999398</x:v>
      </x:c>
      <x:c r="S253" s="25" t="n">
        <x:v>3.2856015999992088</x:v>
      </x:c>
      <x:c r="T253" s="25" t="n">
        <x:v>81.45166200000313</x:v>
      </x:c>
      <x:c r="U253" s="25" t="n">
        <x:v>81.45166200000313</x:v>
      </x:c>
      <x:c r="V253" s="25"/>
      <x:c r="W253" s="19" t="str">
        <x:v>FULL__STATIC_ID</x:v>
      </x:c>
      <x:c r="X253" s="26" t="n">
        <x:f>IF(AND(J283&gt;0,E253=E283),1-J253/J283,"")</x:f>
        <x:v>0.7370064279155188</x:v>
      </x:c>
      <x:c r="Y253" s="26" t="n">
        <x:f>IF(AND(K283&gt;0,E253=E283),1-K253/K283,"")</x:f>
        <x:v>0.08724670062096906</x:v>
      </x:c>
      <x:c r="Z253" s="26" t="n">
        <x:f>IF(AND(ISNUMBER(P283),P283&gt;0,E253=E283),1-P253/P283,"")</x:f>
        <x:v>-0.023597982359505387</x:v>
      </x:c>
      <x:c r="AA253" s="26" t="n">
        <x:f>IF(AND(ISNUMBER(R253),ISNUMBER(R283),R283&gt;0,E253=E283),1-R253/R283,"")</x:f>
        <x:v>0.3436344724182684</x:v>
      </x:c>
      <x:c r="AB253" s="26"/>
      <x:c r="AC253" s="19" t="str">
        <x:v>D:/Codex/GRL研究/outputs/grid89_review/per_date.csv</x:v>
      </x:c>
    </x:row>
    <x:row r="254" ht="36" customHeight="1">
      <x:c r="A254" s="19" t="str">
        <x:v>GRID89 换序</x:v>
      </x:c>
      <x:c r="B254" s="19" t="str">
        <x:v>2036-03-03_9</x:v>
      </x:c>
      <x:c r="C254" s="19" t="str">
        <x:v>FRAME_GUARD__STATIC_ID</x:v>
      </x:c>
      <x:c r="D254" s="21" t="n">
        <x:v>1</x:v>
      </x:c>
      <x:c r="E254" s="21" t="n">
        <x:v>1720</x:v>
      </x:c>
      <x:c r="F254" s="21" t="n">
        <x:v>1</x:v>
      </x:c>
      <x:c r="G254" s="21" t="n">
        <x:v>0</x:v>
      </x:c>
      <x:c r="H254" s="22" t="n">
        <x:v>2300386.2553100586</x:v>
      </x:c>
      <x:c r="I254" s="23"/>
      <x:c r="J254" s="24" t="n">
        <x:v>5109</x:v>
      </x:c>
      <x:c r="K254" s="25" t="n">
        <x:v>73.71596860003046</x:v>
      </x:c>
      <x:c r="L254" s="25" t="n">
        <x:v>25.121447399906174</x:v>
      </x:c>
      <x:c r="M254" s="25" t="n">
        <x:v>42.834476500036544</x:v>
      </x:c>
      <x:c r="N254" s="25" t="n">
        <x:v>1.0141716000434826</x:v>
      </x:c>
      <x:c r="O254" s="25" t="n">
        <x:v>4.745873100044264</x:v>
      </x:c>
      <x:c r="P254" s="25" t="n">
        <x:v>0.03917621500222594</x:v>
      </x:c>
      <x:c r="Q254" s="25" t="n">
        <x:v>1.0053008060005937</x:v>
      </x:c>
      <x:c r="R254" s="25" t="n">
        <x:v>4.1973434000003165</x:v>
      </x:c>
      <x:c r="S254" s="25" t="n">
        <x:v>4.820822360000821</x:v>
      </x:c>
      <x:c r="T254" s="25" t="n">
        <x:v>73.71596860003046</x:v>
      </x:c>
      <x:c r="U254" s="25" t="n">
        <x:v>73.71596860003046</x:v>
      </x:c>
      <x:c r="V254" s="25"/>
      <x:c r="W254" s="19" t="str">
        <x:v>FULL__STATIC_ID</x:v>
      </x:c>
      <x:c r="X254" s="26" t="n">
        <x:f>IF(AND(J284&gt;0,E254=E284),1-J254/J284,"")</x:f>
        <x:v>0.37489294016884867</x:v>
      </x:c>
      <x:c r="Y254" s="26" t="n">
        <x:f>IF(AND(K284&gt;0,E254=E284),1-K254/K284,"")</x:f>
        <x:v>0.09288906555883159</x:v>
      </x:c>
      <x:c r="Z254" s="26" t="n">
        <x:f>IF(AND(ISNUMBER(P284),P284&gt;0,E254=E284),1-P254/P284,"")</x:f>
        <x:v>-0.06647317853115497</x:v>
      </x:c>
      <x:c r="AA254" s="26" t="n">
        <x:f>IF(AND(ISNUMBER(R254),ISNUMBER(R284),R284&gt;0,E254=E284),1-R254/R284,"")</x:f>
        <x:v>0.10719555663842006</x:v>
      </x:c>
      <x:c r="AB254" s="26"/>
      <x:c r="AC254" s="19" t="str">
        <x:v>D:/Codex/GRL研究/outputs/grid89_review/per_date.csv</x:v>
      </x:c>
    </x:row>
    <x:row r="255" ht="36" customHeight="1">
      <x:c r="A255" s="19" t="str">
        <x:v>GRID89 换序</x:v>
      </x:c>
      <x:c r="B255" s="19" t="str">
        <x:v>2036-05-05_9</x:v>
      </x:c>
      <x:c r="C255" s="19" t="str">
        <x:v>FRAME_GUARD__STATIC_ID</x:v>
      </x:c>
      <x:c r="D255" s="21" t="n">
        <x:v>1</x:v>
      </x:c>
      <x:c r="E255" s="21" t="n">
        <x:v>2017</x:v>
      </x:c>
      <x:c r="F255" s="21" t="n">
        <x:v>1</x:v>
      </x:c>
      <x:c r="G255" s="21" t="n">
        <x:v>1</x:v>
      </x:c>
      <x:c r="H255" s="22" t="n">
        <x:v>1732291.8922729492</x:v>
      </x:c>
      <x:c r="I255" s="23" t="n">
        <x:v>-0.02651757674074451</x:v>
      </x:c>
      <x:c r="J255" s="24" t="n">
        <x:v>454</x:v>
      </x:c>
      <x:c r="K255" s="25" t="n">
        <x:v>37.599811799937015</x:v>
      </x:c>
      <x:c r="L255" s="25" t="n">
        <x:v>8.218924999877345</x:v>
      </x:c>
      <x:c r="M255" s="25" t="n">
        <x:v>24.964565400008723</x:v>
      </x:c>
      <x:c r="N255" s="25" t="n">
        <x:v>0.110993399975996</x:v>
      </x:c>
      <x:c r="O255" s="25" t="n">
        <x:v>4.305328000074951</x:v>
      </x:c>
      <x:c r="P255" s="25" t="n">
        <x:v>0.02966138000047067</x:v>
      </x:c>
      <x:c r="Q255" s="25" t="n">
        <x:v>0.5705185639989018</x:v>
      </x:c>
      <x:c r="R255" s="25" t="n">
        <x:v>4.108587799997622</x:v>
      </x:c>
      <x:c r="S255" s="25" t="n">
        <x:v>4.108587799997622</x:v>
      </x:c>
      <x:c r="T255" s="25" t="n">
        <x:v>37.599811799937015</x:v>
      </x:c>
      <x:c r="U255" s="25" t="n">
        <x:v>37.599811799937015</x:v>
      </x:c>
      <x:c r="V255" s="25"/>
      <x:c r="W255" s="19" t="str">
        <x:v>FULL__STATIC_ID</x:v>
      </x:c>
      <x:c r="X255" s="26" t="n">
        <x:f>IF(AND(J285&gt;0,E255=E285),1-J255/J285,"")</x:f>
        <x:v>0.8237577639751552</x:v>
      </x:c>
      <x:c r="Y255" s="26" t="n">
        <x:f>IF(AND(K285&gt;0,E255=E285),1-K255/K285,"")</x:f>
        <x:v>0.2530501838495872</x:v>
      </x:c>
      <x:c r="Z255" s="26" t="n">
        <x:f>IF(AND(ISNUMBER(P285),P285&gt;0,E255=E285),1-P255/P285,"")</x:f>
        <x:v>0.09227626076626716</x:v>
      </x:c>
      <x:c r="AA255" s="26" t="n">
        <x:f>IF(AND(ISNUMBER(R255),ISNUMBER(R285),R285&gt;0,E255=E285),1-R255/R285,"")</x:f>
        <x:v>0.02636034695962075</x:v>
      </x:c>
      <x:c r="AB255" s="26"/>
      <x:c r="AC255" s="19" t="str">
        <x:v>D:/Codex/GRL研究/outputs/grid89_review/per_date.csv</x:v>
      </x:c>
    </x:row>
    <x:row r="256" ht="36" customHeight="1">
      <x:c r="A256" s="19" t="str">
        <x:v>GRID89 换序</x:v>
      </x:c>
      <x:c r="B256" s="19" t="str">
        <x:v>2036-07-07_9</x:v>
      </x:c>
      <x:c r="C256" s="19" t="str">
        <x:v>FRAME_GUARD__STATIC_ID</x:v>
      </x:c>
      <x:c r="D256" s="21" t="n">
        <x:v>1</x:v>
      </x:c>
      <x:c r="E256" s="21" t="n">
        <x:v>2017</x:v>
      </x:c>
      <x:c r="F256" s="21" t="n">
        <x:v>1</x:v>
      </x:c>
      <x:c r="G256" s="21" t="n">
        <x:v>1</x:v>
      </x:c>
      <x:c r="H256" s="22" t="n">
        <x:v>1391348.7835388184</x:v>
      </x:c>
      <x:c r="I256" s="23" t="n">
        <x:v>-0.010880517894231834</x:v>
      </x:c>
      <x:c r="J256" s="24" t="n">
        <x:v>3470</x:v>
      </x:c>
      <x:c r="K256" s="25" t="n">
        <x:v>47.13179670005775</x:v>
      </x:c>
      <x:c r="L256" s="25" t="n">
        <x:v>16.843915600151377</x:v>
      </x:c>
      <x:c r="M256" s="25" t="n">
        <x:v>24.769908700000087</x:v>
      </x:c>
      <x:c r="N256" s="25" t="n">
        <x:v>1.3069767997440067</x:v>
      </x:c>
      <x:c r="O256" s="25" t="n">
        <x:v>4.210995600162278</x:v>
      </x:c>
      <x:c r="P256" s="25" t="n">
        <x:v>0.03622409999879891</x:v>
      </x:c>
      <x:c r="Q256" s="25" t="n">
        <x:v>0.7360221600008661</x:v>
      </x:c>
      <x:c r="R256" s="25" t="n">
        <x:v>3.3768528650005445</x:v>
      </x:c>
      <x:c r="S256" s="25" t="n">
        <x:v>4.111845533000596</x:v>
      </x:c>
      <x:c r="T256" s="25" t="n">
        <x:v>47.13179670005775</x:v>
      </x:c>
      <x:c r="U256" s="25" t="n">
        <x:v>47.13179670005775</x:v>
      </x:c>
      <x:c r="V256" s="25"/>
      <x:c r="W256" s="19" t="str">
        <x:v>FULL__STATIC_ID</x:v>
      </x:c>
      <x:c r="X256" s="26" t="n">
        <x:f>IF(AND(J286&gt;0,E256=E286),1-J256/J286,"")</x:f>
        <x:v>0.6153846153846154</x:v>
      </x:c>
      <x:c r="Y256" s="26" t="n">
        <x:f>IF(AND(K286&gt;0,E256=E286),1-K256/K286,"")</x:f>
        <x:v>0.2869912687148649</x:v>
      </x:c>
      <x:c r="Z256" s="26" t="n">
        <x:f>IF(AND(ISNUMBER(P286),P286&gt;0,E256=E286),1-P256/P286,"")</x:f>
        <x:v>-0.08350736680167392</x:v>
      </x:c>
      <x:c r="AA256" s="26" t="n">
        <x:f>IF(AND(ISNUMBER(R256),ISNUMBER(R286),R286&gt;0,E256=E286),1-R256/R286,"")</x:f>
        <x:v>0.32577346200629675</x:v>
      </x:c>
      <x:c r="AB256" s="26"/>
      <x:c r="AC256" s="19" t="str">
        <x:v>D:/Codex/GRL研究/outputs/grid89_review/per_date.csv</x:v>
      </x:c>
    </x:row>
    <x:row r="257" ht="36" customHeight="1">
      <x:c r="A257" s="19" t="str">
        <x:v>GRID89 换序</x:v>
      </x:c>
      <x:c r="B257" s="19" t="str">
        <x:v>2036-09-01_9</x:v>
      </x:c>
      <x:c r="C257" s="19" t="str">
        <x:v>FRAME_GUARD__STATIC_ID</x:v>
      </x:c>
      <x:c r="D257" s="21" t="n">
        <x:v>1</x:v>
      </x:c>
      <x:c r="E257" s="21" t="n">
        <x:v>2017</x:v>
      </x:c>
      <x:c r="F257" s="21" t="n">
        <x:v>1</x:v>
      </x:c>
      <x:c r="G257" s="21" t="n">
        <x:v>1</x:v>
      </x:c>
      <x:c r="H257" s="22" t="n">
        <x:v>1392633.7291259766</x:v>
      </x:c>
      <x:c r="I257" s="23" t="n">
        <x:v>-0.00023424970504537512</x:v>
      </x:c>
      <x:c r="J257" s="24" t="n">
        <x:v>1061</x:v>
      </x:c>
      <x:c r="K257" s="25" t="n">
        <x:v>41.30509979996714</x:v>
      </x:c>
      <x:c r="L257" s="25" t="n">
        <x:v>10.276915600021312</x:v>
      </x:c>
      <x:c r="M257" s="25" t="n">
        <x:v>26.047974299992347</x:v>
      </x:c>
      <x:c r="N257" s="25" t="n">
        <x:v>0.4408203000348294</x:v>
      </x:c>
      <x:c r="O257" s="25" t="n">
        <x:v>4.53938959991865</x:v>
      </x:c>
      <x:c r="P257" s="25" t="n">
        <x:v>0.030289979998633497</x:v>
      </x:c>
      <x:c r="Q257" s="25" t="n">
        <x:v>0.7214612759988812</x:v>
      </x:c>
      <x:c r="R257" s="25" t="n">
        <x:v>1.188375605001056</x:v>
      </x:c>
      <x:c r="S257" s="25" t="n">
        <x:v>1.2196151210009702</x:v>
      </x:c>
      <x:c r="T257" s="25" t="n">
        <x:v>41.30509979996714</x:v>
      </x:c>
      <x:c r="U257" s="25" t="n">
        <x:v>41.30509979996714</x:v>
      </x:c>
      <x:c r="V257" s="25"/>
      <x:c r="W257" s="19" t="str">
        <x:v>FULL__STATIC_ID</x:v>
      </x:c>
      <x:c r="X257" s="26" t="n">
        <x:f>IF(AND(J287&gt;0,E257=E287),1-J257/J287,"")</x:f>
        <x:v>0.7037967615857064</x:v>
      </x:c>
      <x:c r="Y257" s="26" t="n">
        <x:f>IF(AND(K287&gt;0,E257=E287),1-K257/K287,"")</x:f>
        <x:v>0.13325252425391176</x:v>
      </x:c>
      <x:c r="Z257" s="26" t="n">
        <x:f>IF(AND(ISNUMBER(P287),P287&gt;0,E257=E287),1-P257/P287,"")</x:f>
        <x:v>0.015984655986276075</x:v>
      </x:c>
      <x:c r="AA257" s="26" t="n">
        <x:f>IF(AND(ISNUMBER(R257),ISNUMBER(R287),R287&gt;0,E257=E287),1-R257/R287,"")</x:f>
        <x:v>0.5924232872977567</x:v>
      </x:c>
      <x:c r="AB257" s="26"/>
      <x:c r="AC257" s="19" t="str">
        <x:v>D:/Codex/GRL研究/outputs/grid89_review/per_date.csv</x:v>
      </x:c>
    </x:row>
    <x:row r="258" ht="36" customHeight="1">
      <x:c r="A258" s="19" t="str">
        <x:v>GRID89 换序</x:v>
      </x:c>
      <x:c r="B258" s="19" t="str">
        <x:v>2036-11-03_9</x:v>
      </x:c>
      <x:c r="C258" s="19" t="str">
        <x:v>FRAME_GUARD__STATIC_ID</x:v>
      </x:c>
      <x:c r="D258" s="21" t="n">
        <x:v>1</x:v>
      </x:c>
      <x:c r="E258" s="21" t="n">
        <x:v>519</x:v>
      </x:c>
      <x:c r="F258" s="21" t="n">
        <x:v>1</x:v>
      </x:c>
      <x:c r="G258" s="21" t="n">
        <x:v>0</x:v>
      </x:c>
      <x:c r="H258" s="22" t="n">
        <x:v>361332.79052734375</x:v>
      </x:c>
      <x:c r="I258" s="23"/>
      <x:c r="J258" s="24" t="n">
        <x:v>0</x:v>
      </x:c>
      <x:c r="K258" s="25" t="n">
        <x:v>15.810143399976369</x:v>
      </x:c>
      <x:c r="L258" s="25" t="n">
        <x:v>1.9942426000307023</x:v>
      </x:c>
      <x:c r="M258" s="25" t="n">
        <x:v>12.846614800004318</x:v>
      </x:c>
      <x:c r="N258" s="25" t="n">
        <x:v>0</x:v>
      </x:c>
      <x:c r="O258" s="25" t="n">
        <x:v>0.9692859999413486</x:v>
      </x:c>
      <x:c r="P258" s="25" t="n">
        <x:v>0.03167361999876445</x:v>
      </x:c>
      <x:c r="Q258" s="25" t="n">
        <x:v>0.8856038959991624</x:v>
      </x:c>
      <x:c r="R258" s="25"/>
      <x:c r="S258" s="25"/>
      <x:c r="T258" s="25" t="n">
        <x:v>15.810143399976369</x:v>
      </x:c>
      <x:c r="U258" s="25" t="n">
        <x:v>15.810143399976369</x:v>
      </x:c>
      <x:c r="V258" s="25"/>
      <x:c r="W258" s="19" t="str">
        <x:v>FULL__STATIC_ID</x:v>
      </x:c>
      <x:c r="X258" s="26" t="str">
        <x:f>IF(AND(J288&gt;0,E258=E288),1-J258/J288,"")</x:f>
      </x:c>
      <x:c r="Y258" s="26" t="n">
        <x:f>IF(AND(K288&gt;0,E258=E288),1-K258/K288,"")</x:f>
        <x:v>-0.010112430684503737</x:v>
      </x:c>
      <x:c r="Z258" s="26" t="n">
        <x:f>IF(AND(ISNUMBER(P288),P288&gt;0,E258=E288),1-P258/P288,"")</x:f>
        <x:v>-0.057201163711675385</x:v>
      </x:c>
      <x:c r="AA258" s="26" t="str">
        <x:f>IF(AND(ISNUMBER(R258),ISNUMBER(R288),R288&gt;0,E258=E288),1-R258/R288,"")</x:f>
      </x:c>
      <x:c r="AB258" s="26"/>
      <x:c r="AC258" s="19" t="str">
        <x:v>D:/Codex/GRL研究/outputs/grid89_review/per_date.csv</x:v>
      </x:c>
    </x:row>
    <x:row r="259" ht="36" customHeight="1">
      <x:c r="A259" s="19" t="str">
        <x:v>GRID89 换序</x:v>
      </x:c>
      <x:c r="B259" s="19" t="str">
        <x:v>2036-01-07_9</x:v>
      </x:c>
      <x:c r="C259" s="19" t="str">
        <x:v>FULL__LOCAL_STRESS</x:v>
      </x:c>
      <x:c r="D259" s="21" t="n">
        <x:v>1</x:v>
      </x:c>
      <x:c r="E259" s="21" t="n">
        <x:v>2017</x:v>
      </x:c>
      <x:c r="F259" s="21" t="n">
        <x:v>1</x:v>
      </x:c>
      <x:c r="G259" s="21" t="n">
        <x:v>1</x:v>
      </x:c>
      <x:c r="H259" s="22" t="n">
        <x:v>2410618.7305908203</x:v>
      </x:c>
      <x:c r="I259" s="23" t="n">
        <x:v>0</x:v>
      </x:c>
      <x:c r="J259" s="24" t="n">
        <x:v>5445</x:v>
      </x:c>
      <x:c r="K259" s="25" t="n">
        <x:v>96.7920387000413</x:v>
      </x:c>
      <x:c r="L259" s="25" t="n">
        <x:v>27.057124600105453</x:v>
      </x:c>
      <x:c r="M259" s="25" t="n">
        <x:v>63.68961850001142</x:v>
      </x:c>
      <x:c r="N259" s="25" t="n">
        <x:v>0.7327587999388925</x:v>
      </x:c>
      <x:c r="O259" s="25" t="n">
        <x:v>5.312536799985537</x:v>
      </x:c>
      <x:c r="P259" s="25" t="n">
        <x:v>0.03616168000007745</x:v>
      </x:c>
      <x:c r="Q259" s="25" t="n">
        <x:v>1.0524381919988008</x:v>
      </x:c>
      <x:c r="R259" s="25" t="n">
        <x:v>4.996660849998989</x:v>
      </x:c>
      <x:c r="S259" s="25" t="n">
        <x:v>5.212148489998618</x:v>
      </x:c>
      <x:c r="T259" s="25" t="n">
        <x:v>96.7920387000413</x:v>
      </x:c>
      <x:c r="U259" s="25" t="n">
        <x:v>96.7920387000413</x:v>
      </x:c>
      <x:c r="V259" s="25"/>
      <x:c r="W259" s="19" t="str">
        <x:v>FULL__LOCAL_STRESS</x:v>
      </x:c>
      <x:c r="X259" s="26" t="n">
        <x:f>IF(AND(J259&gt;0,E259=E259),1-J259/J259,"")</x:f>
        <x:v>0</x:v>
      </x:c>
      <x:c r="Y259" s="26" t="n">
        <x:f>IF(AND(K259&gt;0,E259=E259),1-K259/K259,"")</x:f>
        <x:v>0</x:v>
      </x:c>
      <x:c r="Z259" s="26" t="n">
        <x:f>IF(AND(ISNUMBER(P259),P259&gt;0,E259=E259),1-P259/P259,"")</x:f>
        <x:v>0</x:v>
      </x:c>
      <x:c r="AA259" s="26" t="n">
        <x:f>IF(AND(ISNUMBER(R259),ISNUMBER(R259),R259&gt;0,E259=E259),1-R259/R259,"")</x:f>
        <x:v>0</x:v>
      </x:c>
      <x:c r="AB259" s="26"/>
      <x:c r="AC259" s="19" t="str">
        <x:v>D:/Codex/GRL研究/outputs/grid89_review/per_date.csv</x:v>
      </x:c>
    </x:row>
    <x:row r="260" ht="36" customHeight="1">
      <x:c r="A260" s="19" t="str">
        <x:v>GRID89 换序</x:v>
      </x:c>
      <x:c r="B260" s="19" t="str">
        <x:v>2036-03-03_9</x:v>
      </x:c>
      <x:c r="C260" s="19" t="str">
        <x:v>FULL__LOCAL_STRESS</x:v>
      </x:c>
      <x:c r="D260" s="21" t="n">
        <x:v>1</x:v>
      </x:c>
      <x:c r="E260" s="21" t="n">
        <x:v>1720</x:v>
      </x:c>
      <x:c r="F260" s="21" t="n">
        <x:v>1</x:v>
      </x:c>
      <x:c r="G260" s="21" t="n">
        <x:v>0</x:v>
      </x:c>
      <x:c r="H260" s="22" t="n">
        <x:v>2300386.2553100586</x:v>
      </x:c>
      <x:c r="I260" s="23"/>
      <x:c r="J260" s="24" t="n">
        <x:v>8173</x:v>
      </x:c>
      <x:c r="K260" s="25" t="n">
        <x:v>82.63504919999468</x:v>
      </x:c>
      <x:c r="L260" s="25" t="n">
        <x:v>32.92935660019066</x:v>
      </x:c>
      <x:c r="M260" s="25" t="n">
        <x:v>43.294701899973006</x:v>
      </x:c>
      <x:c r="N260" s="25" t="n">
        <x:v>1.4008695999582415</x:v>
      </x:c>
      <x:c r="O260" s="25" t="n">
        <x:v>5.0101210998727765</x:v>
      </x:c>
      <x:c r="P260" s="25" t="n">
        <x:v>0.03744554000040807</x:v>
      </x:c>
      <x:c r="Q260" s="25" t="n">
        <x:v>1.158417057001022</x:v>
      </x:c>
      <x:c r="R260" s="25" t="n">
        <x:v>4.685580699999262</x:v>
      </x:c>
      <x:c r="S260" s="25" t="n">
        <x:v>5.256519100000879</x:v>
      </x:c>
      <x:c r="T260" s="25" t="n">
        <x:v>82.63504919999468</x:v>
      </x:c>
      <x:c r="U260" s="25" t="n">
        <x:v>82.63504919999468</x:v>
      </x:c>
      <x:c r="V260" s="25"/>
      <x:c r="W260" s="19" t="str">
        <x:v>FULL__LOCAL_STRESS</x:v>
      </x:c>
      <x:c r="X260" s="26" t="n">
        <x:f>IF(AND(J260&gt;0,E260=E260),1-J260/J260,"")</x:f>
        <x:v>0</x:v>
      </x:c>
      <x:c r="Y260" s="26" t="n">
        <x:f>IF(AND(K260&gt;0,E260=E260),1-K260/K260,"")</x:f>
        <x:v>0</x:v>
      </x:c>
      <x:c r="Z260" s="26" t="n">
        <x:f>IF(AND(ISNUMBER(P260),P260&gt;0,E260=E260),1-P260/P260,"")</x:f>
        <x:v>0</x:v>
      </x:c>
      <x:c r="AA260" s="26" t="n">
        <x:f>IF(AND(ISNUMBER(R260),ISNUMBER(R260),R260&gt;0,E260=E260),1-R260/R260,"")</x:f>
        <x:v>0</x:v>
      </x:c>
      <x:c r="AB260" s="26"/>
      <x:c r="AC260" s="19" t="str">
        <x:v>D:/Codex/GRL研究/outputs/grid89_review/per_date.csv</x:v>
      </x:c>
    </x:row>
    <x:row r="261" ht="36" customHeight="1">
      <x:c r="A261" s="19" t="str">
        <x:v>GRID89 换序</x:v>
      </x:c>
      <x:c r="B261" s="19" t="str">
        <x:v>2036-05-05_9</x:v>
      </x:c>
      <x:c r="C261" s="19" t="str">
        <x:v>FULL__LOCAL_STRESS</x:v>
      </x:c>
      <x:c r="D261" s="21" t="n">
        <x:v>1</x:v>
      </x:c>
      <x:c r="E261" s="21" t="n">
        <x:v>2017</x:v>
      </x:c>
      <x:c r="F261" s="21" t="n">
        <x:v>1</x:v>
      </x:c>
      <x:c r="G261" s="21" t="n">
        <x:v>1</x:v>
      </x:c>
      <x:c r="H261" s="22" t="n">
        <x:v>1779479.3731079102</x:v>
      </x:c>
      <x:c r="I261" s="23" t="n">
        <x:v>0</x:v>
      </x:c>
      <x:c r="J261" s="24" t="n">
        <x:v>2576</x:v>
      </x:c>
      <x:c r="K261" s="25" t="n">
        <x:v>50.85179809994952</x:v>
      </x:c>
      <x:c r="L261" s="25" t="n">
        <x:v>13.311987900095119</x:v>
      </x:c>
      <x:c r="M261" s="25" t="n">
        <x:v>32.643001099972025</x:v>
      </x:c>
      <x:c r="N261" s="25" t="n">
        <x:v>0.33115160002125776</x:v>
      </x:c>
      <x:c r="O261" s="25" t="n">
        <x:v>4.565657499861118</x:v>
      </x:c>
      <x:c r="P261" s="25" t="n">
        <x:v>0.03331215999933192</x:v>
      </x:c>
      <x:c r="Q261" s="25" t="n">
        <x:v>0.7216103079993624</x:v>
      </x:c>
      <x:c r="R261" s="25" t="n">
        <x:v>4.233605000001989</x:v>
      </x:c>
      <x:c r="S261" s="25" t="n">
        <x:v>4.332013960002368</x:v>
      </x:c>
      <x:c r="T261" s="25" t="n">
        <x:v>50.85179809994952</x:v>
      </x:c>
      <x:c r="U261" s="25" t="n">
        <x:v>50.85179809994952</x:v>
      </x:c>
      <x:c r="V261" s="25"/>
      <x:c r="W261" s="19" t="str">
        <x:v>FULL__LOCAL_STRESS</x:v>
      </x:c>
      <x:c r="X261" s="26" t="n">
        <x:f>IF(AND(J261&gt;0,E261=E261),1-J261/J261,"")</x:f>
        <x:v>0</x:v>
      </x:c>
      <x:c r="Y261" s="26" t="n">
        <x:f>IF(AND(K261&gt;0,E261=E261),1-K261/K261,"")</x:f>
        <x:v>0</x:v>
      </x:c>
      <x:c r="Z261" s="26" t="n">
        <x:f>IF(AND(ISNUMBER(P261),P261&gt;0,E261=E261),1-P261/P261,"")</x:f>
        <x:v>0</x:v>
      </x:c>
      <x:c r="AA261" s="26" t="n">
        <x:f>IF(AND(ISNUMBER(R261),ISNUMBER(R261),R261&gt;0,E261=E261),1-R261/R261,"")</x:f>
        <x:v>0</x:v>
      </x:c>
      <x:c r="AB261" s="26"/>
      <x:c r="AC261" s="19" t="str">
        <x:v>D:/Codex/GRL研究/outputs/grid89_review/per_date.csv</x:v>
      </x:c>
    </x:row>
    <x:row r="262" ht="36" customHeight="1">
      <x:c r="A262" s="19" t="str">
        <x:v>GRID89 换序</x:v>
      </x:c>
      <x:c r="B262" s="19" t="str">
        <x:v>2036-07-07_9</x:v>
      </x:c>
      <x:c r="C262" s="19" t="str">
        <x:v>FULL__LOCAL_STRESS</x:v>
      </x:c>
      <x:c r="D262" s="21" t="n">
        <x:v>1</x:v>
      </x:c>
      <x:c r="E262" s="21" t="n">
        <x:v>2017</x:v>
      </x:c>
      <x:c r="F262" s="21" t="n">
        <x:v>1</x:v>
      </x:c>
      <x:c r="G262" s="21" t="n">
        <x:v>1</x:v>
      </x:c>
      <x:c r="H262" s="22" t="n">
        <x:v>1406653.906539917</x:v>
      </x:c>
      <x:c r="I262" s="23" t="n">
        <x:v>0</x:v>
      </x:c>
      <x:c r="J262" s="24" t="n">
        <x:v>9022</x:v>
      </x:c>
      <x:c r="K262" s="25" t="n">
        <x:v>65.77852829997937</x:v>
      </x:c>
      <x:c r="L262" s="25" t="n">
        <x:v>33.14335209970886</x:v>
      </x:c>
      <x:c r="M262" s="25" t="n">
        <x:v>26.313808499977313</x:v>
      </x:c>
      <x:c r="N262" s="25" t="n">
        <x:v>1.3775642999135016</x:v>
      </x:c>
      <x:c r="O262" s="25" t="n">
        <x:v>4.943803400379693</x:v>
      </x:c>
      <x:c r="P262" s="25" t="n">
        <x:v>0.033268219999445126</x:v>
      </x:c>
      <x:c r="Q262" s="25" t="n">
        <x:v>0.7494761880020084</x:v>
      </x:c>
      <x:c r="R262" s="25" t="n">
        <x:v>4.9554308049997395</x:v>
      </x:c>
      <x:c r="S262" s="25" t="n">
        <x:v>5.5895942409989585</x:v>
      </x:c>
      <x:c r="T262" s="25" t="n">
        <x:v>65.77852829997937</x:v>
      </x:c>
      <x:c r="U262" s="25" t="n">
        <x:v>65.77852829997937</x:v>
      </x:c>
      <x:c r="V262" s="25"/>
      <x:c r="W262" s="19" t="str">
        <x:v>FULL__LOCAL_STRESS</x:v>
      </x:c>
      <x:c r="X262" s="26" t="n">
        <x:f>IF(AND(J262&gt;0,E262=E262),1-J262/J262,"")</x:f>
        <x:v>0</x:v>
      </x:c>
      <x:c r="Y262" s="26" t="n">
        <x:f>IF(AND(K262&gt;0,E262=E262),1-K262/K262,"")</x:f>
        <x:v>0</x:v>
      </x:c>
      <x:c r="Z262" s="26" t="n">
        <x:f>IF(AND(ISNUMBER(P262),P262&gt;0,E262=E262),1-P262/P262,"")</x:f>
        <x:v>0</x:v>
      </x:c>
      <x:c r="AA262" s="26" t="n">
        <x:f>IF(AND(ISNUMBER(R262),ISNUMBER(R262),R262&gt;0,E262=E262),1-R262/R262,"")</x:f>
        <x:v>0</x:v>
      </x:c>
      <x:c r="AB262" s="26"/>
      <x:c r="AC262" s="19" t="str">
        <x:v>D:/Codex/GRL研究/outputs/grid89_review/per_date.csv</x:v>
      </x:c>
    </x:row>
    <x:row r="263" ht="36" customHeight="1">
      <x:c r="A263" s="19" t="str">
        <x:v>GRID89 换序</x:v>
      </x:c>
      <x:c r="B263" s="19" t="str">
        <x:v>2036-09-01_9</x:v>
      </x:c>
      <x:c r="C263" s="19" t="str">
        <x:v>FULL__LOCAL_STRESS</x:v>
      </x:c>
      <x:c r="D263" s="21" t="n">
        <x:v>1</x:v>
      </x:c>
      <x:c r="E263" s="21" t="n">
        <x:v>2017</x:v>
      </x:c>
      <x:c r="F263" s="21" t="n">
        <x:v>1</x:v>
      </x:c>
      <x:c r="G263" s="21" t="n">
        <x:v>1</x:v>
      </x:c>
      <x:c r="H263" s="22" t="n">
        <x:v>1392960.0296020508</x:v>
      </x:c>
      <x:c r="I263" s="23" t="n">
        <x:v>0</x:v>
      </x:c>
      <x:c r="J263" s="24" t="n">
        <x:v>3582</x:v>
      </x:c>
      <x:c r="K263" s="25" t="n">
        <x:v>48.51732789995731</x:v>
      </x:c>
      <x:c r="L263" s="25" t="n">
        <x:v>17.0434334000347</x:v>
      </x:c>
      <x:c r="M263" s="25" t="n">
        <x:v>26.122930300003645</x:v>
      </x:c>
      <x:c r="N263" s="25" t="n">
        <x:v>0.4779378998428001</x:v>
      </x:c>
      <x:c r="O263" s="25" t="n">
        <x:v>4.873026300076162</x:v>
      </x:c>
      <x:c r="P263" s="25" t="n">
        <x:v>0.031398759999865425</x:v>
      </x:c>
      <x:c r="Q263" s="25" t="n">
        <x:v>0.7355715600002437</x:v>
      </x:c>
      <x:c r="R263" s="25" t="n">
        <x:v>2.928821100001005</x:v>
      </x:c>
      <x:c r="S263" s="25" t="n">
        <x:v>2.965735020000793</x:v>
      </x:c>
      <x:c r="T263" s="25" t="n">
        <x:v>48.51732789995731</x:v>
      </x:c>
      <x:c r="U263" s="25" t="n">
        <x:v>48.51732789995731</x:v>
      </x:c>
      <x:c r="V263" s="25"/>
      <x:c r="W263" s="19" t="str">
        <x:v>FULL__LOCAL_STRESS</x:v>
      </x:c>
      <x:c r="X263" s="26" t="n">
        <x:f>IF(AND(J263&gt;0,E263=E263),1-J263/J263,"")</x:f>
        <x:v>0</x:v>
      </x:c>
      <x:c r="Y263" s="26" t="n">
        <x:f>IF(AND(K263&gt;0,E263=E263),1-K263/K263,"")</x:f>
        <x:v>0</x:v>
      </x:c>
      <x:c r="Z263" s="26" t="n">
        <x:f>IF(AND(ISNUMBER(P263),P263&gt;0,E263=E263),1-P263/P263,"")</x:f>
        <x:v>0</x:v>
      </x:c>
      <x:c r="AA263" s="26" t="n">
        <x:f>IF(AND(ISNUMBER(R263),ISNUMBER(R263),R263&gt;0,E263=E263),1-R263/R263,"")</x:f>
        <x:v>0</x:v>
      </x:c>
      <x:c r="AB263" s="26"/>
      <x:c r="AC263" s="19" t="str">
        <x:v>D:/Codex/GRL研究/outputs/grid89_review/per_date.csv</x:v>
      </x:c>
    </x:row>
    <x:row r="264" ht="36" customHeight="1">
      <x:c r="A264" s="19" t="str">
        <x:v>GRID89 换序</x:v>
      </x:c>
      <x:c r="B264" s="19" t="str">
        <x:v>2036-11-03_9</x:v>
      </x:c>
      <x:c r="C264" s="19" t="str">
        <x:v>FULL__LOCAL_STRESS</x:v>
      </x:c>
      <x:c r="D264" s="21" t="n">
        <x:v>1</x:v>
      </x:c>
      <x:c r="E264" s="21" t="n">
        <x:v>519</x:v>
      </x:c>
      <x:c r="F264" s="21" t="n">
        <x:v>1</x:v>
      </x:c>
      <x:c r="G264" s="21" t="n">
        <x:v>0</x:v>
      </x:c>
      <x:c r="H264" s="22" t="n">
        <x:v>361332.79052734375</x:v>
      </x:c>
      <x:c r="I264" s="23"/>
      <x:c r="J264" s="24" t="n">
        <x:v>0</x:v>
      </x:c>
      <x:c r="K264" s="25" t="n">
        <x:v>15.771471200045198</x:v>
      </x:c>
      <x:c r="L264" s="25" t="n">
        <x:v>1.9855828000327165</x:v>
      </x:c>
      <x:c r="M264" s="25" t="n">
        <x:v>12.824306499980594</x:v>
      </x:c>
      <x:c r="N264" s="25" t="n">
        <x:v>0</x:v>
      </x:c>
      <x:c r="O264" s="25" t="n">
        <x:v>0.9615819000318879</x:v>
      </x:c>
      <x:c r="P264" s="25" t="n">
        <x:v>0.0313853600004222</x:v>
      </x:c>
      <x:c r="Q264" s="25" t="n">
        <x:v>0.8844153060018337</x:v>
      </x:c>
      <x:c r="R264" s="25"/>
      <x:c r="S264" s="25"/>
      <x:c r="T264" s="25" t="n">
        <x:v>15.771471200045198</x:v>
      </x:c>
      <x:c r="U264" s="25" t="n">
        <x:v>15.771471200045198</x:v>
      </x:c>
      <x:c r="V264" s="25"/>
      <x:c r="W264" s="19" t="str">
        <x:v>FULL__LOCAL_STRESS</x:v>
      </x:c>
      <x:c r="X264" s="26" t="str">
        <x:f>IF(AND(J264&gt;0,E264=E264),1-J264/J264,"")</x:f>
      </x:c>
      <x:c r="Y264" s="26" t="n">
        <x:f>IF(AND(K264&gt;0,E264=E264),1-K264/K264,"")</x:f>
        <x:v>0</x:v>
      </x:c>
      <x:c r="Z264" s="26" t="n">
        <x:f>IF(AND(ISNUMBER(P264),P264&gt;0,E264=E264),1-P264/P264,"")</x:f>
        <x:v>0</x:v>
      </x:c>
      <x:c r="AA264" s="26" t="str">
        <x:f>IF(AND(ISNUMBER(R264),ISNUMBER(R264),R264&gt;0,E264=E264),1-R264/R264,"")</x:f>
      </x:c>
      <x:c r="AB264" s="26"/>
      <x:c r="AC264" s="19" t="str">
        <x:v>D:/Codex/GRL研究/outputs/grid89_review/per_date.csv</x:v>
      </x:c>
    </x:row>
    <x:row r="265" ht="36" customHeight="1">
      <x:c r="A265" s="19" t="str">
        <x:v>GRID89 换序</x:v>
      </x:c>
      <x:c r="B265" s="19" t="str">
        <x:v>2036-01-07_9</x:v>
      </x:c>
      <x:c r="C265" s="19" t="str">
        <x:v>FULL__RANDOM_11</x:v>
      </x:c>
      <x:c r="D265" s="21" t="n">
        <x:v>1</x:v>
      </x:c>
      <x:c r="E265" s="21" t="n">
        <x:v>2017</x:v>
      </x:c>
      <x:c r="F265" s="21" t="n">
        <x:v>1</x:v>
      </x:c>
      <x:c r="G265" s="21" t="n">
        <x:v>1</x:v>
      </x:c>
      <x:c r="H265" s="22" t="n">
        <x:v>2410618.7305908203</x:v>
      </x:c>
      <x:c r="I265" s="23" t="n">
        <x:v>0</x:v>
      </x:c>
      <x:c r="J265" s="24" t="n">
        <x:v>5445</x:v>
      </x:c>
      <x:c r="K265" s="25" t="n">
        <x:v>89.05417800001669</x:v>
      </x:c>
      <x:c r="L265" s="25" t="n">
        <x:v>25.009069400141016</x:v>
      </x:c>
      <x:c r="M265" s="25" t="n">
        <x:v>58.48658919997979</x:v>
      </x:c>
      <x:c r="N265" s="25" t="n">
        <x:v>0.6545406999575789</x:v>
      </x:c>
      <x:c r="O265" s="25" t="n">
        <x:v>4.903978699938307</x:v>
      </x:c>
      <x:c r="P265" s="25" t="n">
        <x:v>0.0320964200007438</x:v>
      </x:c>
      <x:c r="Q265" s="25" t="n">
        <x:v>0.9886420079995855</x:v>
      </x:c>
      <x:c r="R265" s="25" t="n">
        <x:v>4.565084549999483</x:v>
      </x:c>
      <x:c r="S265" s="25" t="n">
        <x:v>4.787253149999197</x:v>
      </x:c>
      <x:c r="T265" s="25" t="n">
        <x:v>89.05417800001669</x:v>
      </x:c>
      <x:c r="U265" s="25" t="n">
        <x:v>89.05417800001669</x:v>
      </x:c>
      <x:c r="V265" s="25"/>
      <x:c r="W265" s="19" t="str">
        <x:v>FULL__RANDOM_11</x:v>
      </x:c>
      <x:c r="X265" s="26" t="n">
        <x:f>IF(AND(J265&gt;0,E265=E265),1-J265/J265,"")</x:f>
        <x:v>0</x:v>
      </x:c>
      <x:c r="Y265" s="26" t="n">
        <x:f>IF(AND(K265&gt;0,E265=E265),1-K265/K265,"")</x:f>
        <x:v>0</x:v>
      </x:c>
      <x:c r="Z265" s="26" t="n">
        <x:f>IF(AND(ISNUMBER(P265),P265&gt;0,E265=E265),1-P265/P265,"")</x:f>
        <x:v>0</x:v>
      </x:c>
      <x:c r="AA265" s="26" t="n">
        <x:f>IF(AND(ISNUMBER(R265),ISNUMBER(R265),R265&gt;0,E265=E265),1-R265/R265,"")</x:f>
        <x:v>0</x:v>
      </x:c>
      <x:c r="AB265" s="26"/>
      <x:c r="AC265" s="19" t="str">
        <x:v>D:/Codex/GRL研究/outputs/grid89_review/per_date.csv</x:v>
      </x:c>
    </x:row>
    <x:row r="266" ht="36" customHeight="1">
      <x:c r="A266" s="19" t="str">
        <x:v>GRID89 换序</x:v>
      </x:c>
      <x:c r="B266" s="19" t="str">
        <x:v>2036-03-03_9</x:v>
      </x:c>
      <x:c r="C266" s="19" t="str">
        <x:v>FULL__RANDOM_11</x:v>
      </x:c>
      <x:c r="D266" s="21" t="n">
        <x:v>1</x:v>
      </x:c>
      <x:c r="E266" s="21" t="n">
        <x:v>1720</x:v>
      </x:c>
      <x:c r="F266" s="21" t="n">
        <x:v>1</x:v>
      </x:c>
      <x:c r="G266" s="21" t="n">
        <x:v>0</x:v>
      </x:c>
      <x:c r="H266" s="22" t="n">
        <x:v>2300386.2553100586</x:v>
      </x:c>
      <x:c r="I266" s="23"/>
      <x:c r="J266" s="24" t="n">
        <x:v>8173</x:v>
      </x:c>
      <x:c r="K266" s="25" t="n">
        <x:v>83.2137229001346</x:v>
      </x:c>
      <x:c r="L266" s="25" t="n">
        <x:v>33.23243270019884</x:v>
      </x:c>
      <x:c r="M266" s="25" t="n">
        <x:v>43.535126299990225</x:v>
      </x:c>
      <x:c r="N266" s="25" t="n">
        <x:v>1.4120418998900277</x:v>
      </x:c>
      <x:c r="O266" s="25" t="n">
        <x:v>5.034122000055504</x:v>
      </x:c>
      <x:c r="P266" s="25" t="n">
        <x:v>0.03822125999813579</x:v>
      </x:c>
      <x:c r="Q266" s="25" t="n">
        <x:v>1.1597825140003246</x:v>
      </x:c>
      <x:c r="R266" s="25" t="n">
        <x:v>4.731423684997024</x:v>
      </x:c>
      <x:c r="S266" s="25" t="n">
        <x:v>5.325550656996529</x:v>
      </x:c>
      <x:c r="T266" s="25" t="n">
        <x:v>83.2137229001346</x:v>
      </x:c>
      <x:c r="U266" s="25" t="n">
        <x:v>83.2137229001346</x:v>
      </x:c>
      <x:c r="V266" s="25"/>
      <x:c r="W266" s="19" t="str">
        <x:v>FULL__RANDOM_11</x:v>
      </x:c>
      <x:c r="X266" s="26" t="n">
        <x:f>IF(AND(J266&gt;0,E266=E266),1-J266/J266,"")</x:f>
        <x:v>0</x:v>
      </x:c>
      <x:c r="Y266" s="26" t="n">
        <x:f>IF(AND(K266&gt;0,E266=E266),1-K266/K266,"")</x:f>
        <x:v>0</x:v>
      </x:c>
      <x:c r="Z266" s="26" t="n">
        <x:f>IF(AND(ISNUMBER(P266),P266&gt;0,E266=E266),1-P266/P266,"")</x:f>
        <x:v>0</x:v>
      </x:c>
      <x:c r="AA266" s="26" t="n">
        <x:f>IF(AND(ISNUMBER(R266),ISNUMBER(R266),R266&gt;0,E266=E266),1-R266/R266,"")</x:f>
        <x:v>0</x:v>
      </x:c>
      <x:c r="AB266" s="26"/>
      <x:c r="AC266" s="19" t="str">
        <x:v>D:/Codex/GRL研究/outputs/grid89_review/per_date.csv</x:v>
      </x:c>
    </x:row>
    <x:row r="267" ht="36" customHeight="1">
      <x:c r="A267" s="19" t="str">
        <x:v>GRID89 换序</x:v>
      </x:c>
      <x:c r="B267" s="19" t="str">
        <x:v>2036-05-05_9</x:v>
      </x:c>
      <x:c r="C267" s="19" t="str">
        <x:v>FULL__RANDOM_11</x:v>
      </x:c>
      <x:c r="D267" s="21" t="n">
        <x:v>1</x:v>
      </x:c>
      <x:c r="E267" s="21" t="n">
        <x:v>2017</x:v>
      </x:c>
      <x:c r="F267" s="21" t="n">
        <x:v>1</x:v>
      </x:c>
      <x:c r="G267" s="21" t="n">
        <x:v>1</x:v>
      </x:c>
      <x:c r="H267" s="22" t="n">
        <x:v>1779479.3731079102</x:v>
      </x:c>
      <x:c r="I267" s="23" t="n">
        <x:v>0</x:v>
      </x:c>
      <x:c r="J267" s="24" t="n">
        <x:v>2576</x:v>
      </x:c>
      <x:c r="K267" s="25" t="n">
        <x:v>50.629828000131965</x:v>
      </x:c>
      <x:c r="L267" s="25" t="n">
        <x:v>13.267714100129524</x:v>
      </x:c>
      <x:c r="M267" s="25" t="n">
        <x:v>32.45472099999097</x:v>
      </x:c>
      <x:c r="N267" s="25" t="n">
        <x:v>0.32942889989863033</x:v>
      </x:c>
      <x:c r="O267" s="25" t="n">
        <x:v>4.577964000112843</x:v>
      </x:c>
      <x:c r="P267" s="25" t="n">
        <x:v>0.03311466000013751</x:v>
      </x:c>
      <x:c r="Q267" s="25" t="n">
        <x:v>0.7187290320018654</x:v>
      </x:c>
      <x:c r="R267" s="25" t="n">
        <x:v>4.205880540000362</x:v>
      </x:c>
      <x:c r="S267" s="25" t="n">
        <x:v>4.296440428000497</x:v>
      </x:c>
      <x:c r="T267" s="25" t="n">
        <x:v>50.629828000131965</x:v>
      </x:c>
      <x:c r="U267" s="25" t="n">
        <x:v>50.629828000131965</x:v>
      </x:c>
      <x:c r="V267" s="25"/>
      <x:c r="W267" s="19" t="str">
        <x:v>FULL__RANDOM_11</x:v>
      </x:c>
      <x:c r="X267" s="26" t="n">
        <x:f>IF(AND(J267&gt;0,E267=E267),1-J267/J267,"")</x:f>
        <x:v>0</x:v>
      </x:c>
      <x:c r="Y267" s="26" t="n">
        <x:f>IF(AND(K267&gt;0,E267=E267),1-K267/K267,"")</x:f>
        <x:v>0</x:v>
      </x:c>
      <x:c r="Z267" s="26" t="n">
        <x:f>IF(AND(ISNUMBER(P267),P267&gt;0,E267=E267),1-P267/P267,"")</x:f>
        <x:v>0</x:v>
      </x:c>
      <x:c r="AA267" s="26" t="n">
        <x:f>IF(AND(ISNUMBER(R267),ISNUMBER(R267),R267&gt;0,E267=E267),1-R267/R267,"")</x:f>
        <x:v>0</x:v>
      </x:c>
      <x:c r="AB267" s="26"/>
      <x:c r="AC267" s="19" t="str">
        <x:v>D:/Codex/GRL研究/outputs/grid89_review/per_date.csv</x:v>
      </x:c>
    </x:row>
    <x:row r="268" ht="36" customHeight="1">
      <x:c r="A268" s="19" t="str">
        <x:v>GRID89 换序</x:v>
      </x:c>
      <x:c r="B268" s="19" t="str">
        <x:v>2036-07-07_9</x:v>
      </x:c>
      <x:c r="C268" s="19" t="str">
        <x:v>FULL__RANDOM_11</x:v>
      </x:c>
      <x:c r="D268" s="21" t="n">
        <x:v>1</x:v>
      </x:c>
      <x:c r="E268" s="21" t="n">
        <x:v>2017</x:v>
      </x:c>
      <x:c r="F268" s="21" t="n">
        <x:v>1</x:v>
      </x:c>
      <x:c r="G268" s="21" t="n">
        <x:v>1</x:v>
      </x:c>
      <x:c r="H268" s="22" t="n">
        <x:v>1406653.906539917</x:v>
      </x:c>
      <x:c r="I268" s="23" t="n">
        <x:v>0</x:v>
      </x:c>
      <x:c r="J268" s="24" t="n">
        <x:v>9022</x:v>
      </x:c>
      <x:c r="K268" s="25" t="n">
        <x:v>64.6393285000122</x:v>
      </x:c>
      <x:c r="L268" s="25" t="n">
        <x:v>32.498155600107566</x:v>
      </x:c>
      <x:c r="M268" s="25" t="n">
        <x:v>26.02610999999888</x:v>
      </x:c>
      <x:c r="N268" s="25" t="n">
        <x:v>1.3575258000491885</x:v>
      </x:c>
      <x:c r="O268" s="25" t="n">
        <x:v>4.757537099856563</x:v>
      </x:c>
      <x:c r="P268" s="25" t="n">
        <x:v>0.03236443999994662</x:v>
      </x:c>
      <x:c r="Q268" s="25" t="n">
        <x:v>0.7376423000001523</x:v>
      </x:c>
      <x:c r="R268" s="25" t="n">
        <x:v>4.975531670000417</x:v>
      </x:c>
      <x:c r="S268" s="25" t="n">
        <x:v>5.640825134000115</x:v>
      </x:c>
      <x:c r="T268" s="25" t="n">
        <x:v>64.6393285000122</x:v>
      </x:c>
      <x:c r="U268" s="25" t="n">
        <x:v>64.6393285000122</x:v>
      </x:c>
      <x:c r="V268" s="25"/>
      <x:c r="W268" s="19" t="str">
        <x:v>FULL__RANDOM_11</x:v>
      </x:c>
      <x:c r="X268" s="26" t="n">
        <x:f>IF(AND(J268&gt;0,E268=E268),1-J268/J268,"")</x:f>
        <x:v>0</x:v>
      </x:c>
      <x:c r="Y268" s="26" t="n">
        <x:f>IF(AND(K268&gt;0,E268=E268),1-K268/K268,"")</x:f>
        <x:v>0</x:v>
      </x:c>
      <x:c r="Z268" s="26" t="n">
        <x:f>IF(AND(ISNUMBER(P268),P268&gt;0,E268=E268),1-P268/P268,"")</x:f>
        <x:v>0</x:v>
      </x:c>
      <x:c r="AA268" s="26" t="n">
        <x:f>IF(AND(ISNUMBER(R268),ISNUMBER(R268),R268&gt;0,E268=E268),1-R268/R268,"")</x:f>
        <x:v>0</x:v>
      </x:c>
      <x:c r="AB268" s="26"/>
      <x:c r="AC268" s="19" t="str">
        <x:v>D:/Codex/GRL研究/outputs/grid89_review/per_date.csv</x:v>
      </x:c>
    </x:row>
    <x:row r="269" ht="36" customHeight="1">
      <x:c r="A269" s="19" t="str">
        <x:v>GRID89 换序</x:v>
      </x:c>
      <x:c r="B269" s="19" t="str">
        <x:v>2036-09-01_9</x:v>
      </x:c>
      <x:c r="C269" s="19" t="str">
        <x:v>FULL__RANDOM_11</x:v>
      </x:c>
      <x:c r="D269" s="21" t="n">
        <x:v>1</x:v>
      </x:c>
      <x:c r="E269" s="21" t="n">
        <x:v>2017</x:v>
      </x:c>
      <x:c r="F269" s="21" t="n">
        <x:v>1</x:v>
      </x:c>
      <x:c r="G269" s="21" t="n">
        <x:v>1</x:v>
      </x:c>
      <x:c r="H269" s="22" t="n">
        <x:v>1392960.0296020508</x:v>
      </x:c>
      <x:c r="I269" s="23" t="n">
        <x:v>0</x:v>
      </x:c>
      <x:c r="J269" s="24" t="n">
        <x:v>3582</x:v>
      </x:c>
      <x:c r="K269" s="25" t="n">
        <x:v>47.64792940001644</x:v>
      </x:c>
      <x:c r="L269" s="25" t="n">
        <x:v>16.394025999969017</x:v>
      </x:c>
      <x:c r="M269" s="25" t="n">
        <x:v>26.006972699982725</x:v>
      </x:c>
      <x:c r="N269" s="25" t="n">
        <x:v>0.4627989000036905</x:v>
      </x:c>
      <x:c r="O269" s="25" t="n">
        <x:v>4.7841318000610045</x:v>
      </x:c>
      <x:c r="P269" s="25" t="n">
        <x:v>0.03023909999974421</x:v>
      </x:c>
      <x:c r="Q269" s="25" t="n">
        <x:v>0.7262218320004465</x:v>
      </x:c>
      <x:c r="R269" s="25" t="n">
        <x:v>2.925102719998904</x:v>
      </x:c>
      <x:c r="S269" s="25" t="n">
        <x:v>2.9631591839988687</x:v>
      </x:c>
      <x:c r="T269" s="25" t="n">
        <x:v>47.64792940001644</x:v>
      </x:c>
      <x:c r="U269" s="25" t="n">
        <x:v>47.64792940001644</x:v>
      </x:c>
      <x:c r="V269" s="25"/>
      <x:c r="W269" s="19" t="str">
        <x:v>FULL__RANDOM_11</x:v>
      </x:c>
      <x:c r="X269" s="26" t="n">
        <x:f>IF(AND(J269&gt;0,E269=E269),1-J269/J269,"")</x:f>
        <x:v>0</x:v>
      </x:c>
      <x:c r="Y269" s="26" t="n">
        <x:f>IF(AND(K269&gt;0,E269=E269),1-K269/K269,"")</x:f>
        <x:v>0</x:v>
      </x:c>
      <x:c r="Z269" s="26" t="n">
        <x:f>IF(AND(ISNUMBER(P269),P269&gt;0,E269=E269),1-P269/P269,"")</x:f>
        <x:v>0</x:v>
      </x:c>
      <x:c r="AA269" s="26" t="n">
        <x:f>IF(AND(ISNUMBER(R269),ISNUMBER(R269),R269&gt;0,E269=E269),1-R269/R269,"")</x:f>
        <x:v>0</x:v>
      </x:c>
      <x:c r="AB269" s="26"/>
      <x:c r="AC269" s="19" t="str">
        <x:v>D:/Codex/GRL研究/outputs/grid89_review/per_date.csv</x:v>
      </x:c>
    </x:row>
    <x:row r="270" ht="36" customHeight="1">
      <x:c r="A270" s="19" t="str">
        <x:v>GRID89 换序</x:v>
      </x:c>
      <x:c r="B270" s="19" t="str">
        <x:v>2036-11-03_9</x:v>
      </x:c>
      <x:c r="C270" s="19" t="str">
        <x:v>FULL__RANDOM_11</x:v>
      </x:c>
      <x:c r="D270" s="21" t="n">
        <x:v>1</x:v>
      </x:c>
      <x:c r="E270" s="21" t="n">
        <x:v>519</x:v>
      </x:c>
      <x:c r="F270" s="21" t="n">
        <x:v>1</x:v>
      </x:c>
      <x:c r="G270" s="21" t="n">
        <x:v>0</x:v>
      </x:c>
      <x:c r="H270" s="22" t="n">
        <x:v>361332.79052734375</x:v>
      </x:c>
      <x:c r="I270" s="23"/>
      <x:c r="J270" s="24" t="n">
        <x:v>0</x:v>
      </x:c>
      <x:c r="K270" s="25" t="n">
        <x:v>15.868999800000893</x:v>
      </x:c>
      <x:c r="L270" s="25" t="n">
        <x:v>2.0671963999557192</x:v>
      </x:c>
      <x:c r="M270" s="25" t="n">
        <x:v>12.803459800012206</x:v>
      </x:c>
      <x:c r="N270" s="25" t="n">
        <x:v>0</x:v>
      </x:c>
      <x:c r="O270" s="25" t="n">
        <x:v>0.9983436000329675</x:v>
      </x:c>
      <x:c r="P270" s="25" t="n">
        <x:v>0.03243575999840686</x:v>
      </x:c>
      <x:c r="Q270" s="25" t="n">
        <x:v>0.8827400920003191</x:v>
      </x:c>
      <x:c r="R270" s="25"/>
      <x:c r="S270" s="25"/>
      <x:c r="T270" s="25" t="n">
        <x:v>15.868999800000893</x:v>
      </x:c>
      <x:c r="U270" s="25" t="n">
        <x:v>15.868999800000893</x:v>
      </x:c>
      <x:c r="V270" s="25"/>
      <x:c r="W270" s="19" t="str">
        <x:v>FULL__RANDOM_11</x:v>
      </x:c>
      <x:c r="X270" s="26" t="str">
        <x:f>IF(AND(J270&gt;0,E270=E270),1-J270/J270,"")</x:f>
      </x:c>
      <x:c r="Y270" s="26" t="n">
        <x:f>IF(AND(K270&gt;0,E270=E270),1-K270/K270,"")</x:f>
        <x:v>0</x:v>
      </x:c>
      <x:c r="Z270" s="26" t="n">
        <x:f>IF(AND(ISNUMBER(P270),P270&gt;0,E270=E270),1-P270/P270,"")</x:f>
        <x:v>0</x:v>
      </x:c>
      <x:c r="AA270" s="26" t="str">
        <x:f>IF(AND(ISNUMBER(R270),ISNUMBER(R270),R270&gt;0,E270=E270),1-R270/R270,"")</x:f>
      </x:c>
      <x:c r="AB270" s="26"/>
      <x:c r="AC270" s="19" t="str">
        <x:v>D:/Codex/GRL研究/outputs/grid89_review/per_date.csv</x:v>
      </x:c>
    </x:row>
    <x:row r="271" ht="36" customHeight="1">
      <x:c r="A271" s="19" t="str">
        <x:v>GRID89 换序</x:v>
      </x:c>
      <x:c r="B271" s="19" t="str">
        <x:v>2036-01-07_9</x:v>
      </x:c>
      <x:c r="C271" s="19" t="str">
        <x:v>FULL__RANDOM_23</x:v>
      </x:c>
      <x:c r="D271" s="21" t="n">
        <x:v>1</x:v>
      </x:c>
      <x:c r="E271" s="21" t="n">
        <x:v>2017</x:v>
      </x:c>
      <x:c r="F271" s="21" t="n">
        <x:v>1</x:v>
      </x:c>
      <x:c r="G271" s="21" t="n">
        <x:v>1</x:v>
      </x:c>
      <x:c r="H271" s="22" t="n">
        <x:v>2410618.7305908203</x:v>
      </x:c>
      <x:c r="I271" s="23" t="n">
        <x:v>0</x:v>
      </x:c>
      <x:c r="J271" s="24" t="n">
        <x:v>5445</x:v>
      </x:c>
      <x:c r="K271" s="25" t="n">
        <x:v>89.94671520003612</x:v>
      </x:c>
      <x:c r="L271" s="25" t="n">
        <x:v>26.013502800287824</x:v>
      </x:c>
      <x:c r="M271" s="25" t="n">
        <x:v>58.33953759998258</x:v>
      </x:c>
      <x:c r="N271" s="25" t="n">
        <x:v>0.6565324000002875</x:v>
      </x:c>
      <x:c r="O271" s="25" t="n">
        <x:v>4.937142399765435</x:v>
      </x:c>
      <x:c r="P271" s="25" t="n">
        <x:v>0.03369112000073073</x:v>
      </x:c>
      <x:c r="Q271" s="25" t="n">
        <x:v>1.0398855879976963</x:v>
      </x:c>
      <x:c r="R271" s="25" t="n">
        <x:v>4.594044924998343</x:v>
      </x:c>
      <x:c r="S271" s="25" t="n">
        <x:v>4.814766504998443</x:v>
      </x:c>
      <x:c r="T271" s="25" t="n">
        <x:v>89.94671520003612</x:v>
      </x:c>
      <x:c r="U271" s="25" t="n">
        <x:v>89.94671520003612</x:v>
      </x:c>
      <x:c r="V271" s="25"/>
      <x:c r="W271" s="19" t="str">
        <x:v>FULL__RANDOM_23</x:v>
      </x:c>
      <x:c r="X271" s="26" t="n">
        <x:f>IF(AND(J271&gt;0,E271=E271),1-J271/J271,"")</x:f>
        <x:v>0</x:v>
      </x:c>
      <x:c r="Y271" s="26" t="n">
        <x:f>IF(AND(K271&gt;0,E271=E271),1-K271/K271,"")</x:f>
        <x:v>0</x:v>
      </x:c>
      <x:c r="Z271" s="26" t="n">
        <x:f>IF(AND(ISNUMBER(P271),P271&gt;0,E271=E271),1-P271/P271,"")</x:f>
        <x:v>0</x:v>
      </x:c>
      <x:c r="AA271" s="26" t="n">
        <x:f>IF(AND(ISNUMBER(R271),ISNUMBER(R271),R271&gt;0,E271=E271),1-R271/R271,"")</x:f>
        <x:v>0</x:v>
      </x:c>
      <x:c r="AB271" s="26"/>
      <x:c r="AC271" s="19" t="str">
        <x:v>D:/Codex/GRL研究/outputs/grid89_review/per_date.csv</x:v>
      </x:c>
    </x:row>
    <x:row r="272" ht="36" customHeight="1">
      <x:c r="A272" s="19" t="str">
        <x:v>GRID89 换序</x:v>
      </x:c>
      <x:c r="B272" s="19" t="str">
        <x:v>2036-03-03_9</x:v>
      </x:c>
      <x:c r="C272" s="19" t="str">
        <x:v>FULL__RANDOM_23</x:v>
      </x:c>
      <x:c r="D272" s="21" t="n">
        <x:v>1</x:v>
      </x:c>
      <x:c r="E272" s="21" t="n">
        <x:v>1720</x:v>
      </x:c>
      <x:c r="F272" s="21" t="n">
        <x:v>1</x:v>
      </x:c>
      <x:c r="G272" s="21" t="n">
        <x:v>0</x:v>
      </x:c>
      <x:c r="H272" s="22" t="n">
        <x:v>2300386.2553100586</x:v>
      </x:c>
      <x:c r="I272" s="23"/>
      <x:c r="J272" s="24" t="n">
        <x:v>8173</x:v>
      </x:c>
      <x:c r="K272" s="25" t="n">
        <x:v>82.69732609994753</x:v>
      </x:c>
      <x:c r="L272" s="25" t="n">
        <x:v>33.60609079985443</x:v>
      </x:c>
      <x:c r="M272" s="25" t="n">
        <x:v>42.821840999935375</x:v>
      </x:c>
      <x:c r="N272" s="25" t="n">
        <x:v>1.1617241000712966</x:v>
      </x:c>
      <x:c r="O272" s="25" t="n">
        <x:v>5.107670200086432</x:v>
      </x:c>
      <x:c r="P272" s="25" t="n">
        <x:v>0.03922373999921546</x:v>
      </x:c>
      <x:c r="Q272" s="25" t="n">
        <x:v>1.2049693049977905</x:v>
      </x:c>
      <x:c r="R272" s="25" t="n">
        <x:v>4.795274019998395</x:v>
      </x:c>
      <x:c r="S272" s="25" t="n">
        <x:v>5.343235203999284</x:v>
      </x:c>
      <x:c r="T272" s="25" t="n">
        <x:v>82.69732609994753</x:v>
      </x:c>
      <x:c r="U272" s="25" t="n">
        <x:v>82.69732609994753</x:v>
      </x:c>
      <x:c r="V272" s="25"/>
      <x:c r="W272" s="19" t="str">
        <x:v>FULL__RANDOM_23</x:v>
      </x:c>
      <x:c r="X272" s="26" t="n">
        <x:f>IF(AND(J272&gt;0,E272=E272),1-J272/J272,"")</x:f>
        <x:v>0</x:v>
      </x:c>
      <x:c r="Y272" s="26" t="n">
        <x:f>IF(AND(K272&gt;0,E272=E272),1-K272/K272,"")</x:f>
        <x:v>0</x:v>
      </x:c>
      <x:c r="Z272" s="26" t="n">
        <x:f>IF(AND(ISNUMBER(P272),P272&gt;0,E272=E272),1-P272/P272,"")</x:f>
        <x:v>0</x:v>
      </x:c>
      <x:c r="AA272" s="26" t="n">
        <x:f>IF(AND(ISNUMBER(R272),ISNUMBER(R272),R272&gt;0,E272=E272),1-R272/R272,"")</x:f>
        <x:v>0</x:v>
      </x:c>
      <x:c r="AB272" s="26"/>
      <x:c r="AC272" s="19" t="str">
        <x:v>D:/Codex/GRL研究/outputs/grid89_review/per_date.csv</x:v>
      </x:c>
    </x:row>
    <x:row r="273" ht="36" customHeight="1">
      <x:c r="A273" s="19" t="str">
        <x:v>GRID89 换序</x:v>
      </x:c>
      <x:c r="B273" s="19" t="str">
        <x:v>2036-05-05_9</x:v>
      </x:c>
      <x:c r="C273" s="19" t="str">
        <x:v>FULL__RANDOM_23</x:v>
      </x:c>
      <x:c r="D273" s="21" t="n">
        <x:v>1</x:v>
      </x:c>
      <x:c r="E273" s="21" t="n">
        <x:v>2017</x:v>
      </x:c>
      <x:c r="F273" s="21" t="n">
        <x:v>1</x:v>
      </x:c>
      <x:c r="G273" s="21" t="n">
        <x:v>1</x:v>
      </x:c>
      <x:c r="H273" s="22" t="n">
        <x:v>1779479.3731079102</x:v>
      </x:c>
      <x:c r="I273" s="23" t="n">
        <x:v>0</x:v>
      </x:c>
      <x:c r="J273" s="24" t="n">
        <x:v>2576</x:v>
      </x:c>
      <x:c r="K273" s="25" t="n">
        <x:v>50.7575246000124</x:v>
      </x:c>
      <x:c r="L273" s="25" t="n">
        <x:v>13.37409240015404</x:v>
      </x:c>
      <x:c r="M273" s="25" t="n">
        <x:v>32.42025880005167</x:v>
      </x:c>
      <x:c r="N273" s="25" t="n">
        <x:v>0.3343516000713862</x:v>
      </x:c>
      <x:c r="O273" s="25" t="n">
        <x:v>4.628821799735306</x:v>
      </x:c>
      <x:c r="P273" s="25" t="n">
        <x:v>0.033339520001027266</x:v>
      </x:c>
      <x:c r="Q273" s="25" t="n">
        <x:v>0.7304259280003315</x:v>
      </x:c>
      <x:c r="R273" s="25" t="n">
        <x:v>4.313927069999772</x:v>
      </x:c>
      <x:c r="S273" s="25" t="n">
        <x:v>4.414143413999845</x:v>
      </x:c>
      <x:c r="T273" s="25" t="n">
        <x:v>50.7575246000124</x:v>
      </x:c>
      <x:c r="U273" s="25" t="n">
        <x:v>50.7575246000124</x:v>
      </x:c>
      <x:c r="V273" s="25"/>
      <x:c r="W273" s="19" t="str">
        <x:v>FULL__RANDOM_23</x:v>
      </x:c>
      <x:c r="X273" s="26" t="n">
        <x:f>IF(AND(J273&gt;0,E273=E273),1-J273/J273,"")</x:f>
        <x:v>0</x:v>
      </x:c>
      <x:c r="Y273" s="26" t="n">
        <x:f>IF(AND(K273&gt;0,E273=E273),1-K273/K273,"")</x:f>
        <x:v>0</x:v>
      </x:c>
      <x:c r="Z273" s="26" t="n">
        <x:f>IF(AND(ISNUMBER(P273),P273&gt;0,E273=E273),1-P273/P273,"")</x:f>
        <x:v>0</x:v>
      </x:c>
      <x:c r="AA273" s="26" t="n">
        <x:f>IF(AND(ISNUMBER(R273),ISNUMBER(R273),R273&gt;0,E273=E273),1-R273/R273,"")</x:f>
        <x:v>0</x:v>
      </x:c>
      <x:c r="AB273" s="26"/>
      <x:c r="AC273" s="19" t="str">
        <x:v>D:/Codex/GRL研究/outputs/grid89_review/per_date.csv</x:v>
      </x:c>
    </x:row>
    <x:row r="274" ht="36" customHeight="1">
      <x:c r="A274" s="19" t="str">
        <x:v>GRID89 换序</x:v>
      </x:c>
      <x:c r="B274" s="19" t="str">
        <x:v>2036-07-07_9</x:v>
      </x:c>
      <x:c r="C274" s="19" t="str">
        <x:v>FULL__RANDOM_23</x:v>
      </x:c>
      <x:c r="D274" s="21" t="n">
        <x:v>1</x:v>
      </x:c>
      <x:c r="E274" s="21" t="n">
        <x:v>2017</x:v>
      </x:c>
      <x:c r="F274" s="21" t="n">
        <x:v>1</x:v>
      </x:c>
      <x:c r="G274" s="21" t="n">
        <x:v>1</x:v>
      </x:c>
      <x:c r="H274" s="22" t="n">
        <x:v>1406653.906539917</x:v>
      </x:c>
      <x:c r="I274" s="23" t="n">
        <x:v>0</x:v>
      </x:c>
      <x:c r="J274" s="24" t="n">
        <x:v>9022</x:v>
      </x:c>
      <x:c r="K274" s="25" t="n">
        <x:v>64.80630850002854</x:v>
      </x:c>
      <x:c r="L274" s="25" t="n">
        <x:v>32.713266200011276</x:v>
      </x:c>
      <x:c r="M274" s="25" t="n">
        <x:v>25.975116699970386</x:v>
      </x:c>
      <x:c r="N274" s="25" t="n">
        <x:v>1.321937600201636</x:v>
      </x:c>
      <x:c r="O274" s="25" t="n">
        <x:v>4.795987999845238</x:v>
      </x:c>
      <x:c r="P274" s="25" t="n">
        <x:v>0.032588439999381075</x:v>
      </x:c>
      <x:c r="Q274" s="25" t="n">
        <x:v>0.7350933560029075</x:v>
      </x:c>
      <x:c r="R274" s="25" t="n">
        <x:v>4.926897584998185</x:v>
      </x:c>
      <x:c r="S274" s="25" t="n">
        <x:v>5.592804236998018</x:v>
      </x:c>
      <x:c r="T274" s="25" t="n">
        <x:v>64.80630850002854</x:v>
      </x:c>
      <x:c r="U274" s="25" t="n">
        <x:v>64.80630850002854</x:v>
      </x:c>
      <x:c r="V274" s="25"/>
      <x:c r="W274" s="19" t="str">
        <x:v>FULL__RANDOM_23</x:v>
      </x:c>
      <x:c r="X274" s="26" t="n">
        <x:f>IF(AND(J274&gt;0,E274=E274),1-J274/J274,"")</x:f>
        <x:v>0</x:v>
      </x:c>
      <x:c r="Y274" s="26" t="n">
        <x:f>IF(AND(K274&gt;0,E274=E274),1-K274/K274,"")</x:f>
        <x:v>0</x:v>
      </x:c>
      <x:c r="Z274" s="26" t="n">
        <x:f>IF(AND(ISNUMBER(P274),P274&gt;0,E274=E274),1-P274/P274,"")</x:f>
        <x:v>0</x:v>
      </x:c>
      <x:c r="AA274" s="26" t="n">
        <x:f>IF(AND(ISNUMBER(R274),ISNUMBER(R274),R274&gt;0,E274=E274),1-R274/R274,"")</x:f>
        <x:v>0</x:v>
      </x:c>
      <x:c r="AB274" s="26"/>
      <x:c r="AC274" s="19" t="str">
        <x:v>D:/Codex/GRL研究/outputs/grid89_review/per_date.csv</x:v>
      </x:c>
    </x:row>
    <x:row r="275" ht="36" customHeight="1">
      <x:c r="A275" s="19" t="str">
        <x:v>GRID89 换序</x:v>
      </x:c>
      <x:c r="B275" s="19" t="str">
        <x:v>2036-09-01_9</x:v>
      </x:c>
      <x:c r="C275" s="19" t="str">
        <x:v>FULL__RANDOM_23</x:v>
      </x:c>
      <x:c r="D275" s="21" t="n">
        <x:v>1</x:v>
      </x:c>
      <x:c r="E275" s="21" t="n">
        <x:v>2017</x:v>
      </x:c>
      <x:c r="F275" s="21" t="n">
        <x:v>1</x:v>
      </x:c>
      <x:c r="G275" s="21" t="n">
        <x:v>1</x:v>
      </x:c>
      <x:c r="H275" s="22" t="n">
        <x:v>1392960.0296020508</x:v>
      </x:c>
      <x:c r="I275" s="23" t="n">
        <x:v>0</x:v>
      </x:c>
      <x:c r="J275" s="24" t="n">
        <x:v>3582</x:v>
      </x:c>
      <x:c r="K275" s="25" t="n">
        <x:v>47.67795339988879</x:v>
      </x:c>
      <x:c r="L275" s="25" t="n">
        <x:v>16.157373200105212</x:v>
      </x:c>
      <x:c r="M275" s="25" t="n">
        <x:v>26.015049499950692</x:v>
      </x:c>
      <x:c r="N275" s="25" t="n">
        <x:v>0.4702004999417113</x:v>
      </x:c>
      <x:c r="O275" s="25" t="n">
        <x:v>5.0353301998911775</x:v>
      </x:c>
      <x:c r="P275" s="25" t="n">
        <x:v>0.030490459997963616</x:v>
      </x:c>
      <x:c r="Q275" s="25" t="n">
        <x:v>0.7350157440011379</x:v>
      </x:c>
      <x:c r="R275" s="25" t="n">
        <x:v>2.8811615600010554</x:v>
      </x:c>
      <x:c r="S275" s="25" t="n">
        <x:v>2.9167955120011175</x:v>
      </x:c>
      <x:c r="T275" s="25" t="n">
        <x:v>47.67795339988879</x:v>
      </x:c>
      <x:c r="U275" s="25" t="n">
        <x:v>47.67795339988879</x:v>
      </x:c>
      <x:c r="V275" s="25"/>
      <x:c r="W275" s="19" t="str">
        <x:v>FULL__RANDOM_23</x:v>
      </x:c>
      <x:c r="X275" s="26" t="n">
        <x:f>IF(AND(J275&gt;0,E275=E275),1-J275/J275,"")</x:f>
        <x:v>0</x:v>
      </x:c>
      <x:c r="Y275" s="26" t="n">
        <x:f>IF(AND(K275&gt;0,E275=E275),1-K275/K275,"")</x:f>
        <x:v>0</x:v>
      </x:c>
      <x:c r="Z275" s="26" t="n">
        <x:f>IF(AND(ISNUMBER(P275),P275&gt;0,E275=E275),1-P275/P275,"")</x:f>
        <x:v>0</x:v>
      </x:c>
      <x:c r="AA275" s="26" t="n">
        <x:f>IF(AND(ISNUMBER(R275),ISNUMBER(R275),R275&gt;0,E275=E275),1-R275/R275,"")</x:f>
        <x:v>0</x:v>
      </x:c>
      <x:c r="AB275" s="26"/>
      <x:c r="AC275" s="19" t="str">
        <x:v>D:/Codex/GRL研究/outputs/grid89_review/per_date.csv</x:v>
      </x:c>
    </x:row>
    <x:row r="276" ht="36" customHeight="1">
      <x:c r="A276" s="19" t="str">
        <x:v>GRID89 换序</x:v>
      </x:c>
      <x:c r="B276" s="19" t="str">
        <x:v>2036-11-03_9</x:v>
      </x:c>
      <x:c r="C276" s="19" t="str">
        <x:v>FULL__RANDOM_23</x:v>
      </x:c>
      <x:c r="D276" s="21" t="n">
        <x:v>1</x:v>
      </x:c>
      <x:c r="E276" s="21" t="n">
        <x:v>519</x:v>
      </x:c>
      <x:c r="F276" s="21" t="n">
        <x:v>1</x:v>
      </x:c>
      <x:c r="G276" s="21" t="n">
        <x:v>0</x:v>
      </x:c>
      <x:c r="H276" s="22" t="n">
        <x:v>361332.79052734375</x:v>
      </x:c>
      <x:c r="I276" s="23"/>
      <x:c r="J276" s="24" t="n">
        <x:v>0</x:v>
      </x:c>
      <x:c r="K276" s="25" t="n">
        <x:v>15.715336199962621</x:v>
      </x:c>
      <x:c r="L276" s="25" t="n">
        <x:v>1.9809344000423152</x:v>
      </x:c>
      <x:c r="M276" s="25" t="n">
        <x:v>12.789975699994102</x:v>
      </x:c>
      <x:c r="N276" s="25" t="n">
        <x:v>0</x:v>
      </x:c>
      <x:c r="O276" s="25" t="n">
        <x:v>0.9444260999262042</x:v>
      </x:c>
      <x:c r="P276" s="25" t="n">
        <x:v>0.029084880000300465</x:v>
      </x:c>
      <x:c r="Q276" s="25" t="n">
        <x:v>0.8837395659983368</x:v>
      </x:c>
      <x:c r="R276" s="25"/>
      <x:c r="S276" s="25"/>
      <x:c r="T276" s="25" t="n">
        <x:v>15.715336199962621</x:v>
      </x:c>
      <x:c r="U276" s="25" t="n">
        <x:v>15.715336199962621</x:v>
      </x:c>
      <x:c r="V276" s="25"/>
      <x:c r="W276" s="19" t="str">
        <x:v>FULL__RANDOM_23</x:v>
      </x:c>
      <x:c r="X276" s="26" t="str">
        <x:f>IF(AND(J276&gt;0,E276=E276),1-J276/J276,"")</x:f>
      </x:c>
      <x:c r="Y276" s="26" t="n">
        <x:f>IF(AND(K276&gt;0,E276=E276),1-K276/K276,"")</x:f>
        <x:v>0</x:v>
      </x:c>
      <x:c r="Z276" s="26" t="n">
        <x:f>IF(AND(ISNUMBER(P276),P276&gt;0,E276=E276),1-P276/P276,"")</x:f>
        <x:v>0</x:v>
      </x:c>
      <x:c r="AA276" s="26" t="str">
        <x:f>IF(AND(ISNUMBER(R276),ISNUMBER(R276),R276&gt;0,E276=E276),1-R276/R276,"")</x:f>
      </x:c>
      <x:c r="AB276" s="26"/>
      <x:c r="AC276" s="19" t="str">
        <x:v>D:/Codex/GRL研究/outputs/grid89_review/per_date.csv</x:v>
      </x:c>
    </x:row>
    <x:row r="277" ht="36" customHeight="1">
      <x:c r="A277" s="19" t="str">
        <x:v>GRID89 换序</x:v>
      </x:c>
      <x:c r="B277" s="19" t="str">
        <x:v>2036-01-07_9</x:v>
      </x:c>
      <x:c r="C277" s="19" t="str">
        <x:v>FULL__RANDOM_37</x:v>
      </x:c>
      <x:c r="D277" s="21" t="n">
        <x:v>1</x:v>
      </x:c>
      <x:c r="E277" s="21" t="n">
        <x:v>2017</x:v>
      </x:c>
      <x:c r="F277" s="21" t="n">
        <x:v>1</x:v>
      </x:c>
      <x:c r="G277" s="21" t="n">
        <x:v>1</x:v>
      </x:c>
      <x:c r="H277" s="22" t="n">
        <x:v>2410618.7305908203</x:v>
      </x:c>
      <x:c r="I277" s="23" t="n">
        <x:v>0</x:v>
      </x:c>
      <x:c r="J277" s="24" t="n">
        <x:v>5445</x:v>
      </x:c>
      <x:c r="K277" s="25" t="n">
        <x:v>92.07988679991104</x:v>
      </x:c>
      <x:c r="L277" s="25" t="n">
        <x:v>26.402507699847774</x:v>
      </x:c>
      <x:c r="M277" s="25" t="n">
        <x:v>59.944297900015954</x:v>
      </x:c>
      <x:c r="N277" s="25" t="n">
        <x:v>0.6993223999415932</x:v>
      </x:c>
      <x:c r="O277" s="25" t="n">
        <x:v>5.033758800105716</x:v>
      </x:c>
      <x:c r="P277" s="25" t="n">
        <x:v>0.03475982000090879</x:v>
      </x:c>
      <x:c r="Q277" s="25" t="n">
        <x:v>0.9745513839987648</x:v>
      </x:c>
      <x:c r="R277" s="25" t="n">
        <x:v>4.681390050001028</x:v>
      </x:c>
      <x:c r="S277" s="25" t="n">
        <x:v>4.82448409000117</x:v>
      </x:c>
      <x:c r="T277" s="25" t="n">
        <x:v>92.07988679991104</x:v>
      </x:c>
      <x:c r="U277" s="25" t="n">
        <x:v>92.07988679991104</x:v>
      </x:c>
      <x:c r="V277" s="25"/>
      <x:c r="W277" s="19" t="str">
        <x:v>FULL__RANDOM_37</x:v>
      </x:c>
      <x:c r="X277" s="26" t="n">
        <x:f>IF(AND(J277&gt;0,E277=E277),1-J277/J277,"")</x:f>
        <x:v>0</x:v>
      </x:c>
      <x:c r="Y277" s="26" t="n">
        <x:f>IF(AND(K277&gt;0,E277=E277),1-K277/K277,"")</x:f>
        <x:v>0</x:v>
      </x:c>
      <x:c r="Z277" s="26" t="n">
        <x:f>IF(AND(ISNUMBER(P277),P277&gt;0,E277=E277),1-P277/P277,"")</x:f>
        <x:v>0</x:v>
      </x:c>
      <x:c r="AA277" s="26" t="n">
        <x:f>IF(AND(ISNUMBER(R277),ISNUMBER(R277),R277&gt;0,E277=E277),1-R277/R277,"")</x:f>
        <x:v>0</x:v>
      </x:c>
      <x:c r="AB277" s="26"/>
      <x:c r="AC277" s="19" t="str">
        <x:v>D:/Codex/GRL研究/outputs/grid89_review/per_date.csv</x:v>
      </x:c>
    </x:row>
    <x:row r="278" ht="36" customHeight="1">
      <x:c r="A278" s="19" t="str">
        <x:v>GRID89 换序</x:v>
      </x:c>
      <x:c r="B278" s="19" t="str">
        <x:v>2036-03-03_9</x:v>
      </x:c>
      <x:c r="C278" s="19" t="str">
        <x:v>FULL__RANDOM_37</x:v>
      </x:c>
      <x:c r="D278" s="21" t="n">
        <x:v>1</x:v>
      </x:c>
      <x:c r="E278" s="21" t="n">
        <x:v>1720</x:v>
      </x:c>
      <x:c r="F278" s="21" t="n">
        <x:v>1</x:v>
      </x:c>
      <x:c r="G278" s="21" t="n">
        <x:v>0</x:v>
      </x:c>
      <x:c r="H278" s="22" t="n">
        <x:v>2300386.2553100586</x:v>
      </x:c>
      <x:c r="I278" s="23"/>
      <x:c r="J278" s="24" t="n">
        <x:v>8173</x:v>
      </x:c>
      <x:c r="K278" s="25" t="n">
        <x:v>83.08993399996689</x:v>
      </x:c>
      <x:c r="L278" s="25" t="n">
        <x:v>33.15220549978039</x:v>
      </x:c>
      <x:c r="M278" s="25" t="n">
        <x:v>43.41729590001705</x:v>
      </x:c>
      <x:c r="N278" s="25" t="n">
        <x:v>1.4261093000968685</x:v>
      </x:c>
      <x:c r="O278" s="25" t="n">
        <x:v>5.094323300072574</x:v>
      </x:c>
      <x:c r="P278" s="25" t="n">
        <x:v>0.037885710001501136</x:v>
      </x:c>
      <x:c r="Q278" s="25" t="n">
        <x:v>1.1914945140025854</x:v>
      </x:c>
      <x:c r="R278" s="25" t="n">
        <x:v>4.735134895000191</x:v>
      </x:c>
      <x:c r="S278" s="25" t="n">
        <x:v>5.275230258999473</x:v>
      </x:c>
      <x:c r="T278" s="25" t="n">
        <x:v>83.08993399996689</x:v>
      </x:c>
      <x:c r="U278" s="25" t="n">
        <x:v>83.08993399996689</x:v>
      </x:c>
      <x:c r="V278" s="25"/>
      <x:c r="W278" s="19" t="str">
        <x:v>FULL__RANDOM_37</x:v>
      </x:c>
      <x:c r="X278" s="26" t="n">
        <x:f>IF(AND(J278&gt;0,E278=E278),1-J278/J278,"")</x:f>
        <x:v>0</x:v>
      </x:c>
      <x:c r="Y278" s="26" t="n">
        <x:f>IF(AND(K278&gt;0,E278=E278),1-K278/K278,"")</x:f>
        <x:v>0</x:v>
      </x:c>
      <x:c r="Z278" s="26" t="n">
        <x:f>IF(AND(ISNUMBER(P278),P278&gt;0,E278=E278),1-P278/P278,"")</x:f>
        <x:v>0</x:v>
      </x:c>
      <x:c r="AA278" s="26" t="n">
        <x:f>IF(AND(ISNUMBER(R278),ISNUMBER(R278),R278&gt;0,E278=E278),1-R278/R278,"")</x:f>
        <x:v>0</x:v>
      </x:c>
      <x:c r="AB278" s="26"/>
      <x:c r="AC278" s="19" t="str">
        <x:v>D:/Codex/GRL研究/outputs/grid89_review/per_date.csv</x:v>
      </x:c>
    </x:row>
    <x:row r="279" ht="36" customHeight="1">
      <x:c r="A279" s="19" t="str">
        <x:v>GRID89 换序</x:v>
      </x:c>
      <x:c r="B279" s="19" t="str">
        <x:v>2036-05-05_9</x:v>
      </x:c>
      <x:c r="C279" s="19" t="str">
        <x:v>FULL__RANDOM_37</x:v>
      </x:c>
      <x:c r="D279" s="21" t="n">
        <x:v>1</x:v>
      </x:c>
      <x:c r="E279" s="21" t="n">
        <x:v>2017</x:v>
      </x:c>
      <x:c r="F279" s="21" t="n">
        <x:v>1</x:v>
      </x:c>
      <x:c r="G279" s="21" t="n">
        <x:v>1</x:v>
      </x:c>
      <x:c r="H279" s="22" t="n">
        <x:v>1779479.3731079102</x:v>
      </x:c>
      <x:c r="I279" s="23" t="n">
        <x:v>0</x:v>
      </x:c>
      <x:c r="J279" s="24" t="n">
        <x:v>2576</x:v>
      </x:c>
      <x:c r="K279" s="25" t="n">
        <x:v>50.54278379994139</x:v>
      </x:c>
      <x:c r="L279" s="25" t="n">
        <x:v>13.22638980008196</x:v>
      </x:c>
      <x:c r="M279" s="25" t="n">
        <x:v>32.4287324000361</x:v>
      </x:c>
      <x:c r="N279" s="25" t="n">
        <x:v>0.3419032999663614</x:v>
      </x:c>
      <x:c r="O279" s="25" t="n">
        <x:v>4.5457582998569706</x:v>
      </x:c>
      <x:c r="P279" s="25" t="n">
        <x:v>0.03306027999860816</x:v>
      </x:c>
      <x:c r="Q279" s="25" t="n">
        <x:v>0.7180896399970516</x:v>
      </x:c>
      <x:c r="R279" s="25" t="n">
        <x:v>4.264713559998927</x:v>
      </x:c>
      <x:c r="S279" s="25" t="n">
        <x:v>4.368942951999052</x:v>
      </x:c>
      <x:c r="T279" s="25" t="n">
        <x:v>50.54278379994139</x:v>
      </x:c>
      <x:c r="U279" s="25" t="n">
        <x:v>50.54278379994139</x:v>
      </x:c>
      <x:c r="V279" s="25"/>
      <x:c r="W279" s="19" t="str">
        <x:v>FULL__RANDOM_37</x:v>
      </x:c>
      <x:c r="X279" s="26" t="n">
        <x:f>IF(AND(J279&gt;0,E279=E279),1-J279/J279,"")</x:f>
        <x:v>0</x:v>
      </x:c>
      <x:c r="Y279" s="26" t="n">
        <x:f>IF(AND(K279&gt;0,E279=E279),1-K279/K279,"")</x:f>
        <x:v>0</x:v>
      </x:c>
      <x:c r="Z279" s="26" t="n">
        <x:f>IF(AND(ISNUMBER(P279),P279&gt;0,E279=E279),1-P279/P279,"")</x:f>
        <x:v>0</x:v>
      </x:c>
      <x:c r="AA279" s="26" t="n">
        <x:f>IF(AND(ISNUMBER(R279),ISNUMBER(R279),R279&gt;0,E279=E279),1-R279/R279,"")</x:f>
        <x:v>0</x:v>
      </x:c>
      <x:c r="AB279" s="26"/>
      <x:c r="AC279" s="19" t="str">
        <x:v>D:/Codex/GRL研究/outputs/grid89_review/per_date.csv</x:v>
      </x:c>
    </x:row>
    <x:row r="280" ht="36" customHeight="1">
      <x:c r="A280" s="19" t="str">
        <x:v>GRID89 换序</x:v>
      </x:c>
      <x:c r="B280" s="19" t="str">
        <x:v>2036-07-07_9</x:v>
      </x:c>
      <x:c r="C280" s="19" t="str">
        <x:v>FULL__RANDOM_37</x:v>
      </x:c>
      <x:c r="D280" s="21" t="n">
        <x:v>1</x:v>
      </x:c>
      <x:c r="E280" s="21" t="n">
        <x:v>2017</x:v>
      </x:c>
      <x:c r="F280" s="21" t="n">
        <x:v>1</x:v>
      </x:c>
      <x:c r="G280" s="21" t="n">
        <x:v>1</x:v>
      </x:c>
      <x:c r="H280" s="22" t="n">
        <x:v>1406653.906539917</x:v>
      </x:c>
      <x:c r="I280" s="23" t="n">
        <x:v>0</x:v>
      </x:c>
      <x:c r="J280" s="24" t="n">
        <x:v>9022</x:v>
      </x:c>
      <x:c r="K280" s="25" t="n">
        <x:v>64.46803560000262</x:v>
      </x:c>
      <x:c r="L280" s="25" t="n">
        <x:v>32.229321700087894</x:v>
      </x:c>
      <x:c r="M280" s="25" t="n">
        <x:v>26.132890399971075</x:v>
      </x:c>
      <x:c r="N280" s="25" t="n">
        <x:v>1.3486409002071014</x:v>
      </x:c>
      <x:c r="O280" s="25" t="n">
        <x:v>4.757182599736552</x:v>
      </x:c>
      <x:c r="P280" s="25" t="n">
        <x:v>0.03250788000004831</x:v>
      </x:c>
      <x:c r="Q280" s="25" t="n">
        <x:v>0.7350936200024443</x:v>
      </x:c>
      <x:c r="R280" s="25" t="n">
        <x:v>4.909262134998969</x:v>
      </x:c>
      <x:c r="S280" s="25" t="n">
        <x:v>5.581549066997796</x:v>
      </x:c>
      <x:c r="T280" s="25" t="n">
        <x:v>64.46803560000262</x:v>
      </x:c>
      <x:c r="U280" s="25" t="n">
        <x:v>64.46803560000262</x:v>
      </x:c>
      <x:c r="V280" s="25"/>
      <x:c r="W280" s="19" t="str">
        <x:v>FULL__RANDOM_37</x:v>
      </x:c>
      <x:c r="X280" s="26" t="n">
        <x:f>IF(AND(J280&gt;0,E280=E280),1-J280/J280,"")</x:f>
        <x:v>0</x:v>
      </x:c>
      <x:c r="Y280" s="26" t="n">
        <x:f>IF(AND(K280&gt;0,E280=E280),1-K280/K280,"")</x:f>
        <x:v>0</x:v>
      </x:c>
      <x:c r="Z280" s="26" t="n">
        <x:f>IF(AND(ISNUMBER(P280),P280&gt;0,E280=E280),1-P280/P280,"")</x:f>
        <x:v>0</x:v>
      </x:c>
      <x:c r="AA280" s="26" t="n">
        <x:f>IF(AND(ISNUMBER(R280),ISNUMBER(R280),R280&gt;0,E280=E280),1-R280/R280,"")</x:f>
        <x:v>0</x:v>
      </x:c>
      <x:c r="AB280" s="26"/>
      <x:c r="AC280" s="19" t="str">
        <x:v>D:/Codex/GRL研究/outputs/grid89_review/per_date.csv</x:v>
      </x:c>
    </x:row>
    <x:row r="281" ht="36" customHeight="1">
      <x:c r="A281" s="19" t="str">
        <x:v>GRID89 换序</x:v>
      </x:c>
      <x:c r="B281" s="19" t="str">
        <x:v>2036-09-01_9</x:v>
      </x:c>
      <x:c r="C281" s="19" t="str">
        <x:v>FULL__RANDOM_37</x:v>
      </x:c>
      <x:c r="D281" s="21" t="n">
        <x:v>1</x:v>
      </x:c>
      <x:c r="E281" s="21" t="n">
        <x:v>2017</x:v>
      </x:c>
      <x:c r="F281" s="21" t="n">
        <x:v>1</x:v>
      </x:c>
      <x:c r="G281" s="21" t="n">
        <x:v>1</x:v>
      </x:c>
      <x:c r="H281" s="22" t="n">
        <x:v>1392960.0296020508</x:v>
      </x:c>
      <x:c r="I281" s="23" t="n">
        <x:v>0</x:v>
      </x:c>
      <x:c r="J281" s="24" t="n">
        <x:v>3582</x:v>
      </x:c>
      <x:c r="K281" s="25" t="n">
        <x:v>48.0335513999089</x:v>
      </x:c>
      <x:c r="L281" s="25" t="n">
        <x:v>16.406528400144452</x:v>
      </x:c>
      <x:c r="M281" s="25" t="n">
        <x:v>26.049726699984603</x:v>
      </x:c>
      <x:c r="N281" s="25" t="n">
        <x:v>0.47875569996540435</x:v>
      </x:c>
      <x:c r="O281" s="25" t="n">
        <x:v>5.0985405998144415</x:v>
      </x:c>
      <x:c r="P281" s="25" t="n">
        <x:v>0.031096279999474053</x:v>
      </x:c>
      <x:c r="Q281" s="25" t="n">
        <x:v>0.7361199040010978</x:v>
      </x:c>
      <x:c r="R281" s="25" t="n">
        <x:v>2.9563369099994814</x:v>
      </x:c>
      <x:c r="S281" s="25" t="n">
        <x:v>2.985077701999362</x:v>
      </x:c>
      <x:c r="T281" s="25" t="n">
        <x:v>48.0335513999089</x:v>
      </x:c>
      <x:c r="U281" s="25" t="n">
        <x:v>48.0335513999089</x:v>
      </x:c>
      <x:c r="V281" s="25"/>
      <x:c r="W281" s="19" t="str">
        <x:v>FULL__RANDOM_37</x:v>
      </x:c>
      <x:c r="X281" s="26" t="n">
        <x:f>IF(AND(J281&gt;0,E281=E281),1-J281/J281,"")</x:f>
        <x:v>0</x:v>
      </x:c>
      <x:c r="Y281" s="26" t="n">
        <x:f>IF(AND(K281&gt;0,E281=E281),1-K281/K281,"")</x:f>
        <x:v>0</x:v>
      </x:c>
      <x:c r="Z281" s="26" t="n">
        <x:f>IF(AND(ISNUMBER(P281),P281&gt;0,E281=E281),1-P281/P281,"")</x:f>
        <x:v>0</x:v>
      </x:c>
      <x:c r="AA281" s="26" t="n">
        <x:f>IF(AND(ISNUMBER(R281),ISNUMBER(R281),R281&gt;0,E281=E281),1-R281/R281,"")</x:f>
        <x:v>0</x:v>
      </x:c>
      <x:c r="AB281" s="26"/>
      <x:c r="AC281" s="19" t="str">
        <x:v>D:/Codex/GRL研究/outputs/grid89_review/per_date.csv</x:v>
      </x:c>
    </x:row>
    <x:row r="282" ht="36" customHeight="1">
      <x:c r="A282" s="19" t="str">
        <x:v>GRID89 换序</x:v>
      </x:c>
      <x:c r="B282" s="19" t="str">
        <x:v>2036-11-03_9</x:v>
      </x:c>
      <x:c r="C282" s="19" t="str">
        <x:v>FULL__RANDOM_37</x:v>
      </x:c>
      <x:c r="D282" s="21" t="n">
        <x:v>1</x:v>
      </x:c>
      <x:c r="E282" s="21" t="n">
        <x:v>519</x:v>
      </x:c>
      <x:c r="F282" s="21" t="n">
        <x:v>1</x:v>
      </x:c>
      <x:c r="G282" s="21" t="n">
        <x:v>0</x:v>
      </x:c>
      <x:c r="H282" s="22" t="n">
        <x:v>361332.79052734375</x:v>
      </x:c>
      <x:c r="I282" s="23"/>
      <x:c r="J282" s="24" t="n">
        <x:v>0</x:v>
      </x:c>
      <x:c r="K282" s="25" t="n">
        <x:v>15.899271600002976</x:v>
      </x:c>
      <x:c r="L282" s="25" t="n">
        <x:v>2.0487838999470114</x:v>
      </x:c>
      <x:c r="M282" s="25" t="n">
        <x:v>12.88409660000616</x:v>
      </x:c>
      <x:c r="N282" s="25" t="n">
        <x:v>0</x:v>
      </x:c>
      <x:c r="O282" s="25" t="n">
        <x:v>0.9663911000498047</x:v>
      </x:c>
      <x:c r="P282" s="25" t="n">
        <x:v>0.030195010000534227</x:v>
      </x:c>
      <x:c r="Q282" s="25" t="n">
        <x:v>0.8744143120016853</x:v>
      </x:c>
      <x:c r="R282" s="25"/>
      <x:c r="S282" s="25"/>
      <x:c r="T282" s="25" t="n">
        <x:v>15.899271600002976</x:v>
      </x:c>
      <x:c r="U282" s="25" t="n">
        <x:v>15.899271600002976</x:v>
      </x:c>
      <x:c r="V282" s="25"/>
      <x:c r="W282" s="19" t="str">
        <x:v>FULL__RANDOM_37</x:v>
      </x:c>
      <x:c r="X282" s="26" t="str">
        <x:f>IF(AND(J282&gt;0,E282=E282),1-J282/J282,"")</x:f>
      </x:c>
      <x:c r="Y282" s="26" t="n">
        <x:f>IF(AND(K282&gt;0,E282=E282),1-K282/K282,"")</x:f>
        <x:v>0</x:v>
      </x:c>
      <x:c r="Z282" s="26" t="n">
        <x:f>IF(AND(ISNUMBER(P282),P282&gt;0,E282=E282),1-P282/P282,"")</x:f>
        <x:v>0</x:v>
      </x:c>
      <x:c r="AA282" s="26" t="str">
        <x:f>IF(AND(ISNUMBER(R282),ISNUMBER(R282),R282&gt;0,E282=E282),1-R282/R282,"")</x:f>
      </x:c>
      <x:c r="AB282" s="26"/>
      <x:c r="AC282" s="19" t="str">
        <x:v>D:/Codex/GRL研究/outputs/grid89_review/per_date.csv</x:v>
      </x:c>
    </x:row>
    <x:row r="283" ht="36" customHeight="1">
      <x:c r="A283" s="19" t="str">
        <x:v>GRID89 换序</x:v>
      </x:c>
      <x:c r="B283" s="19" t="str">
        <x:v>2036-01-07_9</x:v>
      </x:c>
      <x:c r="C283" s="19" t="str">
        <x:v>FULL__STATIC_ID</x:v>
      </x:c>
      <x:c r="D283" s="21" t="n">
        <x:v>1</x:v>
      </x:c>
      <x:c r="E283" s="21" t="n">
        <x:v>2017</x:v>
      </x:c>
      <x:c r="F283" s="21" t="n">
        <x:v>1</x:v>
      </x:c>
      <x:c r="G283" s="21" t="n">
        <x:v>1</x:v>
      </x:c>
      <x:c r="H283" s="22" t="n">
        <x:v>2410618.7305908203</x:v>
      </x:c>
      <x:c r="I283" s="23" t="n">
        <x:v>0</x:v>
      </x:c>
      <x:c r="J283" s="24" t="n">
        <x:v>5445</x:v>
      </x:c>
      <x:c r="K283" s="25" t="n">
        <x:v>89.23732409996956</x:v>
      </x:c>
      <x:c r="L283" s="25" t="n">
        <x:v>24.873985100097343</x:v>
      </x:c>
      <x:c r="M283" s="25" t="n">
        <x:v>58.22126320003008</x:v>
      </x:c>
      <x:c r="N283" s="25" t="n">
        <x:v>0.6573473001626553</x:v>
      </x:c>
      <x:c r="O283" s="25" t="n">
        <x:v>5.484728499679477</x:v>
      </x:c>
      <x:c r="P283" s="25" t="n">
        <x:v>0.03330877999978838</x:v>
      </x:c>
      <x:c r="Q283" s="25" t="n">
        <x:v>0.9115841800007816</x:v>
      </x:c>
      <x:c r="R283" s="25" t="n">
        <x:v>4.620710675000737</x:v>
      </x:c>
      <x:c r="S283" s="25" t="n">
        <x:v>4.837832855001034</x:v>
      </x:c>
      <x:c r="T283" s="25" t="n">
        <x:v>89.23732409996956</x:v>
      </x:c>
      <x:c r="U283" s="25" t="n">
        <x:v>89.23732409996956</x:v>
      </x:c>
      <x:c r="V283" s="25"/>
      <x:c r="W283" s="19" t="str">
        <x:v>FULL__STATIC_ID</x:v>
      </x:c>
      <x:c r="X283" s="26" t="n">
        <x:f>IF(AND(J283&gt;0,E283=E283),1-J283/J283,"")</x:f>
        <x:v>0</x:v>
      </x:c>
      <x:c r="Y283" s="26" t="n">
        <x:f>IF(AND(K283&gt;0,E283=E283),1-K283/K283,"")</x:f>
        <x:v>0</x:v>
      </x:c>
      <x:c r="Z283" s="26" t="n">
        <x:f>IF(AND(ISNUMBER(P283),P283&gt;0,E283=E283),1-P283/P283,"")</x:f>
        <x:v>0</x:v>
      </x:c>
      <x:c r="AA283" s="26" t="n">
        <x:f>IF(AND(ISNUMBER(R283),ISNUMBER(R283),R283&gt;0,E283=E283),1-R283/R283,"")</x:f>
        <x:v>0</x:v>
      </x:c>
      <x:c r="AB283" s="26"/>
      <x:c r="AC283" s="19" t="str">
        <x:v>D:/Codex/GRL研究/outputs/grid89_review/per_date.csv</x:v>
      </x:c>
    </x:row>
    <x:row r="284" ht="36" customHeight="1">
      <x:c r="A284" s="19" t="str">
        <x:v>GRID89 换序</x:v>
      </x:c>
      <x:c r="B284" s="19" t="str">
        <x:v>2036-03-03_9</x:v>
      </x:c>
      <x:c r="C284" s="19" t="str">
        <x:v>FULL__STATIC_ID</x:v>
      </x:c>
      <x:c r="D284" s="21" t="n">
        <x:v>1</x:v>
      </x:c>
      <x:c r="E284" s="21" t="n">
        <x:v>1720</x:v>
      </x:c>
      <x:c r="F284" s="21" t="n">
        <x:v>1</x:v>
      </x:c>
      <x:c r="G284" s="21" t="n">
        <x:v>0</x:v>
      </x:c>
      <x:c r="H284" s="22" t="n">
        <x:v>2300386.2553100586</x:v>
      </x:c>
      <x:c r="I284" s="23"/>
      <x:c r="J284" s="24" t="n">
        <x:v>8173</x:v>
      </x:c>
      <x:c r="K284" s="25" t="n">
        <x:v>81.26455739996527</x:v>
      </x:c>
      <x:c r="L284" s="25" t="n">
        <x:v>32.7972083998211</x:v>
      </x:c>
      <x:c r="M284" s="25" t="n">
        <x:v>42.480260199979966</x:v>
      </x:c>
      <x:c r="N284" s="25" t="n">
        <x:v>1.043207899965637</x:v>
      </x:c>
      <x:c r="O284" s="25" t="n">
        <x:v>4.943880900198565</x:v>
      </x:c>
      <x:c r="P284" s="25" t="n">
        <x:v>0.0367343649993927</x:v>
      </x:c>
      <x:c r="Q284" s="25" t="n">
        <x:v>1.1702436480005742</x:v>
      </x:c>
      <x:c r="R284" s="25" t="n">
        <x:v>4.701302094999117</x:v>
      </x:c>
      <x:c r="S284" s="25" t="n">
        <x:v>5.261802979000495</x:v>
      </x:c>
      <x:c r="T284" s="25" t="n">
        <x:v>81.26455739996527</x:v>
      </x:c>
      <x:c r="U284" s="25" t="n">
        <x:v>81.26455739996527</x:v>
      </x:c>
      <x:c r="V284" s="25"/>
      <x:c r="W284" s="19" t="str">
        <x:v>FULL__STATIC_ID</x:v>
      </x:c>
      <x:c r="X284" s="26" t="n">
        <x:f>IF(AND(J284&gt;0,E284=E284),1-J284/J284,"")</x:f>
        <x:v>0</x:v>
      </x:c>
      <x:c r="Y284" s="26" t="n">
        <x:f>IF(AND(K284&gt;0,E284=E284),1-K284/K284,"")</x:f>
        <x:v>0</x:v>
      </x:c>
      <x:c r="Z284" s="26" t="n">
        <x:f>IF(AND(ISNUMBER(P284),P284&gt;0,E284=E284),1-P284/P284,"")</x:f>
        <x:v>0</x:v>
      </x:c>
      <x:c r="AA284" s="26" t="n">
        <x:f>IF(AND(ISNUMBER(R284),ISNUMBER(R284),R284&gt;0,E284=E284),1-R284/R284,"")</x:f>
        <x:v>0</x:v>
      </x:c>
      <x:c r="AB284" s="26"/>
      <x:c r="AC284" s="19" t="str">
        <x:v>D:/Codex/GRL研究/outputs/grid89_review/per_date.csv</x:v>
      </x:c>
    </x:row>
    <x:row r="285" ht="36" customHeight="1">
      <x:c r="A285" s="19" t="str">
        <x:v>GRID89 换序</x:v>
      </x:c>
      <x:c r="B285" s="19" t="str">
        <x:v>2036-05-05_9</x:v>
      </x:c>
      <x:c r="C285" s="19" t="str">
        <x:v>FULL__STATIC_ID</x:v>
      </x:c>
      <x:c r="D285" s="21" t="n">
        <x:v>1</x:v>
      </x:c>
      <x:c r="E285" s="21" t="n">
        <x:v>2017</x:v>
      </x:c>
      <x:c r="F285" s="21" t="n">
        <x:v>1</x:v>
      </x:c>
      <x:c r="G285" s="21" t="n">
        <x:v>1</x:v>
      </x:c>
      <x:c r="H285" s="22" t="n">
        <x:v>1779479.3731079102</x:v>
      </x:c>
      <x:c r="I285" s="23" t="n">
        <x:v>0</x:v>
      </x:c>
      <x:c r="J285" s="24" t="n">
        <x:v>2576</x:v>
      </x:c>
      <x:c r="K285" s="25" t="n">
        <x:v>50.33780180001486</x:v>
      </x:c>
      <x:c r="L285" s="25" t="n">
        <x:v>13.22679219996644</x:v>
      </x:c>
      <x:c r="M285" s="25" t="n">
        <x:v>32.2715099000452</x:v>
      </x:c>
      <x:c r="N285" s="25" t="n">
        <x:v>0.32147710001299856</x:v>
      </x:c>
      <x:c r="O285" s="25" t="n">
        <x:v>4.518022599990218</x:v>
      </x:c>
      <x:c r="P285" s="25" t="n">
        <x:v>0.03267665999956079</x:v>
      </x:c>
      <x:c r="Q285" s="25" t="n">
        <x:v>0.7223720560004584</x:v>
      </x:c>
      <x:c r="R285" s="25" t="n">
        <x:v>4.219823820001329</x:v>
      </x:c>
      <x:c r="S285" s="25" t="n">
        <x:v>4.315753164001507</x:v>
      </x:c>
      <x:c r="T285" s="25" t="n">
        <x:v>50.33780180001486</x:v>
      </x:c>
      <x:c r="U285" s="25" t="n">
        <x:v>50.33780180001486</x:v>
      </x:c>
      <x:c r="V285" s="25"/>
      <x:c r="W285" s="19" t="str">
        <x:v>FULL__STATIC_ID</x:v>
      </x:c>
      <x:c r="X285" s="26" t="n">
        <x:f>IF(AND(J285&gt;0,E285=E285),1-J285/J285,"")</x:f>
        <x:v>0</x:v>
      </x:c>
      <x:c r="Y285" s="26" t="n">
        <x:f>IF(AND(K285&gt;0,E285=E285),1-K285/K285,"")</x:f>
        <x:v>0</x:v>
      </x:c>
      <x:c r="Z285" s="26" t="n">
        <x:f>IF(AND(ISNUMBER(P285),P285&gt;0,E285=E285),1-P285/P285,"")</x:f>
        <x:v>0</x:v>
      </x:c>
      <x:c r="AA285" s="26" t="n">
        <x:f>IF(AND(ISNUMBER(R285),ISNUMBER(R285),R285&gt;0,E285=E285),1-R285/R285,"")</x:f>
        <x:v>0</x:v>
      </x:c>
      <x:c r="AB285" s="26"/>
      <x:c r="AC285" s="19" t="str">
        <x:v>D:/Codex/GRL研究/outputs/grid89_review/per_date.csv</x:v>
      </x:c>
    </x:row>
    <x:row r="286" ht="36" customHeight="1">
      <x:c r="A286" s="19" t="str">
        <x:v>GRID89 换序</x:v>
      </x:c>
      <x:c r="B286" s="19" t="str">
        <x:v>2036-07-07_9</x:v>
      </x:c>
      <x:c r="C286" s="19" t="str">
        <x:v>FULL__STATIC_ID</x:v>
      </x:c>
      <x:c r="D286" s="21" t="n">
        <x:v>1</x:v>
      </x:c>
      <x:c r="E286" s="21" t="n">
        <x:v>2017</x:v>
      </x:c>
      <x:c r="F286" s="21" t="n">
        <x:v>1</x:v>
      </x:c>
      <x:c r="G286" s="21" t="n">
        <x:v>1</x:v>
      </x:c>
      <x:c r="H286" s="22" t="n">
        <x:v>1406653.906539917</x:v>
      </x:c>
      <x:c r="I286" s="23" t="n">
        <x:v>0</x:v>
      </x:c>
      <x:c r="J286" s="24" t="n">
        <x:v>9022</x:v>
      </x:c>
      <x:c r="K286" s="25" t="n">
        <x:v>66.10269220000555</x:v>
      </x:c>
      <x:c r="L286" s="25" t="n">
        <x:v>32.95181649987353</x:v>
      </x:c>
      <x:c r="M286" s="25" t="n">
        <x:v>26.575234900024952</x:v>
      </x:c>
      <x:c r="N286" s="25" t="n">
        <x:v>1.6758028001459024</x:v>
      </x:c>
      <x:c r="O286" s="25" t="n">
        <x:v>4.899837999961164</x:v>
      </x:c>
      <x:c r="P286" s="25" t="n">
        <x:v>0.03343225999997229</x:v>
      </x:c>
      <x:c r="Q286" s="25" t="n">
        <x:v>0.7509716319998551</x:v>
      </x:c>
      <x:c r="R286" s="25" t="n">
        <x:v>5.008484055001825</x:v>
      </x:c>
      <x:c r="S286" s="25" t="n">
        <x:v>5.683628811001327</x:v>
      </x:c>
      <x:c r="T286" s="25" t="n">
        <x:v>66.10269220000555</x:v>
      </x:c>
      <x:c r="U286" s="25" t="n">
        <x:v>66.10269220000555</x:v>
      </x:c>
      <x:c r="V286" s="25"/>
      <x:c r="W286" s="19" t="str">
        <x:v>FULL__STATIC_ID</x:v>
      </x:c>
      <x:c r="X286" s="26" t="n">
        <x:f>IF(AND(J286&gt;0,E286=E286),1-J286/J286,"")</x:f>
        <x:v>0</x:v>
      </x:c>
      <x:c r="Y286" s="26" t="n">
        <x:f>IF(AND(K286&gt;0,E286=E286),1-K286/K286,"")</x:f>
        <x:v>0</x:v>
      </x:c>
      <x:c r="Z286" s="26" t="n">
        <x:f>IF(AND(ISNUMBER(P286),P286&gt;0,E286=E286),1-P286/P286,"")</x:f>
        <x:v>0</x:v>
      </x:c>
      <x:c r="AA286" s="26" t="n">
        <x:f>IF(AND(ISNUMBER(R286),ISNUMBER(R286),R286&gt;0,E286=E286),1-R286/R286,"")</x:f>
        <x:v>0</x:v>
      </x:c>
      <x:c r="AB286" s="26"/>
      <x:c r="AC286" s="19" t="str">
        <x:v>D:/Codex/GRL研究/outputs/grid89_review/per_date.csv</x:v>
      </x:c>
    </x:row>
    <x:row r="287" ht="36" customHeight="1">
      <x:c r="A287" s="19" t="str">
        <x:v>GRID89 换序</x:v>
      </x:c>
      <x:c r="B287" s="19" t="str">
        <x:v>2036-09-01_9</x:v>
      </x:c>
      <x:c r="C287" s="19" t="str">
        <x:v>FULL__STATIC_ID</x:v>
      </x:c>
      <x:c r="D287" s="21" t="n">
        <x:v>1</x:v>
      </x:c>
      <x:c r="E287" s="21" t="n">
        <x:v>2017</x:v>
      </x:c>
      <x:c r="F287" s="21" t="n">
        <x:v>1</x:v>
      </x:c>
      <x:c r="G287" s="21" t="n">
        <x:v>1</x:v>
      </x:c>
      <x:c r="H287" s="22" t="n">
        <x:v>1392960.0296020508</x:v>
      </x:c>
      <x:c r="I287" s="23" t="n">
        <x:v>0</x:v>
      </x:c>
      <x:c r="J287" s="24" t="n">
        <x:v>3582</x:v>
      </x:c>
      <x:c r="K287" s="25" t="n">
        <x:v>47.655287100100395</x:v>
      </x:c>
      <x:c r="L287" s="25" t="n">
        <x:v>16.226299999994808</x:v>
      </x:c>
      <x:c r="M287" s="25" t="n">
        <x:v>25.90521610003998</x:v>
      </x:c>
      <x:c r="N287" s="25" t="n">
        <x:v>0.4643041000163066</x:v>
      </x:c>
      <x:c r="O287" s="25" t="n">
        <x:v>5.059466900049301</x:v>
      </x:c>
      <x:c r="P287" s="25" t="n">
        <x:v>0.030782019998878234</x:v>
      </x:c>
      <x:c r="Q287" s="25" t="n">
        <x:v>0.7296661480001054</x:v>
      </x:c>
      <x:c r="R287" s="25" t="n">
        <x:v>2.915710265000416</x:v>
      </x:c>
      <x:c r="S287" s="25" t="n">
        <x:v>2.95140053300016</x:v>
      </x:c>
      <x:c r="T287" s="25" t="n">
        <x:v>47.655287100100395</x:v>
      </x:c>
      <x:c r="U287" s="25" t="n">
        <x:v>47.655287100100395</x:v>
      </x:c>
      <x:c r="V287" s="25"/>
      <x:c r="W287" s="19" t="str">
        <x:v>FULL__STATIC_ID</x:v>
      </x:c>
      <x:c r="X287" s="26" t="n">
        <x:f>IF(AND(J287&gt;0,E287=E287),1-J287/J287,"")</x:f>
        <x:v>0</x:v>
      </x:c>
      <x:c r="Y287" s="26" t="n">
        <x:f>IF(AND(K287&gt;0,E287=E287),1-K287/K287,"")</x:f>
        <x:v>0</x:v>
      </x:c>
      <x:c r="Z287" s="26" t="n">
        <x:f>IF(AND(ISNUMBER(P287),P287&gt;0,E287=E287),1-P287/P287,"")</x:f>
        <x:v>0</x:v>
      </x:c>
      <x:c r="AA287" s="26" t="n">
        <x:f>IF(AND(ISNUMBER(R287),ISNUMBER(R287),R287&gt;0,E287=E287),1-R287/R287,"")</x:f>
        <x:v>0</x:v>
      </x:c>
      <x:c r="AB287" s="26"/>
      <x:c r="AC287" s="19" t="str">
        <x:v>D:/Codex/GRL研究/outputs/grid89_review/per_date.csv</x:v>
      </x:c>
    </x:row>
    <x:row r="288" ht="36" customHeight="1">
      <x:c r="A288" s="19" t="str">
        <x:v>GRID89 换序</x:v>
      </x:c>
      <x:c r="B288" s="19" t="str">
        <x:v>2036-11-03_9</x:v>
      </x:c>
      <x:c r="C288" s="19" t="str">
        <x:v>FULL__STATIC_ID</x:v>
      </x:c>
      <x:c r="D288" s="21" t="n">
        <x:v>1</x:v>
      </x:c>
      <x:c r="E288" s="21" t="n">
        <x:v>519</x:v>
      </x:c>
      <x:c r="F288" s="21" t="n">
        <x:v>1</x:v>
      </x:c>
      <x:c r="G288" s="21" t="n">
        <x:v>0</x:v>
      </x:c>
      <x:c r="H288" s="22" t="n">
        <x:v>361332.79052734375</x:v>
      </x:c>
      <x:c r="I288" s="23"/>
      <x:c r="J288" s="24" t="n">
        <x:v>0</x:v>
      </x:c>
      <x:c r="K288" s="25" t="n">
        <x:v>15.651865000079852</x:v>
      </x:c>
      <x:c r="L288" s="25" t="n">
        <x:v>1.9874398999818368</x:v>
      </x:c>
      <x:c r="M288" s="25" t="n">
        <x:v>12.700975500007189</x:v>
      </x:c>
      <x:c r="N288" s="25" t="n">
        <x:v>0</x:v>
      </x:c>
      <x:c r="O288" s="25" t="n">
        <x:v>0.9634496000908257</x:v>
      </x:c>
      <x:c r="P288" s="25" t="n">
        <x:v>0.02995987999820498</x:v>
      </x:c>
      <x:c r="Q288" s="25" t="n">
        <x:v>0.8669348360018981</x:v>
      </x:c>
      <x:c r="R288" s="25"/>
      <x:c r="S288" s="25"/>
      <x:c r="T288" s="25" t="n">
        <x:v>15.651865000079852</x:v>
      </x:c>
      <x:c r="U288" s="25" t="n">
        <x:v>15.651865000079852</x:v>
      </x:c>
      <x:c r="V288" s="25"/>
      <x:c r="W288" s="19" t="str">
        <x:v>FULL__STATIC_ID</x:v>
      </x:c>
      <x:c r="X288" s="26" t="str">
        <x:f>IF(AND(J288&gt;0,E288=E288),1-J288/J288,"")</x:f>
      </x:c>
      <x:c r="Y288" s="26" t="n">
        <x:f>IF(AND(K288&gt;0,E288=E288),1-K288/K288,"")</x:f>
        <x:v>0</x:v>
      </x:c>
      <x:c r="Z288" s="26" t="n">
        <x:f>IF(AND(ISNUMBER(P288),P288&gt;0,E288=E288),1-P288/P288,"")</x:f>
        <x:v>0</x:v>
      </x:c>
      <x:c r="AA288" s="26" t="str">
        <x:f>IF(AND(ISNUMBER(R288),ISNUMBER(R288),R288&gt;0,E288=E288),1-R288/R288,"")</x:f>
      </x:c>
      <x:c r="AB288" s="26"/>
      <x:c r="AC288" s="19" t="str">
        <x:v>D:/Codex/GRL研究/outputs/grid89_review/per_date.csv</x:v>
      </x:c>
    </x:row>
    <x:row r="289" ht="36" customHeight="1">
      <x:c r="A289" s="19" t="str">
        <x:v>GRID89 参数</x:v>
      </x:c>
      <x:c r="B289" s="19" t="str">
        <x:v>2035-03-05_0</x:v>
      </x:c>
      <x:c r="C289" s="19" t="str">
        <x:v>FRAME_GUARD</x:v>
      </x:c>
      <x:c r="D289" s="21" t="n">
        <x:v>1</x:v>
      </x:c>
      <x:c r="E289" s="21" t="n">
        <x:v>2017</x:v>
      </x:c>
      <x:c r="F289" s="21" t="n">
        <x:v>1</x:v>
      </x:c>
      <x:c r="G289" s="21" t="n">
        <x:v>1</x:v>
      </x:c>
      <x:c r="H289" s="22" t="n">
        <x:v>2975141.026245117</x:v>
      </x:c>
      <x:c r="I289" s="23" t="n">
        <x:v>0.003720046656812137</x:v>
      </x:c>
      <x:c r="J289" s="24" t="n">
        <x:v>3720</x:v>
      </x:c>
      <x:c r="K289" s="25" t="n">
        <x:v>132.0660751999676</x:v>
      </x:c>
      <x:c r="L289" s="25" t="n">
        <x:v>22.909294099819817</x:v>
      </x:c>
      <x:c r="M289" s="25" t="n">
        <x:v>103.17251269998087</x:v>
      </x:c>
      <x:c r="N289" s="25" t="n">
        <x:v>1.090225700136216</x:v>
      </x:c>
      <x:c r="O289" s="25" t="n">
        <x:v>4.894042700030695</x:v>
      </x:c>
      <x:c r="P289" s="25" t="n">
        <x:v>0.0423875599990424</x:v>
      </x:c>
      <x:c r="Q289" s="25" t="n">
        <x:v>2.2323072279982394</x:v>
      </x:c>
      <x:c r="R289" s="25" t="n">
        <x:v>5.098114399998666</x:v>
      </x:c>
      <x:c r="S289" s="25" t="n">
        <x:v>5.359300159998165</x:v>
      </x:c>
      <x:c r="T289" s="25" t="n">
        <x:v>132.0660751999676</x:v>
      </x:c>
      <x:c r="U289" s="25" t="n">
        <x:v>132.0660751999676</x:v>
      </x:c>
      <x:c r="V289" s="25"/>
      <x:c r="W289" s="19" t="str">
        <x:v>FULL</x:v>
      </x:c>
      <x:c r="X289" s="26" t="n">
        <x:f>IF(AND(J333&gt;0,E289=E333),1-J289/J333,"")</x:f>
        <x:v>0.6116099394445604</x:v>
      </x:c>
      <x:c r="Y289" s="26" t="n">
        <x:f>IF(AND(K333&gt;0,E289=E333),1-K289/K333,"")</x:f>
        <x:v>0.13202356675987714</x:v>
      </x:c>
      <x:c r="Z289" s="26" t="n">
        <x:f>IF(AND(ISNUMBER(P333),P333&gt;0,E289=E333),1-P289/P333,"")</x:f>
        <x:v>0.012672250768940962</x:v>
      </x:c>
      <x:c r="AA289" s="26" t="n">
        <x:f>IF(AND(ISNUMBER(R289),ISNUMBER(R333),R333&gt;0,E289=E333),1-R289/R333,"")</x:f>
        <x:v>0.21010200773788756</x:v>
      </x:c>
      <x:c r="AB289" s="26"/>
      <x:c r="AC289" s="19" t="str">
        <x:v>D:/Codex/GRL研究/outputs/grid89_review/per_date.csv</x:v>
      </x:c>
    </x:row>
    <x:row r="290" ht="36" customHeight="1">
      <x:c r="A290" s="19" t="str">
        <x:v>GRID89 参数</x:v>
      </x:c>
      <x:c r="B290" s="19" t="str">
        <x:v>2035-06-25_8</x:v>
      </x:c>
      <x:c r="C290" s="19" t="str">
        <x:v>FRAME_GUARD</x:v>
      </x:c>
      <x:c r="D290" s="21" t="n">
        <x:v>1</x:v>
      </x:c>
      <x:c r="E290" s="21" t="n">
        <x:v>1901</x:v>
      </x:c>
      <x:c r="F290" s="21" t="n">
        <x:v>1</x:v>
      </x:c>
      <x:c r="G290" s="21" t="n">
        <x:v>0</x:v>
      </x:c>
      <x:c r="H290" s="22" t="n">
        <x:v>1156085.3905029297</x:v>
      </x:c>
      <x:c r="I290" s="23"/>
      <x:c r="J290" s="24" t="n">
        <x:v>1889</x:v>
      </x:c>
      <x:c r="K290" s="25" t="n">
        <x:v>56.521830499990756</x:v>
      </x:c>
      <x:c r="L290" s="25" t="n">
        <x:v>13.81806859986682</x:v>
      </x:c>
      <x:c r="M290" s="25" t="n">
        <x:v>37.178344699968875</x:v>
      </x:c>
      <x:c r="N290" s="25" t="n">
        <x:v>0.5003106999502052</x:v>
      </x:c>
      <x:c r="O290" s="25" t="n">
        <x:v>5.025106500204856</x:v>
      </x:c>
      <x:c r="P290" s="25" t="n">
        <x:v>0.035582199998316355</x:v>
      </x:c>
      <x:c r="Q290" s="25" t="n">
        <x:v>0.7923666000024241</x:v>
      </x:c>
      <x:c r="R290" s="25" t="n">
        <x:v>2.8514677799990746</x:v>
      </x:c>
      <x:c r="S290" s="25" t="n">
        <x:v>3.0717271559991057</x:v>
      </x:c>
      <x:c r="T290" s="25" t="n">
        <x:v>56.521830499990756</x:v>
      </x:c>
      <x:c r="U290" s="25" t="n">
        <x:v>56.521830499990756</x:v>
      </x:c>
      <x:c r="V290" s="25"/>
      <x:c r="W290" s="19" t="str">
        <x:v>FULL</x:v>
      </x:c>
      <x:c r="X290" s="26" t="n">
        <x:f>IF(AND(J334&gt;0,E290=E334),1-J290/J334,"")</x:f>
        <x:v>0.5279860069965017</x:v>
      </x:c>
      <x:c r="Y290" s="26" t="n">
        <x:f>IF(AND(K334&gt;0,E290=E334),1-K290/K334,"")</x:f>
        <x:v>0.007008378862934039</x:v>
      </x:c>
      <x:c r="Z290" s="26" t="n">
        <x:f>IF(AND(ISNUMBER(P334),P334&gt;0,E290=E334),1-P290/P334,"")</x:f>
        <x:v>-0.12770340506166677</x:v>
      </x:c>
      <x:c r="AA290" s="26" t="n">
        <x:f>IF(AND(ISNUMBER(R290),ISNUMBER(R334),R334&gt;0,E290=E334),1-R290/R334,"")</x:f>
        <x:v>0.10311792569054812</x:v>
      </x:c>
      <x:c r="AB290" s="26"/>
      <x:c r="AC290" s="19" t="str">
        <x:v>D:/Codex/GRL研究/outputs/grid89_review/per_date.csv</x:v>
      </x:c>
    </x:row>
    <x:row r="291" ht="36" customHeight="1">
      <x:c r="A291" s="19" t="str">
        <x:v>GRID89 参数</x:v>
      </x:c>
      <x:c r="B291" s="19" t="str">
        <x:v>2035-09-03_4</x:v>
      </x:c>
      <x:c r="C291" s="19" t="str">
        <x:v>FRAME_GUARD</x:v>
      </x:c>
      <x:c r="D291" s="21" t="n">
        <x:v>1</x:v>
      </x:c>
      <x:c r="E291" s="21" t="n">
        <x:v>2017</x:v>
      </x:c>
      <x:c r="F291" s="21" t="n">
        <x:v>1</x:v>
      </x:c>
      <x:c r="G291" s="21" t="n">
        <x:v>1</x:v>
      </x:c>
      <x:c r="H291" s="22" t="n">
        <x:v>1265835.7439422607</x:v>
      </x:c>
      <x:c r="I291" s="23" t="n">
        <x:v>-0.0186656352781418</x:v>
      </x:c>
      <x:c r="J291" s="24" t="n">
        <x:v>2987</x:v>
      </x:c>
      <x:c r="K291" s="25" t="n">
        <x:v>55.81088700012697</x:v>
      </x:c>
      <x:c r="L291" s="25" t="n">
        <x:v>20.086943700112897</x:v>
      </x:c>
      <x:c r="M291" s="25" t="n">
        <x:v>29.299467599961645</x:v>
      </x:c>
      <x:c r="N291" s="25" t="n">
        <x:v>0.9210572001102264</x:v>
      </x:c>
      <x:c r="O291" s="25" t="n">
        <x:v>5.5034184999422</x:v>
      </x:c>
      <x:c r="P291" s="25" t="n">
        <x:v>0.033810740000626525</x:v>
      </x:c>
      <x:c r="Q291" s="25" t="n">
        <x:v>0.7411676919995805</x:v>
      </x:c>
      <x:c r="R291" s="25" t="n">
        <x:v>4.33142408000258</x:v>
      </x:c>
      <x:c r="S291" s="25" t="n">
        <x:v>4.609711376002778</x:v>
      </x:c>
      <x:c r="T291" s="25" t="n">
        <x:v>55.81088700012697</x:v>
      </x:c>
      <x:c r="U291" s="25" t="n">
        <x:v>55.81088700012697</x:v>
      </x:c>
      <x:c r="V291" s="25"/>
      <x:c r="W291" s="19" t="str">
        <x:v>FULL</x:v>
      </x:c>
      <x:c r="X291" s="26" t="n">
        <x:f>IF(AND(J335&gt;0,E291=E335),1-J291/J335,"")</x:f>
        <x:v>0.5851388888888889</x:v>
      </x:c>
      <x:c r="Y291" s="26" t="n">
        <x:f>IF(AND(K335&gt;0,E291=E335),1-K291/K335,"")</x:f>
        <x:v>0.2339922947680977</x:v>
      </x:c>
      <x:c r="Z291" s="26" t="n">
        <x:f>IF(AND(ISNUMBER(P335),P335&gt;0,E291=E335),1-P291/P335,"")</x:f>
        <x:v>0.05613487733596856</x:v>
      </x:c>
      <x:c r="AA291" s="26" t="n">
        <x:f>IF(AND(ISNUMBER(R291),ISNUMBER(R335),R335&gt;0,E291=E335),1-R291/R335,"")</x:f>
        <x:v>0.1854674396057573</x:v>
      </x:c>
      <x:c r="AB291" s="26"/>
      <x:c r="AC291" s="19" t="str">
        <x:v>D:/Codex/GRL研究/outputs/grid89_review/per_date.csv</x:v>
      </x:c>
    </x:row>
    <x:row r="292" ht="36" customHeight="1">
      <x:c r="A292" s="19" t="str">
        <x:v>GRID89 参数</x:v>
      </x:c>
      <x:c r="B292" s="19" t="str">
        <x:v>2035-10-01_5</x:v>
      </x:c>
      <x:c r="C292" s="19" t="str">
        <x:v>FRAME_GUARD</x:v>
      </x:c>
      <x:c r="D292" s="21" t="n">
        <x:v>1</x:v>
      </x:c>
      <x:c r="E292" s="21" t="n">
        <x:v>2017</x:v>
      </x:c>
      <x:c r="F292" s="21" t="n">
        <x:v>1</x:v>
      </x:c>
      <x:c r="G292" s="21" t="n">
        <x:v>1</x:v>
      </x:c>
      <x:c r="H292" s="22" t="n">
        <x:v>1544822.9655151367</x:v>
      </x:c>
      <x:c r="I292" s="23" t="n">
        <x:v>0</x:v>
      </x:c>
      <x:c r="J292" s="24" t="n">
        <x:v>512</x:v>
      </x:c>
      <x:c r="K292" s="25" t="n">
        <x:v>46.6208813999765</x:v>
      </x:c>
      <x:c r="L292" s="25" t="n">
        <x:v>9.200049799863336</x:v>
      </x:c>
      <x:c r="M292" s="25" t="n">
        <x:v>31.78592590002154</x:v>
      </x:c>
      <x:c r="N292" s="25" t="n">
        <x:v>0.21927930001038476</x:v>
      </x:c>
      <x:c r="O292" s="25" t="n">
        <x:v>5.415626400081237</x:v>
      </x:c>
      <x:c r="P292" s="25" t="n">
        <x:v>0.03232001999858766</x:v>
      </x:c>
      <x:c r="Q292" s="25" t="n">
        <x:v>0.7160621200002787</x:v>
      </x:c>
      <x:c r="R292" s="25" t="n">
        <x:v>0.869155050000154</x:v>
      </x:c>
      <x:c r="S292" s="25" t="n">
        <x:v>0.8696931700002825</x:v>
      </x:c>
      <x:c r="T292" s="25" t="n">
        <x:v>46.6208813999765</x:v>
      </x:c>
      <x:c r="U292" s="25" t="n">
        <x:v>46.6208813999765</x:v>
      </x:c>
      <x:c r="V292" s="25"/>
      <x:c r="W292" s="19" t="str">
        <x:v>FULL</x:v>
      </x:c>
      <x:c r="X292" s="26" t="n">
        <x:f>IF(AND(J336&gt;0,E292=E336),1-J292/J336,"")</x:f>
        <x:v>0.7182168409466153</x:v>
      </x:c>
      <x:c r="Y292" s="26" t="n">
        <x:f>IF(AND(K336&gt;0,E292=E336),1-K292/K336,"")</x:f>
        <x:v>0.08910430854154672</x:v>
      </x:c>
      <x:c r="Z292" s="26" t="n">
        <x:f>IF(AND(ISNUMBER(P336),P336&gt;0,E292=E336),1-P292/P336,"")</x:f>
        <x:v>-0.019840170402024127</x:v>
      </x:c>
      <x:c r="AA292" s="26" t="n">
        <x:f>IF(AND(ISNUMBER(R292),ISNUMBER(R336),R336&gt;0,E292=E336),1-R292/R336,"")</x:f>
        <x:v>0.6981100090946337</x:v>
      </x:c>
      <x:c r="AB292" s="26"/>
      <x:c r="AC292" s="19" t="str">
        <x:v>D:/Codex/GRL研究/outputs/grid89_review/per_date.csv</x:v>
      </x:c>
    </x:row>
    <x:row r="293" ht="36" customHeight="1">
      <x:c r="A293" s="19" t="str">
        <x:v>GRID89 参数</x:v>
      </x:c>
      <x:c r="B293" s="19" t="str">
        <x:v>2035-03-05_0</x:v>
      </x:c>
      <x:c r="C293" s="19" t="str">
        <x:v>FRAME_h_128</x:v>
      </x:c>
      <x:c r="D293" s="21" t="n">
        <x:v>1</x:v>
      </x:c>
      <x:c r="E293" s="21" t="n">
        <x:v>2017</x:v>
      </x:c>
      <x:c r="F293" s="21" t="n">
        <x:v>1</x:v>
      </x:c>
      <x:c r="G293" s="21" t="n">
        <x:v>1</x:v>
      </x:c>
      <x:c r="H293" s="22" t="n">
        <x:v>2964114.382446289</x:v>
      </x:c>
      <x:c r="I293" s="23" t="n">
        <x:v>0</x:v>
      </x:c>
      <x:c r="J293" s="24" t="n">
        <x:v>6541</x:v>
      </x:c>
      <x:c r="K293" s="25" t="n">
        <x:v>167.51037709999218</x:v>
      </x:c>
      <x:c r="L293" s="25" t="n">
        <x:v>38.927415399863094</x:v>
      </x:c>
      <x:c r="M293" s="25" t="n">
        <x:v>120.52497189999121</x:v>
      </x:c>
      <x:c r="N293" s="25" t="n">
        <x:v>1.6417090000686585</x:v>
      </x:c>
      <x:c r="O293" s="25" t="n">
        <x:v>6.416280800069217</x:v>
      </x:c>
      <x:c r="P293" s="25" t="n">
        <x:v>0.050297080001473655</x:v>
      </x:c>
      <x:c r="Q293" s="25" t="n">
        <x:v>2.856751415998139</x:v>
      </x:c>
      <x:c r="R293" s="25" t="n">
        <x:v>6.8826081000006525</x:v>
      </x:c>
      <x:c r="S293" s="25" t="n">
        <x:v>7.0009295400028355</x:v>
      </x:c>
      <x:c r="T293" s="25" t="n">
        <x:v>167.51037709999218</x:v>
      </x:c>
      <x:c r="U293" s="25" t="n">
        <x:v>167.51037709999218</x:v>
      </x:c>
      <x:c r="V293" s="25"/>
      <x:c r="W293" s="19" t="str">
        <x:v>FULL</x:v>
      </x:c>
      <x:c r="X293" s="26" t="n">
        <x:f>IF(AND(J333&gt;0,E293=E333),1-J293/J333,"")</x:f>
        <x:v>0.31708081019001877</x:v>
      </x:c>
      <x:c r="Y293" s="26" t="n">
        <x:f>IF(AND(K333&gt;0,E293=E333),1-K293/K333,"")</x:f>
        <x:v>-0.10092663407926294</x:v>
      </x:c>
      <x:c r="Z293" s="26" t="n">
        <x:f>IF(AND(ISNUMBER(P333),P333&gt;0,E293=E333),1-P293/P333,"")</x:f>
        <x:v>-0.1715631376722646</x:v>
      </x:c>
      <x:c r="AA293" s="26" t="n">
        <x:f>IF(AND(ISNUMBER(R293),ISNUMBER(R333),R333&gt;0,E293=E333),1-R293/R333,"")</x:f>
        <x:v>-0.06638609751850422</x:v>
      </x:c>
      <x:c r="AB293" s="26"/>
      <x:c r="AC293" s="19" t="str">
        <x:v>D:/Codex/GRL研究/outputs/grid89_review/per_date.csv</x:v>
      </x:c>
    </x:row>
    <x:row r="294" ht="36" customHeight="1">
      <x:c r="A294" s="19" t="str">
        <x:v>GRID89 参数</x:v>
      </x:c>
      <x:c r="B294" s="19" t="str">
        <x:v>2035-06-25_8</x:v>
      </x:c>
      <x:c r="C294" s="19" t="str">
        <x:v>FRAME_h_128</x:v>
      </x:c>
      <x:c r="D294" s="21" t="n">
        <x:v>1</x:v>
      </x:c>
      <x:c r="E294" s="21" t="n">
        <x:v>1901</x:v>
      </x:c>
      <x:c r="F294" s="21" t="n">
        <x:v>1</x:v>
      </x:c>
      <x:c r="G294" s="21" t="n">
        <x:v>0</x:v>
      </x:c>
      <x:c r="H294" s="22" t="n">
        <x:v>1156085.3905029297</x:v>
      </x:c>
      <x:c r="I294" s="23"/>
      <x:c r="J294" s="24" t="n">
        <x:v>2447</x:v>
      </x:c>
      <x:c r="K294" s="25" t="n">
        <x:v>58.376758799975505</x:v>
      </x:c>
      <x:c r="L294" s="25" t="n">
        <x:v>15.589113499925588</x:v>
      </x:c>
      <x:c r="M294" s="25" t="n">
        <x:v>37.14658750005765</x:v>
      </x:c>
      <x:c r="N294" s="25" t="n">
        <x:v>0.5095589000920882</x:v>
      </x:c>
      <x:c r="O294" s="25" t="n">
        <x:v>5.13149889990018</x:v>
      </x:c>
      <x:c r="P294" s="25" t="n">
        <x:v>0.03633780000018305</x:v>
      </x:c>
      <x:c r="Q294" s="25" t="n">
        <x:v>0.8198707000010472</x:v>
      </x:c>
      <x:c r="R294" s="25" t="n">
        <x:v>2.8854083599981095</x:v>
      </x:c>
      <x:c r="S294" s="25" t="n">
        <x:v>3.0431326319980143</x:v>
      </x:c>
      <x:c r="T294" s="25" t="n">
        <x:v>58.376758799975505</x:v>
      </x:c>
      <x:c r="U294" s="25" t="n">
        <x:v>58.376758799975505</x:v>
      </x:c>
      <x:c r="V294" s="25"/>
      <x:c r="W294" s="19" t="str">
        <x:v>FULL</x:v>
      </x:c>
      <x:c r="X294" s="26" t="n">
        <x:f>IF(AND(J334&gt;0,E294=E334),1-J294/J334,"")</x:f>
        <x:v>0.3885557221389305</x:v>
      </x:c>
      <x:c r="Y294" s="26" t="n">
        <x:f>IF(AND(K334&gt;0,E294=E334),1-K294/K334,"")</x:f>
        <x:v>-0.025579529975142012</x:v>
      </x:c>
      <x:c r="Z294" s="26" t="n">
        <x:f>IF(AND(ISNUMBER(P334),P334&gt;0,E294=E334),1-P294/P334,"")</x:f>
        <x:v>-0.1516505667045669</x:v>
      </x:c>
      <x:c r="AA294" s="26" t="n">
        <x:f>IF(AND(ISNUMBER(R294),ISNUMBER(R334),R334&gt;0,E294=E334),1-R294/R334,"")</x:f>
        <x:v>0.09244247706499487</x:v>
      </x:c>
      <x:c r="AB294" s="26"/>
      <x:c r="AC294" s="19" t="str">
        <x:v>D:/Codex/GRL研究/outputs/grid89_review/per_date.csv</x:v>
      </x:c>
    </x:row>
    <x:row r="295" ht="36" customHeight="1">
      <x:c r="A295" s="19" t="str">
        <x:v>GRID89 参数</x:v>
      </x:c>
      <x:c r="B295" s="19" t="str">
        <x:v>2035-09-03_4</x:v>
      </x:c>
      <x:c r="C295" s="19" t="str">
        <x:v>FRAME_h_128</x:v>
      </x:c>
      <x:c r="D295" s="21" t="n">
        <x:v>1</x:v>
      </x:c>
      <x:c r="E295" s="21" t="n">
        <x:v>2017</x:v>
      </x:c>
      <x:c r="F295" s="21" t="n">
        <x:v>1</x:v>
      </x:c>
      <x:c r="G295" s="21" t="n">
        <x:v>1</x:v>
      </x:c>
      <x:c r="H295" s="22" t="n">
        <x:v>1289912.7855377197</x:v>
      </x:c>
      <x:c r="I295" s="23" t="n">
        <x:v>0</x:v>
      </x:c>
      <x:c r="J295" s="24" t="n">
        <x:v>4148</x:v>
      </x:c>
      <x:c r="K295" s="25" t="n">
        <x:v>59.84553480016257</x:v>
      </x:c>
      <x:c r="L295" s="25" t="n">
        <x:v>22.27397619988551</x:v>
      </x:c>
      <x:c r="M295" s="25" t="n">
        <x:v>31.086269700022967</x:v>
      </x:c>
      <x:c r="N295" s="25" t="n">
        <x:v>0.8923110000177985</x:v>
      </x:c>
      <x:c r="O295" s="25" t="n">
        <x:v>5.592977900236292</x:v>
      </x:c>
      <x:c r="P295" s="25" t="n">
        <x:v>0.0342895200003113</x:v>
      </x:c>
      <x:c r="Q295" s="25" t="n">
        <x:v>0.7483601999988603</x:v>
      </x:c>
      <x:c r="R295" s="25" t="n">
        <x:v>4.0320811799996585</x:v>
      </x:c>
      <x:c r="S295" s="25" t="n">
        <x:v>4.115553435999463</x:v>
      </x:c>
      <x:c r="T295" s="25" t="n">
        <x:v>59.84553480016257</x:v>
      </x:c>
      <x:c r="U295" s="25" t="n">
        <x:v>59.84553480016257</x:v>
      </x:c>
      <x:c r="V295" s="25"/>
      <x:c r="W295" s="19" t="str">
        <x:v>FULL</x:v>
      </x:c>
      <x:c r="X295" s="26" t="n">
        <x:f>IF(AND(J335&gt;0,E295=E335),1-J295/J335,"")</x:f>
        <x:v>0.42388888888888887</x:v>
      </x:c>
      <x:c r="Y295" s="26" t="n">
        <x:f>IF(AND(K335&gt;0,E295=E335),1-K295/K335,"")</x:f>
        <x:v>0.17861651651327115</x:v>
      </x:c>
      <x:c r="Z295" s="26" t="n">
        <x:f>IF(AND(ISNUMBER(P335),P335&gt;0,E295=E335),1-P295/P335,"")</x:f>
        <x:v>0.042769191074053636</x:v>
      </x:c>
      <x:c r="AA295" s="26" t="n">
        <x:f>IF(AND(ISNUMBER(R295),ISNUMBER(R335),R335&gt;0,E295=E335),1-R295/R335,"")</x:f>
        <x:v>0.24175944294500828</x:v>
      </x:c>
      <x:c r="AB295" s="26"/>
      <x:c r="AC295" s="19" t="str">
        <x:v>D:/Codex/GRL研究/outputs/grid89_review/per_date.csv</x:v>
      </x:c>
    </x:row>
    <x:row r="296" ht="36" customHeight="1">
      <x:c r="A296" s="19" t="str">
        <x:v>GRID89 参数</x:v>
      </x:c>
      <x:c r="B296" s="19" t="str">
        <x:v>2035-10-01_5</x:v>
      </x:c>
      <x:c r="C296" s="19" t="str">
        <x:v>FRAME_h_128</x:v>
      </x:c>
      <x:c r="D296" s="21" t="n">
        <x:v>1</x:v>
      </x:c>
      <x:c r="E296" s="21" t="n">
        <x:v>2017</x:v>
      </x:c>
      <x:c r="F296" s="21" t="n">
        <x:v>1</x:v>
      </x:c>
      <x:c r="G296" s="21" t="n">
        <x:v>1</x:v>
      </x:c>
      <x:c r="H296" s="22" t="n">
        <x:v>1544822.9655151367</x:v>
      </x:c>
      <x:c r="I296" s="23" t="n">
        <x:v>0</x:v>
      </x:c>
      <x:c r="J296" s="24" t="n">
        <x:v>768</x:v>
      </x:c>
      <x:c r="K296" s="25" t="n">
        <x:v>47.66125850001117</x:v>
      </x:c>
      <x:c r="L296" s="25" t="n">
        <x:v>9.952622999950108</x:v>
      </x:c>
      <x:c r="M296" s="25" t="n">
        <x:v>32.07606660000238</x:v>
      </x:c>
      <x:c r="N296" s="25" t="n">
        <x:v>0.22868589993959176</x:v>
      </x:c>
      <x:c r="O296" s="25" t="n">
        <x:v>5.4038830001190945</x:v>
      </x:c>
      <x:c r="P296" s="25" t="n">
        <x:v>0.031744900001649506</x:v>
      </x:c>
      <x:c r="Q296" s="25" t="n">
        <x:v>0.728580272001127</x:v>
      </x:c>
      <x:c r="R296" s="25" t="n">
        <x:v>1.2678485599983105</x:v>
      </x:c>
      <x:c r="S296" s="25" t="n">
        <x:v>1.269286271998353</x:v>
      </x:c>
      <x:c r="T296" s="25" t="n">
        <x:v>47.66125850001117</x:v>
      </x:c>
      <x:c r="U296" s="25" t="n">
        <x:v>47.66125850001117</x:v>
      </x:c>
      <x:c r="V296" s="25"/>
      <x:c r="W296" s="19" t="str">
        <x:v>FULL</x:v>
      </x:c>
      <x:c r="X296" s="26" t="n">
        <x:f>IF(AND(J336&gt;0,E296=E336),1-J296/J336,"")</x:f>
        <x:v>0.5773252614199229</x:v>
      </x:c>
      <x:c r="Y296" s="26" t="n">
        <x:f>IF(AND(K336&gt;0,E296=E336),1-K296/K336,"")</x:f>
        <x:v>0.0687770433879088</x:v>
      </x:c>
      <x:c r="Z296" s="26" t="n">
        <x:f>IF(AND(ISNUMBER(P336),P336&gt;0,E296=E336),1-P296/P336,"")</x:f>
        <x:v>-0.0016925802797205236</x:v>
      </x:c>
      <x:c r="AA296" s="26" t="n">
        <x:f>IF(AND(ISNUMBER(R296),ISNUMBER(R336),R336&gt;0,E296=E336),1-R296/R336,"")</x:f>
        <x:v>0.5596288714571653</x:v>
      </x:c>
      <x:c r="AB296" s="26"/>
      <x:c r="AC296" s="19" t="str">
        <x:v>D:/Codex/GRL研究/outputs/grid89_review/per_date.csv</x:v>
      </x:c>
    </x:row>
    <x:row r="297" ht="36" customHeight="1">
      <x:c r="A297" s="19" t="str">
        <x:v>GRID89 参数</x:v>
      </x:c>
      <x:c r="B297" s="19" t="str">
        <x:v>2035-03-05_0</x:v>
      </x:c>
      <x:c r="C297" s="19" t="str">
        <x:v>FRAME_h_32</x:v>
      </x:c>
      <x:c r="D297" s="21" t="n">
        <x:v>1</x:v>
      </x:c>
      <x:c r="E297" s="21" t="n">
        <x:v>2017</x:v>
      </x:c>
      <x:c r="F297" s="21" t="n">
        <x:v>1</x:v>
      </x:c>
      <x:c r="G297" s="21" t="n">
        <x:v>1</x:v>
      </x:c>
      <x:c r="H297" s="22" t="n">
        <x:v>2975141.026245117</x:v>
      </x:c>
      <x:c r="I297" s="23" t="n">
        <x:v>0.003720046656812137</x:v>
      </x:c>
      <x:c r="J297" s="24" t="n">
        <x:v>3439</x:v>
      </x:c>
      <x:c r="K297" s="25" t="n">
        <x:v>131.39428889989722</x:v>
      </x:c>
      <x:c r="L297" s="25" t="n">
        <x:v>22.67385980005929</x:v>
      </x:c>
      <x:c r="M297" s="25" t="n">
        <x:v>102.69632869994894</x:v>
      </x:c>
      <x:c r="N297" s="25" t="n">
        <x:v>1.1258880000532372</x:v>
      </x:c>
      <x:c r="O297" s="25" t="n">
        <x:v>4.8982123998357565</x:v>
      </x:c>
      <x:c r="P297" s="25" t="n">
        <x:v>0.042297700000926704</x:v>
      </x:c>
      <x:c r="Q297" s="25" t="n">
        <x:v>2.238473071999177</x:v>
      </x:c>
      <x:c r="R297" s="25" t="n">
        <x:v>4.929496450000442</x:v>
      </x:c>
      <x:c r="S297" s="25" t="n">
        <x:v>5.1796665700007</x:v>
      </x:c>
      <x:c r="T297" s="25" t="n">
        <x:v>131.39428889989722</x:v>
      </x:c>
      <x:c r="U297" s="25" t="n">
        <x:v>131.39428889989722</x:v>
      </x:c>
      <x:c r="V297" s="25"/>
      <x:c r="W297" s="19" t="str">
        <x:v>FULL</x:v>
      </x:c>
      <x:c r="X297" s="26" t="n">
        <x:f>IF(AND(J333&gt;0,E297=E333),1-J297/J333,"")</x:f>
        <x:v>0.6409480058467321</x:v>
      </x:c>
      <x:c r="Y297" s="26" t="n">
        <x:f>IF(AND(K333&gt;0,E297=E333),1-K297/K333,"")</x:f>
        <x:v>0.13643874057156025</x:v>
      </x:c>
      <x:c r="Z297" s="26" t="n">
        <x:f>IF(AND(ISNUMBER(P333),P333&gt;0,E297=E333),1-P297/P333,"")</x:f>
        <x:v>0.014765347651315985</x:v>
      </x:c>
      <x:c r="AA297" s="26" t="n">
        <x:f>IF(AND(ISNUMBER(R297),ISNUMBER(R333),R333&gt;0,E297=E333),1-R297/R333,"")</x:f>
        <x:v>0.2362275454784658</x:v>
      </x:c>
      <x:c r="AB297" s="26"/>
      <x:c r="AC297" s="19" t="str">
        <x:v>D:/Codex/GRL研究/outputs/grid89_review/per_date.csv</x:v>
      </x:c>
    </x:row>
    <x:row r="298" ht="36" customHeight="1">
      <x:c r="A298" s="19" t="str">
        <x:v>GRID89 参数</x:v>
      </x:c>
      <x:c r="B298" s="19" t="str">
        <x:v>2035-06-25_8</x:v>
      </x:c>
      <x:c r="C298" s="19" t="str">
        <x:v>FRAME_h_32</x:v>
      </x:c>
      <x:c r="D298" s="21" t="n">
        <x:v>1</x:v>
      </x:c>
      <x:c r="E298" s="21" t="n">
        <x:v>1901</x:v>
      </x:c>
      <x:c r="F298" s="21" t="n">
        <x:v>1</x:v>
      </x:c>
      <x:c r="G298" s="21" t="n">
        <x:v>0</x:v>
      </x:c>
      <x:c r="H298" s="22" t="n">
        <x:v>1158696.276763916</x:v>
      </x:c>
      <x:c r="I298" s="23"/>
      <x:c r="J298" s="24" t="n">
        <x:v>1882</x:v>
      </x:c>
      <x:c r="K298" s="25" t="n">
        <x:v>56.267146500042145</x:v>
      </x:c>
      <x:c r="L298" s="25" t="n">
        <x:v>13.753333700169605</x:v>
      </x:c>
      <x:c r="M298" s="25" t="n">
        <x:v>36.96578539999973</x:v>
      </x:c>
      <x:c r="N298" s="25" t="n">
        <x:v>0.5081175998639083</x:v>
      </x:c>
      <x:c r="O298" s="25" t="n">
        <x:v>5.0399098000089</x:v>
      </x:c>
      <x:c r="P298" s="25" t="n">
        <x:v>0.03615139999965322</x:v>
      </x:c>
      <x:c r="Q298" s="25" t="n">
        <x:v>0.7598413999985496</x:v>
      </x:c>
      <x:c r="R298" s="25" t="n">
        <x:v>2.8479644600010943</x:v>
      </x:c>
      <x:c r="S298" s="25" t="n">
        <x:v>3.064869212001213</x:v>
      </x:c>
      <x:c r="T298" s="25" t="n">
        <x:v>56.267146500042145</x:v>
      </x:c>
      <x:c r="U298" s="25" t="n">
        <x:v>56.267146500042145</x:v>
      </x:c>
      <x:c r="V298" s="25"/>
      <x:c r="W298" s="19" t="str">
        <x:v>FULL</x:v>
      </x:c>
      <x:c r="X298" s="26" t="n">
        <x:f>IF(AND(J334&gt;0,E298=E334),1-J298/J334,"")</x:f>
        <x:v>0.5297351324337831</x:v>
      </x:c>
      <x:c r="Y298" s="26" t="n">
        <x:f>IF(AND(K334&gt;0,E298=E334),1-K298/K334,"")</x:f>
        <x:v>0.01148273993279858</x:v>
      </x:c>
      <x:c r="Z298" s="26" t="n">
        <x:f>IF(AND(ISNUMBER(P334),P334&gt;0,E298=E334),1-P298/P334,"")</x:f>
        <x:v>-0.1457430085628293</x:v>
      </x:c>
      <x:c r="AA298" s="26" t="n">
        <x:f>IF(AND(ISNUMBER(R298),ISNUMBER(R334),R334&gt;0,E298=E334),1-R298/R334,"")</x:f>
        <x:v>0.10421983710922078</x:v>
      </x:c>
      <x:c r="AB298" s="26"/>
      <x:c r="AC298" s="19" t="str">
        <x:v>D:/Codex/GRL研究/outputs/grid89_review/per_date.csv</x:v>
      </x:c>
    </x:row>
    <x:row r="299" ht="36" customHeight="1">
      <x:c r="A299" s="19" t="str">
        <x:v>GRID89 参数</x:v>
      </x:c>
      <x:c r="B299" s="19" t="str">
        <x:v>2035-09-03_4</x:v>
      </x:c>
      <x:c r="C299" s="19" t="str">
        <x:v>FRAME_h_32</x:v>
      </x:c>
      <x:c r="D299" s="21" t="n">
        <x:v>1</x:v>
      </x:c>
      <x:c r="E299" s="21" t="n">
        <x:v>2017</x:v>
      </x:c>
      <x:c r="F299" s="21" t="n">
        <x:v>1</x:v>
      </x:c>
      <x:c r="G299" s="21" t="n">
        <x:v>1</x:v>
      </x:c>
      <x:c r="H299" s="22" t="n">
        <x:v>1265835.7439422607</x:v>
      </x:c>
      <x:c r="I299" s="23" t="n">
        <x:v>-0.0186656352781418</x:v>
      </x:c>
      <x:c r="J299" s="24" t="n">
        <x:v>2939</x:v>
      </x:c>
      <x:c r="K299" s="25" t="n">
        <x:v>55.04586950008161</x:v>
      </x:c>
      <x:c r="L299" s="25" t="n">
        <x:v>19.349650200107135</x:v>
      </x:c>
      <x:c r="M299" s="25" t="n">
        <x:v>29.394608799942944</x:v>
      </x:c>
      <x:c r="N299" s="25" t="n">
        <x:v>0.8929233000599197</x:v>
      </x:c>
      <x:c r="O299" s="25" t="n">
        <x:v>5.4086871999716095</x:v>
      </x:c>
      <x:c r="P299" s="25" t="n">
        <x:v>0.03402247999983955</x:v>
      </x:c>
      <x:c r="Q299" s="25" t="n">
        <x:v>0.7475021879989071</x:v>
      </x:c>
      <x:c r="R299" s="25" t="n">
        <x:v>3.875148500000432</x:v>
      </x:c>
      <x:c r="S299" s="25" t="n">
        <x:v>3.9392108200010987</x:v>
      </x:c>
      <x:c r="T299" s="25" t="n">
        <x:v>55.04586950008161</x:v>
      </x:c>
      <x:c r="U299" s="25" t="n">
        <x:v>55.04586950008161</x:v>
      </x:c>
      <x:c r="V299" s="25"/>
      <x:c r="W299" s="19" t="str">
        <x:v>FULL</x:v>
      </x:c>
      <x:c r="X299" s="26" t="n">
        <x:f>IF(AND(J335&gt;0,E299=E335),1-J299/J335,"")</x:f>
        <x:v>0.5918055555555555</x:v>
      </x:c>
      <x:c r="Y299" s="26" t="n">
        <x:f>IF(AND(K335&gt;0,E299=E335),1-K299/K335,"")</x:f>
        <x:v>0.24449220493205293</x:v>
      </x:c>
      <x:c r="Z299" s="26" t="n">
        <x:f>IF(AND(ISNUMBER(P335),P335&gt;0,E299=E335),1-P299/P335,"")</x:f>
        <x:v>0.05022391530655468</x:v>
      </x:c>
      <x:c r="AA299" s="26" t="n">
        <x:f>IF(AND(ISNUMBER(R299),ISNUMBER(R335),R335&gt;0,E299=E335),1-R299/R335,"")</x:f>
        <x:v>0.27127093276644</x:v>
      </x:c>
      <x:c r="AB299" s="26"/>
      <x:c r="AC299" s="19" t="str">
        <x:v>D:/Codex/GRL研究/outputs/grid89_review/per_date.csv</x:v>
      </x:c>
    </x:row>
    <x:row r="300" ht="36" customHeight="1">
      <x:c r="A300" s="19" t="str">
        <x:v>GRID89 参数</x:v>
      </x:c>
      <x:c r="B300" s="19" t="str">
        <x:v>2035-10-01_5</x:v>
      </x:c>
      <x:c r="C300" s="19" t="str">
        <x:v>FRAME_h_32</x:v>
      </x:c>
      <x:c r="D300" s="21" t="n">
        <x:v>1</x:v>
      </x:c>
      <x:c r="E300" s="21" t="n">
        <x:v>2017</x:v>
      </x:c>
      <x:c r="F300" s="21" t="n">
        <x:v>1</x:v>
      </x:c>
      <x:c r="G300" s="21" t="n">
        <x:v>1</x:v>
      </x:c>
      <x:c r="H300" s="22" t="n">
        <x:v>1544822.9655151367</x:v>
      </x:c>
      <x:c r="I300" s="23" t="n">
        <x:v>0</x:v>
      </x:c>
      <x:c r="J300" s="24" t="n">
        <x:v>512</x:v>
      </x:c>
      <x:c r="K300" s="25" t="n">
        <x:v>46.82314299983045</x:v>
      </x:c>
      <x:c r="L300" s="25" t="n">
        <x:v>9.211875199947826</x:v>
      </x:c>
      <x:c r="M300" s="25" t="n">
        <x:v>31.991309099990758</x:v>
      </x:c>
      <x:c r="N300" s="25" t="n">
        <x:v>0.2223084999823186</x:v>
      </x:c>
      <x:c r="O300" s="25" t="n">
        <x:v>5.397650199909549</x:v>
      </x:c>
      <x:c r="P300" s="25" t="n">
        <x:v>0.031591680002748035</x:v>
      </x:c>
      <x:c r="Q300" s="25" t="n">
        <x:v>0.7310535080000407</x:v>
      </x:c>
      <x:c r="R300" s="25" t="n">
        <x:v>0.8752723349993176</x:v>
      </x:c>
      <x:c r="S300" s="25" t="n">
        <x:v>0.8758677469992836</x:v>
      </x:c>
      <x:c r="T300" s="25" t="n">
        <x:v>46.82314299983045</x:v>
      </x:c>
      <x:c r="U300" s="25" t="n">
        <x:v>46.82314299983045</x:v>
      </x:c>
      <x:c r="V300" s="25"/>
      <x:c r="W300" s="19" t="str">
        <x:v>FULL</x:v>
      </x:c>
      <x:c r="X300" s="26" t="n">
        <x:f>IF(AND(J336&gt;0,E300=E336),1-J300/J336,"")</x:f>
        <x:v>0.7182168409466153</x:v>
      </x:c>
      <x:c r="Y300" s="26" t="n">
        <x:f>IF(AND(K336&gt;0,E300=E336),1-K300/K336,"")</x:f>
        <x:v>0.08515244803779931</x:v>
      </x:c>
      <x:c r="Z300" s="26" t="n">
        <x:f>IF(AND(ISNUMBER(P336),P336&gt;0,E300=E336),1-P300/P336,"")</x:f>
        <x:v>0.0031421911652075307</x:v>
      </x:c>
      <x:c r="AA300" s="26" t="n">
        <x:f>IF(AND(ISNUMBER(R300),ISNUMBER(R336),R336&gt;0,E300=E336),1-R300/R336,"")</x:f>
        <x:v>0.6959852476809334</x:v>
      </x:c>
      <x:c r="AB300" s="26"/>
      <x:c r="AC300" s="19" t="str">
        <x:v>D:/Codex/GRL研究/outputs/grid89_review/per_date.csv</x:v>
      </x:c>
    </x:row>
    <x:row r="301" ht="36" customHeight="1">
      <x:c r="A301" s="19" t="str">
        <x:v>GRID89 参数</x:v>
      </x:c>
      <x:c r="B301" s="19" t="str">
        <x:v>2035-03-05_0</x:v>
      </x:c>
      <x:c r="C301" s="19" t="str">
        <x:v>FRAME_p_256</x:v>
      </x:c>
      <x:c r="D301" s="21" t="n">
        <x:v>1</x:v>
      </x:c>
      <x:c r="E301" s="21" t="n">
        <x:v>2017</x:v>
      </x:c>
      <x:c r="F301" s="21" t="n">
        <x:v>0</x:v>
      </x:c>
      <x:c r="G301" s="21" t="n">
        <x:v>1</x:v>
      </x:c>
      <x:c r="H301" s="22" t="n">
        <x:v>3004843.189453125</x:v>
      </x:c>
      <x:c r="I301" s="23" t="n">
        <x:v>0.01374063269893866</x:v>
      </x:c>
      <x:c r="J301" s="24" t="n">
        <x:v>5208</x:v>
      </x:c>
      <x:c r="K301" s="25" t="n">
        <x:v>135.03630320010416</x:v>
      </x:c>
      <x:c r="L301" s="25" t="n">
        <x:v>27.514296100314823</x:v>
      </x:c>
      <x:c r="M301" s="25" t="n">
        <x:v>101.16924649999055</x:v>
      </x:c>
      <x:c r="N301" s="25" t="n">
        <x:v>1.2372410001153185</x:v>
      </x:c>
      <x:c r="O301" s="25" t="n">
        <x:v>5.115519599683466</x:v>
      </x:c>
      <x:c r="P301" s="25" t="n">
        <x:v>0.0432595000012952</x:v>
      </x:c>
      <x:c r="Q301" s="25" t="n">
        <x:v>2.3621522400010058</x:v>
      </x:c>
      <x:c r="R301" s="25" t="n">
        <x:v>4.718270600000324</x:v>
      </x:c>
      <x:c r="S301" s="25" t="n">
        <x:v>4.75841892000135</x:v>
      </x:c>
      <x:c r="T301" s="25" t="n">
        <x:v>135.03630320010416</x:v>
      </x:c>
      <x:c r="U301" s="25" t="n">
        <x:v>135.03630320010416</x:v>
      </x:c>
      <x:c r="V301" s="25"/>
      <x:c r="W301" s="19" t="str">
        <x:v>FULL</x:v>
      </x:c>
      <x:c r="X301" s="26" t="n">
        <x:f>IF(AND(J333&gt;0,E301=E333),1-J301/J333,"")</x:f>
        <x:v>0.4562539152223847</x:v>
      </x:c>
      <x:c r="Y301" s="26" t="n">
        <x:f>IF(AND(K333&gt;0,E301=E333),1-K301/K333,"")</x:f>
        <x:v>0.11250236949884806</x:v>
      </x:c>
      <x:c r="Z301" s="26" t="n">
        <x:f>IF(AND(ISNUMBER(P333),P333&gt;0,E301=E333),1-P301/P333,"")</x:f>
        <x:v>-0.007637730742337867</x:v>
      </x:c>
      <x:c r="AA301" s="26" t="n">
        <x:f>IF(AND(ISNUMBER(R301),ISNUMBER(R333),R333&gt;0,E301=E333),1-R301/R333,"")</x:f>
        <x:v>0.26895471904463675</x:v>
      </x:c>
      <x:c r="AB301" s="26"/>
      <x:c r="AC301" s="19" t="str">
        <x:v>D:/Codex/GRL研究/outputs/grid89_review/per_date.csv</x:v>
      </x:c>
    </x:row>
    <x:row r="302" ht="36" customHeight="1">
      <x:c r="A302" s="19" t="str">
        <x:v>GRID89 参数</x:v>
      </x:c>
      <x:c r="B302" s="19" t="str">
        <x:v>2035-06-25_8</x:v>
      </x:c>
      <x:c r="C302" s="19" t="str">
        <x:v>FRAME_p_256</x:v>
      </x:c>
      <x:c r="D302" s="21" t="n">
        <x:v>1</x:v>
      </x:c>
      <x:c r="E302" s="21" t="n">
        <x:v>1901</x:v>
      </x:c>
      <x:c r="F302" s="21" t="n">
        <x:v>1</x:v>
      </x:c>
      <x:c r="G302" s="21" t="n">
        <x:v>0</x:v>
      </x:c>
      <x:c r="H302" s="22" t="n">
        <x:v>1156085.3905029297</x:v>
      </x:c>
      <x:c r="I302" s="23"/>
      <x:c r="J302" s="24" t="n">
        <x:v>2264</x:v>
      </x:c>
      <x:c r="K302" s="25" t="n">
        <x:v>57.83431839991317</x:v>
      </x:c>
      <x:c r="L302" s="25" t="n">
        <x:v>15.004109600173251</x:v>
      </x:c>
      <x:c r="M302" s="25" t="n">
        <x:v>36.49736540005324</x:v>
      </x:c>
      <x:c r="N302" s="25" t="n">
        <x:v>0.517659699991782</x:v>
      </x:c>
      <x:c r="O302" s="25" t="n">
        <x:v>5.815183699694899</x:v>
      </x:c>
      <x:c r="P302" s="25" t="n">
        <x:v>0.03624810000110301</x:v>
      </x:c>
      <x:c r="Q302" s="25" t="n">
        <x:v>0.758149900000717</x:v>
      </x:c>
      <x:c r="R302" s="25" t="n">
        <x:v>2.8587929800007257</x:v>
      </x:c>
      <x:c r="S302" s="25" t="n">
        <x:v>3.0138211560004855</x:v>
      </x:c>
      <x:c r="T302" s="25" t="n">
        <x:v>57.83431839991317</x:v>
      </x:c>
      <x:c r="U302" s="25" t="n">
        <x:v>57.83431839991317</x:v>
      </x:c>
      <x:c r="V302" s="25"/>
      <x:c r="W302" s="19" t="str">
        <x:v>FULL</x:v>
      </x:c>
      <x:c r="X302" s="26" t="n">
        <x:f>IF(AND(J334&gt;0,E302=E334),1-J302/J334,"")</x:f>
        <x:v>0.4342828585707147</x:v>
      </x:c>
      <x:c r="Y302" s="26" t="n">
        <x:f>IF(AND(K334&gt;0,E302=E334),1-K302/K334,"")</x:f>
        <x:v>-0.01604978248707667</x:v>
      </x:c>
      <x:c r="Z302" s="26" t="n">
        <x:f>IF(AND(ISNUMBER(P334),P334&gt;0,E302=E334),1-P302/P334,"")</x:f>
        <x:v>-0.14880771285063488</x:v>
      </x:c>
      <x:c r="AA302" s="26" t="n">
        <x:f>IF(AND(ISNUMBER(R302),ISNUMBER(R334),R334&gt;0,E302=E334),1-R302/R334,"")</x:f>
        <x:v>0.10081390506710108</x:v>
      </x:c>
      <x:c r="AB302" s="26"/>
      <x:c r="AC302" s="19" t="str">
        <x:v>D:/Codex/GRL研究/outputs/grid89_review/per_date.csv</x:v>
      </x:c>
    </x:row>
    <x:row r="303" ht="36" customHeight="1">
      <x:c r="A303" s="19" t="str">
        <x:v>GRID89 参数</x:v>
      </x:c>
      <x:c r="B303" s="19" t="str">
        <x:v>2035-09-03_4</x:v>
      </x:c>
      <x:c r="C303" s="19" t="str">
        <x:v>FRAME_p_256</x:v>
      </x:c>
      <x:c r="D303" s="21" t="n">
        <x:v>1</x:v>
      </x:c>
      <x:c r="E303" s="21" t="n">
        <x:v>2017</x:v>
      </x:c>
      <x:c r="F303" s="21" t="n">
        <x:v>1</x:v>
      </x:c>
      <x:c r="G303" s="21" t="n">
        <x:v>1</x:v>
      </x:c>
      <x:c r="H303" s="22" t="n">
        <x:v>1289912.7855377197</x:v>
      </x:c>
      <x:c r="I303" s="23" t="n">
        <x:v>0</x:v>
      </x:c>
      <x:c r="J303" s="24" t="n">
        <x:v>3879</x:v>
      </x:c>
      <x:c r="K303" s="25" t="n">
        <x:v>59.759837899997365</x:v>
      </x:c>
      <x:c r="L303" s="25" t="n">
        <x:v>21.68518879993644</x:v>
      </x:c>
      <x:c r="M303" s="25" t="n">
        <x:v>31.591469299997698</x:v>
      </x:c>
      <x:c r="N303" s="25" t="n">
        <x:v>0.912261400026182</x:v>
      </x:c>
      <x:c r="O303" s="25" t="n">
        <x:v>5.570918400037044</x:v>
      </x:c>
      <x:c r="P303" s="25" t="n">
        <x:v>0.034204560000944184</x:v>
      </x:c>
      <x:c r="Q303" s="25" t="n">
        <x:v>0.7464608559991757</x:v>
      </x:c>
      <x:c r="R303" s="25" t="n">
        <x:v>4.097961789999863</x:v>
      </x:c>
      <x:c r="S303" s="25" t="n">
        <x:v>4.175020197999874</x:v>
      </x:c>
      <x:c r="T303" s="25" t="n">
        <x:v>59.759837899997365</x:v>
      </x:c>
      <x:c r="U303" s="25" t="n">
        <x:v>59.759837899997365</x:v>
      </x:c>
      <x:c r="V303" s="25"/>
      <x:c r="W303" s="19" t="str">
        <x:v>FULL</x:v>
      </x:c>
      <x:c r="X303" s="26" t="n">
        <x:f>IF(AND(J335&gt;0,E303=E335),1-J303/J335,"")</x:f>
        <x:v>0.46125000000000005</x:v>
      </x:c>
      <x:c r="Y303" s="26" t="n">
        <x:f>IF(AND(K335&gt;0,E303=E335),1-K303/K335,"")</x:f>
        <x:v>0.17979271150621012</x:v>
      </x:c>
      <x:c r="Z303" s="26" t="n">
        <x:f>IF(AND(ISNUMBER(P335),P335&gt;0,E303=E335),1-P303/P335,"")</x:f>
        <x:v>0.04514094573611338</x:v>
      </x:c>
      <x:c r="AA303" s="26" t="n">
        <x:f>IF(AND(ISNUMBER(R303),ISNUMBER(R335),R335&gt;0,E303=E335),1-R303/R335,"")</x:f>
        <x:v>0.22937046856784016</x:v>
      </x:c>
      <x:c r="AB303" s="26"/>
      <x:c r="AC303" s="19" t="str">
        <x:v>D:/Codex/GRL研究/outputs/grid89_review/per_date.csv</x:v>
      </x:c>
    </x:row>
    <x:row r="304" ht="36" customHeight="1">
      <x:c r="A304" s="19" t="str">
        <x:v>GRID89 参数</x:v>
      </x:c>
      <x:c r="B304" s="19" t="str">
        <x:v>2035-10-01_5</x:v>
      </x:c>
      <x:c r="C304" s="19" t="str">
        <x:v>FRAME_p_256</x:v>
      </x:c>
      <x:c r="D304" s="21" t="n">
        <x:v>1</x:v>
      </x:c>
      <x:c r="E304" s="21" t="n">
        <x:v>2017</x:v>
      </x:c>
      <x:c r="F304" s="21" t="n">
        <x:v>1</x:v>
      </x:c>
      <x:c r="G304" s="21" t="n">
        <x:v>1</x:v>
      </x:c>
      <x:c r="H304" s="22" t="n">
        <x:v>1544822.9655151367</x:v>
      </x:c>
      <x:c r="I304" s="23" t="n">
        <x:v>0</x:v>
      </x:c>
      <x:c r="J304" s="24" t="n">
        <x:v>768</x:v>
      </x:c>
      <x:c r="K304" s="25" t="n">
        <x:v>47.72710710012325</x:v>
      </x:c>
      <x:c r="L304" s="25" t="n">
        <x:v>9.956416100041679</x:v>
      </x:c>
      <x:c r="M304" s="25" t="n">
        <x:v>32.12127349999355</x:v>
      </x:c>
      <x:c r="N304" s="25" t="n">
        <x:v>0.22293770005489932</x:v>
      </x:c>
      <x:c r="O304" s="25" t="n">
        <x:v>5.426479800033121</x:v>
      </x:c>
      <x:c r="P304" s="25" t="n">
        <x:v>0.03183995999934268</x:v>
      </x:c>
      <x:c r="Q304" s="25" t="n">
        <x:v>0.7279670079980858</x:v>
      </x:c>
      <x:c r="R304" s="25" t="n">
        <x:v>1.252421485000923</x:v>
      </x:c>
      <x:c r="S304" s="25" t="n">
        <x:v>1.2528732570010106</x:v>
      </x:c>
      <x:c r="T304" s="25" t="n">
        <x:v>47.72710710012325</x:v>
      </x:c>
      <x:c r="U304" s="25" t="n">
        <x:v>47.72710710012325</x:v>
      </x:c>
      <x:c r="V304" s="25"/>
      <x:c r="W304" s="19" t="str">
        <x:v>FULL</x:v>
      </x:c>
      <x:c r="X304" s="26" t="n">
        <x:f>IF(AND(J336&gt;0,E304=E336),1-J304/J336,"")</x:f>
        <x:v>0.5773252614199229</x:v>
      </x:c>
      <x:c r="Y304" s="26" t="n">
        <x:f>IF(AND(K336&gt;0,E304=E336),1-K304/K336,"")</x:f>
        <x:v>0.0674904695538352</x:v>
      </x:c>
      <x:c r="Z304" s="26" t="n">
        <x:f>IF(AND(ISNUMBER(P336),P336&gt;0,E304=E336),1-P304/P336,"")</x:f>
        <x:v>-0.004692145386736568</x:v>
      </x:c>
      <x:c r="AA304" s="26" t="n">
        <x:f>IF(AND(ISNUMBER(R304),ISNUMBER(R336),R336&gt;0,E304=E336),1-R304/R336,"")</x:f>
        <x:v>0.5649872704340301</x:v>
      </x:c>
      <x:c r="AB304" s="26"/>
      <x:c r="AC304" s="19" t="str">
        <x:v>D:/Codex/GRL研究/outputs/grid89_review/per_date.csv</x:v>
      </x:c>
    </x:row>
    <x:row r="305" ht="36" customHeight="1">
      <x:c r="A305" s="19" t="str">
        <x:v>GRID89 参数</x:v>
      </x:c>
      <x:c r="B305" s="19" t="str">
        <x:v>2035-03-05_0</x:v>
      </x:c>
      <x:c r="C305" s="19" t="str">
        <x:v>FRAME_p_64</x:v>
      </x:c>
      <x:c r="D305" s="21" t="n">
        <x:v>1</x:v>
      </x:c>
      <x:c r="E305" s="21" t="n">
        <x:v>2017</x:v>
      </x:c>
      <x:c r="F305" s="21" t="n">
        <x:v>1</x:v>
      </x:c>
      <x:c r="G305" s="21" t="n">
        <x:v>1</x:v>
      </x:c>
      <x:c r="H305" s="22" t="n">
        <x:v>2975141.026245117</x:v>
      </x:c>
      <x:c r="I305" s="23" t="n">
        <x:v>0.003720046656812137</x:v>
      </x:c>
      <x:c r="J305" s="24" t="n">
        <x:v>3720</x:v>
      </x:c>
      <x:c r="K305" s="25" t="n">
        <x:v>133.16768499997124</x:v>
      </x:c>
      <x:c r="L305" s="25" t="n">
        <x:v>22.962890200138645</x:v>
      </x:c>
      <x:c r="M305" s="25" t="n">
        <x:v>104.12396159996933</x:v>
      </x:c>
      <x:c r="N305" s="25" t="n">
        <x:v>1.1286682999343611</x:v>
      </x:c>
      <x:c r="O305" s="25" t="n">
        <x:v>4.952164899928903</x:v>
      </x:c>
      <x:c r="P305" s="25" t="n">
        <x:v>0.042957719999685604</x:v>
      </x:c>
      <x:c r="Q305" s="25" t="n">
        <x:v>2.2435234359990854</x:v>
      </x:c>
      <x:c r="R305" s="25" t="n">
        <x:v>5.09471663500044</x:v>
      </x:c>
      <x:c r="S305" s="25" t="n">
        <x:v>5.376734047000136</x:v>
      </x:c>
      <x:c r="T305" s="25" t="n">
        <x:v>133.16768499997124</x:v>
      </x:c>
      <x:c r="U305" s="25" t="n">
        <x:v>133.16768499997124</x:v>
      </x:c>
      <x:c r="V305" s="25"/>
      <x:c r="W305" s="19" t="str">
        <x:v>FULL</x:v>
      </x:c>
      <x:c r="X305" s="26" t="n">
        <x:f>IF(AND(J333&gt;0,E305=E333),1-J305/J333,"")</x:f>
        <x:v>0.6116099394445604</x:v>
      </x:c>
      <x:c r="Y305" s="26" t="n">
        <x:f>IF(AND(K333&gt;0,E305=E333),1-K305/K333,"")</x:f>
        <x:v>0.12478346862277623</x:v>
      </x:c>
      <x:c r="Z305" s="26" t="n">
        <x:f>IF(AND(ISNUMBER(P333),P333&gt;0,E305=E333),1-P305/P333,"")</x:f>
        <x:v>-0.0006084096453256027</x:v>
      </x:c>
      <x:c r="AA305" s="26" t="n">
        <x:f>IF(AND(ISNUMBER(R305),ISNUMBER(R333),R333&gt;0,E305=E333),1-R305/R333,"")</x:f>
        <x:v>0.2106284548788694</x:v>
      </x:c>
      <x:c r="AB305" s="26"/>
      <x:c r="AC305" s="19" t="str">
        <x:v>D:/Codex/GRL研究/outputs/grid89_review/per_date.csv</x:v>
      </x:c>
    </x:row>
    <x:row r="306" ht="36" customHeight="1">
      <x:c r="A306" s="19" t="str">
        <x:v>GRID89 参数</x:v>
      </x:c>
      <x:c r="B306" s="19" t="str">
        <x:v>2035-06-25_8</x:v>
      </x:c>
      <x:c r="C306" s="19" t="str">
        <x:v>FRAME_p_64</x:v>
      </x:c>
      <x:c r="D306" s="21" t="n">
        <x:v>1</x:v>
      </x:c>
      <x:c r="E306" s="21" t="n">
        <x:v>1901</x:v>
      </x:c>
      <x:c r="F306" s="21" t="n">
        <x:v>1</x:v>
      </x:c>
      <x:c r="G306" s="21" t="n">
        <x:v>0</x:v>
      </x:c>
      <x:c r="H306" s="22" t="n">
        <x:v>1156085.3905029297</x:v>
      </x:c>
      <x:c r="I306" s="23"/>
      <x:c r="J306" s="24" t="n">
        <x:v>1889</x:v>
      </x:c>
      <x:c r="K306" s="25" t="n">
        <x:v>56.40996980007185</x:v>
      </x:c>
      <x:c r="L306" s="25" t="n">
        <x:v>13.722626099835907</x:v>
      </x:c>
      <x:c r="M306" s="25" t="n">
        <x:v>37.202735199956805</x:v>
      </x:c>
      <x:c r="N306" s="25" t="n">
        <x:v>0.501696500046819</x:v>
      </x:c>
      <x:c r="O306" s="25" t="n">
        <x:v>4.982912000232318</x:v>
      </x:c>
      <x:c r="P306" s="25" t="n">
        <x:v>0.0355881000032241</x:v>
      </x:c>
      <x:c r="Q306" s="25" t="n">
        <x:v>0.7709489999979269</x:v>
      </x:c>
      <x:c r="R306" s="25" t="n">
        <x:v>2.8271867200019187</x:v>
      </x:c>
      <x:c r="S306" s="25" t="n">
        <x:v>3.0423147040026377</x:v>
      </x:c>
      <x:c r="T306" s="25" t="n">
        <x:v>56.40996980007185</x:v>
      </x:c>
      <x:c r="U306" s="25" t="n">
        <x:v>56.40996980007185</x:v>
      </x:c>
      <x:c r="V306" s="25"/>
      <x:c r="W306" s="19" t="str">
        <x:v>FULL</x:v>
      </x:c>
      <x:c r="X306" s="26" t="n">
        <x:f>IF(AND(J334&gt;0,E306=E334),1-J306/J334,"")</x:f>
        <x:v>0.5279860069965017</x:v>
      </x:c>
      <x:c r="Y306" s="26" t="n">
        <x:f>IF(AND(K334&gt;0,E306=E334),1-K306/K334,"")</x:f>
        <x:v>0.008973579507913443</x:v>
      </x:c>
      <x:c r="Z306" s="26" t="n">
        <x:f>IF(AND(ISNUMBER(P334),P334&gt;0,E306=E334),1-P306/P334,"")</x:f>
        <x:v>-0.12789039337674168</x:v>
      </x:c>
      <x:c r="AA306" s="26" t="n">
        <x:f>IF(AND(ISNUMBER(R306),ISNUMBER(R334),R334&gt;0,E306=E334),1-R306/R334,"")</x:f>
        <x:v>0.1107551319074419</x:v>
      </x:c>
      <x:c r="AB306" s="26"/>
      <x:c r="AC306" s="19" t="str">
        <x:v>D:/Codex/GRL研究/outputs/grid89_review/per_date.csv</x:v>
      </x:c>
    </x:row>
    <x:row r="307" ht="36" customHeight="1">
      <x:c r="A307" s="19" t="str">
        <x:v>GRID89 参数</x:v>
      </x:c>
      <x:c r="B307" s="19" t="str">
        <x:v>2035-09-03_4</x:v>
      </x:c>
      <x:c r="C307" s="19" t="str">
        <x:v>FRAME_p_64</x:v>
      </x:c>
      <x:c r="D307" s="21" t="n">
        <x:v>1</x:v>
      </x:c>
      <x:c r="E307" s="21" t="n">
        <x:v>2017</x:v>
      </x:c>
      <x:c r="F307" s="21" t="n">
        <x:v>1</x:v>
      </x:c>
      <x:c r="G307" s="21" t="n">
        <x:v>1</x:v>
      </x:c>
      <x:c r="H307" s="22" t="n">
        <x:v>1265835.7439422607</x:v>
      </x:c>
      <x:c r="I307" s="23" t="n">
        <x:v>-0.0186656352781418</x:v>
      </x:c>
      <x:c r="J307" s="24" t="n">
        <x:v>2988</x:v>
      </x:c>
      <x:c r="K307" s="25" t="n">
        <x:v>55.07343530005164</x:v>
      </x:c>
      <x:c r="L307" s="25" t="n">
        <x:v>19.45937769991724</x:v>
      </x:c>
      <x:c r="M307" s="25" t="n">
        <x:v>29.24177649993362</x:v>
      </x:c>
      <x:c r="N307" s="25" t="n">
        <x:v>0.9289527000255475</x:v>
      </x:c>
      <x:c r="O307" s="25" t="n">
        <x:v>5.443328400175233</x:v>
      </x:c>
      <x:c r="P307" s="25" t="n">
        <x:v>0.034613880000688366</x:v>
      </x:c>
      <x:c r="Q307" s="25" t="n">
        <x:v>0.7428280639983131</x:v>
      </x:c>
      <x:c r="R307" s="25" t="n">
        <x:v>3.83330903500173</x:v>
      </x:c>
      <x:c r="S307" s="25" t="n">
        <x:v>3.860208607001405</x:v>
      </x:c>
      <x:c r="T307" s="25" t="n">
        <x:v>55.07343530005164</x:v>
      </x:c>
      <x:c r="U307" s="25" t="n">
        <x:v>55.07343530005164</x:v>
      </x:c>
      <x:c r="V307" s="25"/>
      <x:c r="W307" s="19" t="str">
        <x:v>FULL</x:v>
      </x:c>
      <x:c r="X307" s="26" t="n">
        <x:f>IF(AND(J335&gt;0,E307=E335),1-J307/J335,"")</x:f>
        <x:v>0.585</x:v>
      </x:c>
      <x:c r="Y307" s="26" t="n">
        <x:f>IF(AND(K335&gt;0,E307=E335),1-K307/K335,"")</x:f>
        <x:v>0.24411386270685453</x:v>
      </x:c>
      <x:c r="Z307" s="26" t="n">
        <x:f>IF(AND(ISNUMBER(P335),P335&gt;0,E307=E335),1-P307/P335,"")</x:f>
        <x:v>0.03371431408711001</x:v>
      </x:c>
      <x:c r="AA307" s="26" t="n">
        <x:f>IF(AND(ISNUMBER(R307),ISNUMBER(R335),R335&gt;0,E307=E335),1-R307/R335,"")</x:f>
        <x:v>0.2791389239678228</x:v>
      </x:c>
      <x:c r="AB307" s="26"/>
      <x:c r="AC307" s="19" t="str">
        <x:v>D:/Codex/GRL研究/outputs/grid89_review/per_date.csv</x:v>
      </x:c>
    </x:row>
    <x:row r="308" ht="36" customHeight="1">
      <x:c r="A308" s="19" t="str">
        <x:v>GRID89 参数</x:v>
      </x:c>
      <x:c r="B308" s="19" t="str">
        <x:v>2035-10-01_5</x:v>
      </x:c>
      <x:c r="C308" s="19" t="str">
        <x:v>FRAME_p_64</x:v>
      </x:c>
      <x:c r="D308" s="21" t="n">
        <x:v>1</x:v>
      </x:c>
      <x:c r="E308" s="21" t="n">
        <x:v>2017</x:v>
      </x:c>
      <x:c r="F308" s="21" t="n">
        <x:v>1</x:v>
      </x:c>
      <x:c r="G308" s="21" t="n">
        <x:v>1</x:v>
      </x:c>
      <x:c r="H308" s="22" t="n">
        <x:v>1544822.9655151367</x:v>
      </x:c>
      <x:c r="I308" s="23" t="n">
        <x:v>0</x:v>
      </x:c>
      <x:c r="J308" s="24" t="n">
        <x:v>554</x:v>
      </x:c>
      <x:c r="K308" s="25" t="n">
        <x:v>47.38568470009341</x:v>
      </x:c>
      <x:c r="L308" s="25" t="n">
        <x:v>9.469702299997152</x:v>
      </x:c>
      <x:c r="M308" s="25" t="n">
        <x:v>32.2039314000358</x:v>
      </x:c>
      <x:c r="N308" s="25" t="n">
        <x:v>0.21976039994478924</x:v>
      </x:c>
      <x:c r="O308" s="25" t="n">
        <x:v>5.492290600115666</x:v>
      </x:c>
      <x:c r="P308" s="25" t="n">
        <x:v>0.03229379999829689</x:v>
      </x:c>
      <x:c r="Q308" s="25" t="n">
        <x:v>0.7345107719977384</x:v>
      </x:c>
      <x:c r="R308" s="25" t="n">
        <x:v>0.98461315500208</x:v>
      </x:c>
      <x:c r="S308" s="25" t="n">
        <x:v>0.9879954310021276</x:v>
      </x:c>
      <x:c r="T308" s="25" t="n">
        <x:v>47.38568470009341</x:v>
      </x:c>
      <x:c r="U308" s="25" t="n">
        <x:v>47.38568470009341</x:v>
      </x:c>
      <x:c r="V308" s="25"/>
      <x:c r="W308" s="19" t="str">
        <x:v>FULL</x:v>
      </x:c>
      <x:c r="X308" s="26" t="n">
        <x:f>IF(AND(J336&gt;0,E308=E336),1-J308/J336,"")</x:f>
        <x:v>0.6951018161805174</x:v>
      </x:c>
      <x:c r="Y308" s="26" t="n">
        <x:f>IF(AND(K336&gt;0,E308=E336),1-K308/K336,"")</x:f>
        <x:v>0.07416130424883827</x:v>
      </x:c>
      <x:c r="Z308" s="26" t="n">
        <x:f>IF(AND(ISNUMBER(P336),P336&gt;0,E308=E336),1-P308/P336,"")</x:f>
        <x:v>-0.01901281294476842</x:v>
      </x:c>
      <x:c r="AA308" s="26" t="n">
        <x:f>IF(AND(ISNUMBER(R308),ISNUMBER(R336),R336&gt;0,E308=E336),1-R308/R336,"")</x:f>
        <x:v>0.658007099643695</x:v>
      </x:c>
      <x:c r="AB308" s="26"/>
      <x:c r="AC308" s="19" t="str">
        <x:v>D:/Codex/GRL研究/outputs/grid89_review/per_date.csv</x:v>
      </x:c>
    </x:row>
    <x:row r="309" ht="36" customHeight="1">
      <x:c r="A309" s="19" t="str">
        <x:v>GRID89 参数</x:v>
      </x:c>
      <x:c r="B309" s="19" t="str">
        <x:v>2035-03-05_0</x:v>
      </x:c>
      <x:c r="C309" s="19" t="str">
        <x:v>FRAME_patience_1</x:v>
      </x:c>
      <x:c r="D309" s="21" t="n">
        <x:v>1</x:v>
      </x:c>
      <x:c r="E309" s="21" t="n">
        <x:v>2017</x:v>
      </x:c>
      <x:c r="F309" s="21" t="n">
        <x:v>1</x:v>
      </x:c>
      <x:c r="G309" s="21" t="n">
        <x:v>1</x:v>
      </x:c>
      <x:c r="H309" s="22" t="n">
        <x:v>2975141.026245117</x:v>
      </x:c>
      <x:c r="I309" s="23" t="n">
        <x:v>0.003720046656812137</x:v>
      </x:c>
      <x:c r="J309" s="24" t="n">
        <x:v>3501</x:v>
      </x:c>
      <x:c r="K309" s="25" t="n">
        <x:v>131.4225850999792</x:v>
      </x:c>
      <x:c r="L309" s="25" t="n">
        <x:v>22.220950499922765</x:v>
      </x:c>
      <x:c r="M309" s="25" t="n">
        <x:v>103.25073159996828</x:v>
      </x:c>
      <x:c r="N309" s="25" t="n">
        <x:v>1.1099830999410187</x:v>
      </x:c>
      <x:c r="O309" s="25" t="n">
        <x:v>4.840919900147128</x:v>
      </x:c>
      <x:c r="P309" s="25" t="n">
        <x:v>0.041975940001429915</x:v>
      </x:c>
      <x:c r="Q309" s="25" t="n">
        <x:v>2.145409120000839</x:v>
      </x:c>
      <x:c r="R309" s="25" t="n">
        <x:v>4.948838180001621</x:v>
      </x:c>
      <x:c r="S309" s="25" t="n">
        <x:v>5.212809476002731</x:v>
      </x:c>
      <x:c r="T309" s="25" t="n">
        <x:v>131.4225850999792</x:v>
      </x:c>
      <x:c r="U309" s="25" t="n">
        <x:v>131.4225850999792</x:v>
      </x:c>
      <x:c r="V309" s="25"/>
      <x:c r="W309" s="19" t="str">
        <x:v>FULL</x:v>
      </x:c>
      <x:c r="X309" s="26" t="n">
        <x:f>IF(AND(J333&gt;0,E309=E333),1-J309/J333,"")</x:f>
        <x:v>0.6344748381708081</x:v>
      </x:c>
      <x:c r="Y309" s="26" t="n">
        <x:f>IF(AND(K333&gt;0,E309=E333),1-K309/K333,"")</x:f>
        <x:v>0.13625276976274958</x:v>
      </x:c>
      <x:c r="Z309" s="26" t="n">
        <x:f>IF(AND(ISNUMBER(P333),P333&gt;0,E309=E333),1-P309/P333,"")</x:f>
        <x:v>0.022260060159017048</x:v>
      </x:c>
      <x:c r="AA309" s="26" t="n">
        <x:f>IF(AND(ISNUMBER(R309),ISNUMBER(R333),R333&gt;0,E309=E333),1-R309/R333,"")</x:f>
        <x:v>0.23323075244949587</x:v>
      </x:c>
      <x:c r="AB309" s="26"/>
      <x:c r="AC309" s="19" t="str">
        <x:v>D:/Codex/GRL研究/outputs/grid89_review/per_date.csv</x:v>
      </x:c>
    </x:row>
    <x:row r="310" ht="36" customHeight="1">
      <x:c r="A310" s="19" t="str">
        <x:v>GRID89 参数</x:v>
      </x:c>
      <x:c r="B310" s="19" t="str">
        <x:v>2035-06-25_8</x:v>
      </x:c>
      <x:c r="C310" s="19" t="str">
        <x:v>FRAME_patience_1</x:v>
      </x:c>
      <x:c r="D310" s="21" t="n">
        <x:v>1</x:v>
      </x:c>
      <x:c r="E310" s="21" t="n">
        <x:v>1901</x:v>
      </x:c>
      <x:c r="F310" s="21" t="n">
        <x:v>1</x:v>
      </x:c>
      <x:c r="G310" s="21" t="n">
        <x:v>0</x:v>
      </x:c>
      <x:c r="H310" s="22" t="n">
        <x:v>1158696.276763916</x:v>
      </x:c>
      <x:c r="I310" s="23"/>
      <x:c r="J310" s="24" t="n">
        <x:v>1882</x:v>
      </x:c>
      <x:c r="K310" s="25" t="n">
        <x:v>56.3745033000414</x:v>
      </x:c>
      <x:c r="L310" s="25" t="n">
        <x:v>13.698898599959648</x:v>
      </x:c>
      <x:c r="M310" s="25" t="n">
        <x:v>37.16075779995299</x:v>
      </x:c>
      <x:c r="N310" s="25" t="n">
        <x:v>0.5093822000744694</x:v>
      </x:c>
      <x:c r="O310" s="25" t="n">
        <x:v>5.00546470005429</x:v>
      </x:c>
      <x:c r="P310" s="25" t="n">
        <x:v>0.03608230000099866</x:v>
      </x:c>
      <x:c r="Q310" s="25" t="n">
        <x:v>0.8550108000017644</x:v>
      </x:c>
      <x:c r="R310" s="25" t="n">
        <x:v>2.8455591999969325</x:v>
      </x:c>
      <x:c r="S310" s="25" t="n">
        <x:v>3.0611847199968176</x:v>
      </x:c>
      <x:c r="T310" s="25" t="n">
        <x:v>56.3745033000414</x:v>
      </x:c>
      <x:c r="U310" s="25" t="n">
        <x:v>56.3745033000414</x:v>
      </x:c>
      <x:c r="V310" s="25"/>
      <x:c r="W310" s="19" t="str">
        <x:v>FULL</x:v>
      </x:c>
      <x:c r="X310" s="26" t="n">
        <x:f>IF(AND(J334&gt;0,E310=E334),1-J310/J334,"")</x:f>
        <x:v>0.5297351324337831</x:v>
      </x:c>
      <x:c r="Y310" s="26" t="n">
        <x:f>IF(AND(K334&gt;0,E310=E334),1-K310/K334,"")</x:f>
        <x:v>0.009596665084756206</x:v>
      </x:c>
      <x:c r="Z310" s="26" t="n">
        <x:f>IF(AND(ISNUMBER(P334),P334&gt;0,E310=E334),1-P310/P334,"")</x:f>
        <x:v>-0.14355302863533193</x:v>
      </x:c>
      <x:c r="AA310" s="26" t="n">
        <x:f>IF(AND(ISNUMBER(R310),ISNUMBER(R334),R334&gt;0,E310=E334),1-R310/R334,"")</x:f>
        <x:v>0.1049763719005018</x:v>
      </x:c>
      <x:c r="AB310" s="26"/>
      <x:c r="AC310" s="19" t="str">
        <x:v>D:/Codex/GRL研究/outputs/grid89_review/per_date.csv</x:v>
      </x:c>
    </x:row>
    <x:row r="311" ht="36" customHeight="1">
      <x:c r="A311" s="19" t="str">
        <x:v>GRID89 参数</x:v>
      </x:c>
      <x:c r="B311" s="19" t="str">
        <x:v>2035-09-03_4</x:v>
      </x:c>
      <x:c r="C311" s="19" t="str">
        <x:v>FRAME_patience_1</x:v>
      </x:c>
      <x:c r="D311" s="21" t="n">
        <x:v>1</x:v>
      </x:c>
      <x:c r="E311" s="21" t="n">
        <x:v>2017</x:v>
      </x:c>
      <x:c r="F311" s="21" t="n">
        <x:v>1</x:v>
      </x:c>
      <x:c r="G311" s="21" t="n">
        <x:v>1</x:v>
      </x:c>
      <x:c r="H311" s="22" t="n">
        <x:v>1265835.7439422607</x:v>
      </x:c>
      <x:c r="I311" s="23" t="n">
        <x:v>-0.0186656352781418</x:v>
      </x:c>
      <x:c r="J311" s="24" t="n">
        <x:v>2939</x:v>
      </x:c>
      <x:c r="K311" s="25" t="n">
        <x:v>55.06701370001974</x:v>
      </x:c>
      <x:c r="L311" s="25" t="n">
        <x:v>19.285755599939876</x:v>
      </x:c>
      <x:c r="M311" s="25" t="n">
        <x:v>29.4062945000951</x:v>
      </x:c>
      <x:c r="N311" s="25" t="n">
        <x:v>0.9083373000103165</x:v>
      </x:c>
      <x:c r="O311" s="25" t="n">
        <x:v>5.46662629997445</x:v>
      </x:c>
      <x:c r="P311" s="25" t="n">
        <x:v>0.0339927599983639</x:v>
      </x:c>
      <x:c r="Q311" s="25" t="n">
        <x:v>0.7515650599994113</x:v>
      </x:c>
      <x:c r="R311" s="25" t="n">
        <x:v>3.8108540399995037</x:v>
      </x:c>
      <x:c r="S311" s="25" t="n">
        <x:v>3.853934727999258</x:v>
      </x:c>
      <x:c r="T311" s="25" t="n">
        <x:v>55.06701370001974</x:v>
      </x:c>
      <x:c r="U311" s="25" t="n">
        <x:v>55.06701370001974</x:v>
      </x:c>
      <x:c r="V311" s="25"/>
      <x:c r="W311" s="19" t="str">
        <x:v>FULL</x:v>
      </x:c>
      <x:c r="X311" s="26" t="n">
        <x:f>IF(AND(J335&gt;0,E311=E335),1-J311/J335,"")</x:f>
        <x:v>0.5918055555555555</x:v>
      </x:c>
      <x:c r="Y311" s="26" t="n">
        <x:f>IF(AND(K335&gt;0,E311=E335),1-K311/K335,"")</x:f>
        <x:v>0.24420199954482202</x:v>
      </x:c>
      <x:c r="Z311" s="26" t="n">
        <x:f>IF(AND(ISNUMBER(P335),P335&gt;0,E311=E335),1-P311/P335,"")</x:f>
        <x:v>0.05105358282752204</x:v>
      </x:c>
      <x:c r="AA311" s="26" t="n">
        <x:f>IF(AND(ISNUMBER(R311),ISNUMBER(R335),R335&gt;0,E311=E335),1-R311/R335,"")</x:f>
        <x:v>0.2833616286106784</x:v>
      </x:c>
      <x:c r="AB311" s="26"/>
      <x:c r="AC311" s="19" t="str">
        <x:v>D:/Codex/GRL研究/outputs/grid89_review/per_date.csv</x:v>
      </x:c>
    </x:row>
    <x:row r="312" ht="36" customHeight="1">
      <x:c r="A312" s="19" t="str">
        <x:v>GRID89 参数</x:v>
      </x:c>
      <x:c r="B312" s="19" t="str">
        <x:v>2035-10-01_5</x:v>
      </x:c>
      <x:c r="C312" s="19" t="str">
        <x:v>FRAME_patience_1</x:v>
      </x:c>
      <x:c r="D312" s="21" t="n">
        <x:v>1</x:v>
      </x:c>
      <x:c r="E312" s="21" t="n">
        <x:v>2017</x:v>
      </x:c>
      <x:c r="F312" s="21" t="n">
        <x:v>1</x:v>
      </x:c>
      <x:c r="G312" s="21" t="n">
        <x:v>1</x:v>
      </x:c>
      <x:c r="H312" s="22" t="n">
        <x:v>1544822.9655151367</x:v>
      </x:c>
      <x:c r="I312" s="23" t="n">
        <x:v>0</x:v>
      </x:c>
      <x:c r="J312" s="24" t="n">
        <x:v>512</x:v>
      </x:c>
      <x:c r="K312" s="25" t="n">
        <x:v>46.57051969998429</x:v>
      </x:c>
      <x:c r="L312" s="25" t="n">
        <x:v>9.208617199859873</x:v>
      </x:c>
      <x:c r="M312" s="25" t="n">
        <x:v>31.708210800024972</x:v>
      </x:c>
      <x:c r="N312" s="25" t="n">
        <x:v>0.23600699999224162</x:v>
      </x:c>
      <x:c r="O312" s="25" t="n">
        <x:v>5.417684700107202</x:v>
      </x:c>
      <x:c r="P312" s="25" t="n">
        <x:v>0.031653000001097095</x:v>
      </x:c>
      <x:c r="Q312" s="25" t="n">
        <x:v>0.7215069039975058</x:v>
      </x:c>
      <x:c r="R312" s="25" t="n">
        <x:v>0.8784810850002032</x:v>
      </x:c>
      <x:c r="S312" s="25" t="n">
        <x:v>0.8790169370002332</x:v>
      </x:c>
      <x:c r="T312" s="25" t="n">
        <x:v>46.57051969998429</x:v>
      </x:c>
      <x:c r="U312" s="25" t="n">
        <x:v>46.57051969998429</x:v>
      </x:c>
      <x:c r="V312" s="25"/>
      <x:c r="W312" s="19" t="str">
        <x:v>FULL</x:v>
      </x:c>
      <x:c r="X312" s="26" t="n">
        <x:f>IF(AND(J336&gt;0,E312=E336),1-J312/J336,"")</x:f>
        <x:v>0.7182168409466153</x:v>
      </x:c>
      <x:c r="Y312" s="26" t="n">
        <x:f>IF(AND(K336&gt;0,E312=E336),1-K312/K336,"")</x:f>
        <x:v>0.0900882937035572</x:v>
      </x:c>
      <x:c r="Z312" s="26" t="n">
        <x:f>IF(AND(ISNUMBER(P336),P336&gt;0,E312=E336),1-P312/P336,"")</x:f>
        <x:v>0.0012072728833472102</x:v>
      </x:c>
      <x:c r="AA312" s="26" t="n">
        <x:f>IF(AND(ISNUMBER(R312),ISNUMBER(R336),R336&gt;0,E312=E336),1-R312/R336,"")</x:f>
        <x:v>0.694870729035975</x:v>
      </x:c>
      <x:c r="AB312" s="26"/>
      <x:c r="AC312" s="19" t="str">
        <x:v>D:/Codex/GRL研究/outputs/grid89_review/per_date.csv</x:v>
      </x:c>
    </x:row>
    <x:row r="313" ht="36" customHeight="1">
      <x:c r="A313" s="19" t="str">
        <x:v>GRID89 参数</x:v>
      </x:c>
      <x:c r="B313" s="19" t="str">
        <x:v>2035-03-05_0</x:v>
      </x:c>
      <x:c r="C313" s="19" t="str">
        <x:v>FRAME_patience_3</x:v>
      </x:c>
      <x:c r="D313" s="21" t="n">
        <x:v>1</x:v>
      </x:c>
      <x:c r="E313" s="21" t="n">
        <x:v>2017</x:v>
      </x:c>
      <x:c r="F313" s="21" t="n">
        <x:v>1</x:v>
      </x:c>
      <x:c r="G313" s="21" t="n">
        <x:v>1</x:v>
      </x:c>
      <x:c r="H313" s="22" t="n">
        <x:v>2975141.026245117</x:v>
      </x:c>
      <x:c r="I313" s="23" t="n">
        <x:v>0.003720046656812137</x:v>
      </x:c>
      <x:c r="J313" s="24" t="n">
        <x:v>4565</x:v>
      </x:c>
      <x:c r="K313" s="25" t="n">
        <x:v>135.12782939997487</x:v>
      </x:c>
      <x:c r="L313" s="25" t="n">
        <x:v>25.657522000001336</x:v>
      </x:c>
      <x:c r="M313" s="25" t="n">
        <x:v>103.27862469996398</x:v>
      </x:c>
      <x:c r="N313" s="25" t="n">
        <x:v>1.1114342000582837</x:v>
      </x:c>
      <x:c r="O313" s="25" t="n">
        <x:v>5.080248499951267</x:v>
      </x:c>
      <x:c r="P313" s="25" t="n">
        <x:v>0.04352452000093761</x:v>
      </x:c>
      <x:c r="Q313" s="25" t="n">
        <x:v>2.2608421159998366</x:v>
      </x:c>
      <x:c r="R313" s="25" t="n">
        <x:v>5.558666504999745</x:v>
      </x:c>
      <x:c r="S313" s="25" t="n">
        <x:v>6.011404341000926</x:v>
      </x:c>
      <x:c r="T313" s="25" t="n">
        <x:v>135.12782939997487</x:v>
      </x:c>
      <x:c r="U313" s="25" t="n">
        <x:v>135.12782939997487</x:v>
      </x:c>
      <x:c r="V313" s="25"/>
      <x:c r="W313" s="19" t="str">
        <x:v>FULL</x:v>
      </x:c>
      <x:c r="X313" s="26" t="n">
        <x:f>IF(AND(J333&gt;0,E313=E333),1-J313/J333,"")</x:f>
        <x:v>0.5233869283775319</x:v>
      </x:c>
      <x:c r="Y313" s="26" t="n">
        <x:f>IF(AND(K333&gt;0,E313=E333),1-K313/K333,"")</x:f>
        <x:v>0.11190083284841368</x:v>
      </x:c>
      <x:c r="Z313" s="26" t="n">
        <x:f>IF(AND(ISNUMBER(P333),P333&gt;0,E313=E333),1-P313/P333,"")</x:f>
        <x:v>-0.01381080604448015</x:v>
      </x:c>
      <x:c r="AA313" s="26" t="n">
        <x:f>IF(AND(ISNUMBER(R313),ISNUMBER(R333),R333&gt;0,E313=E333),1-R313/R333,"")</x:f>
        <x:v>0.13874441264890003</x:v>
      </x:c>
      <x:c r="AB313" s="26"/>
      <x:c r="AC313" s="19" t="str">
        <x:v>D:/Codex/GRL研究/outputs/grid89_review/per_date.csv</x:v>
      </x:c>
    </x:row>
    <x:row r="314" ht="36" customHeight="1">
      <x:c r="A314" s="19" t="str">
        <x:v>GRID89 参数</x:v>
      </x:c>
      <x:c r="B314" s="19" t="str">
        <x:v>2035-06-25_8</x:v>
      </x:c>
      <x:c r="C314" s="19" t="str">
        <x:v>FRAME_patience_3</x:v>
      </x:c>
      <x:c r="D314" s="21" t="n">
        <x:v>1</x:v>
      </x:c>
      <x:c r="E314" s="21" t="n">
        <x:v>1901</x:v>
      </x:c>
      <x:c r="F314" s="21" t="n">
        <x:v>1</x:v>
      </x:c>
      <x:c r="G314" s="21" t="n">
        <x:v>0</x:v>
      </x:c>
      <x:c r="H314" s="22" t="n">
        <x:v>1156085.3905029297</x:v>
      </x:c>
      <x:c r="I314" s="23"/>
      <x:c r="J314" s="24" t="n">
        <x:v>2137</x:v>
      </x:c>
      <x:c r="K314" s="25" t="n">
        <x:v>57.49022779990628</x:v>
      </x:c>
      <x:c r="L314" s="25" t="n">
        <x:v>14.508756200022617</x:v>
      </x:c>
      <x:c r="M314" s="25" t="n">
        <x:v>37.294995399948675</x:v>
      </x:c>
      <x:c r="N314" s="25" t="n">
        <x:v>0.5235933999174449</x:v>
      </x:c>
      <x:c r="O314" s="25" t="n">
        <x:v>5.162882800017542</x:v>
      </x:c>
      <x:c r="P314" s="25" t="n">
        <x:v>0.035785400003078394</x:v>
      </x:c>
      <x:c r="Q314" s="25" t="n">
        <x:v>0.7750212000028114</x:v>
      </x:c>
      <x:c r="R314" s="25" t="n">
        <x:v>2.8584042800015594</x:v>
      </x:c>
      <x:c r="S314" s="25" t="n">
        <x:v>3.0496122160014054</x:v>
      </x:c>
      <x:c r="T314" s="25" t="n">
        <x:v>57.49022779990628</x:v>
      </x:c>
      <x:c r="U314" s="25" t="n">
        <x:v>57.49022779990628</x:v>
      </x:c>
      <x:c r="V314" s="25"/>
      <x:c r="W314" s="19" t="str">
        <x:v>FULL</x:v>
      </x:c>
      <x:c r="X314" s="26" t="n">
        <x:f>IF(AND(J334&gt;0,E314=E334),1-J314/J334,"")</x:f>
        <x:v>0.4660169915042479</x:v>
      </x:c>
      <x:c r="Y314" s="26" t="n">
        <x:f>IF(AND(K334&gt;0,E314=E334),1-K314/K334,"")</x:f>
        <x:v>-0.010004700795695154</x:v>
      </x:c>
      <x:c r="Z314" s="26" t="n">
        <x:f>IF(AND(ISNUMBER(P334),P334&gt;0,E314=E334),1-P314/P334,"")</x:f>
        <x:v>-0.13414340419858206</x:v>
      </x:c>
      <x:c r="AA314" s="26" t="n">
        <x:f>IF(AND(ISNUMBER(R314),ISNUMBER(R334),R334&gt;0,E314=E334),1-R314/R334,"")</x:f>
        <x:v>0.1009361642292006</x:v>
      </x:c>
      <x:c r="AB314" s="26"/>
      <x:c r="AC314" s="19" t="str">
        <x:v>D:/Codex/GRL研究/outputs/grid89_review/per_date.csv</x:v>
      </x:c>
    </x:row>
    <x:row r="315" ht="36" customHeight="1">
      <x:c r="A315" s="19" t="str">
        <x:v>GRID89 参数</x:v>
      </x:c>
      <x:c r="B315" s="19" t="str">
        <x:v>2035-09-03_4</x:v>
      </x:c>
      <x:c r="C315" s="19" t="str">
        <x:v>FRAME_patience_3</x:v>
      </x:c>
      <x:c r="D315" s="21" t="n">
        <x:v>1</x:v>
      </x:c>
      <x:c r="E315" s="21" t="n">
        <x:v>2017</x:v>
      </x:c>
      <x:c r="F315" s="21" t="n">
        <x:v>1</x:v>
      </x:c>
      <x:c r="G315" s="21" t="n">
        <x:v>1</x:v>
      </x:c>
      <x:c r="H315" s="22" t="n">
        <x:v>1289912.7855377197</x:v>
      </x:c>
      <x:c r="I315" s="23" t="n">
        <x:v>0</x:v>
      </x:c>
      <x:c r="J315" s="24" t="n">
        <x:v>3630</x:v>
      </x:c>
      <x:c r="K315" s="25" t="n">
        <x:v>57.99337100007324</x:v>
      </x:c>
      <x:c r="L315" s="25" t="n">
        <x:v>20.827014200069243</x:v>
      </x:c>
      <x:c r="M315" s="25" t="n">
        <x:v>30.768482800111087</x:v>
      </x:c>
      <x:c r="N315" s="25" t="n">
        <x:v>0.9631443001671869</x:v>
      </x:c>
      <x:c r="O315" s="25" t="n">
        <x:v>5.434729699725722</x:v>
      </x:c>
      <x:c r="P315" s="25" t="n">
        <x:v>0.033408620001137014</x:v>
      </x:c>
      <x:c r="Q315" s="25" t="n">
        <x:v>0.7314446359997963</x:v>
      </x:c>
      <x:c r="R315" s="25" t="n">
        <x:v>3.905794039999455</x:v>
      </x:c>
      <x:c r="S315" s="25" t="n">
        <x:v>3.9705136879997736</x:v>
      </x:c>
      <x:c r="T315" s="25" t="n">
        <x:v>57.99337100007324</x:v>
      </x:c>
      <x:c r="U315" s="25" t="n">
        <x:v>57.99337100007324</x:v>
      </x:c>
      <x:c r="V315" s="25"/>
      <x:c r="W315" s="19" t="str">
        <x:v>FULL</x:v>
      </x:c>
      <x:c r="X315" s="26" t="n">
        <x:f>IF(AND(J335&gt;0,E315=E335),1-J315/J335,"")</x:f>
        <x:v>0.49583333333333335</x:v>
      </x:c>
      <x:c r="Y315" s="26" t="n">
        <x:f>IF(AND(K335&gt;0,E315=E335),1-K315/K335,"")</x:f>
        <x:v>0.20403757355930585</x:v>
      </x:c>
      <x:c r="Z315" s="26" t="n">
        <x:f>IF(AND(ISNUMBER(P335),P335&gt;0,E315=E335),1-P315/P335,"")</x:f>
        <x:v>0.06736051281856359</x:v>
      </x:c>
      <x:c r="AA315" s="26" t="n">
        <x:f>IF(AND(ISNUMBER(R315),ISNUMBER(R335),R335&gt;0,E315=E335),1-R315/R335,"")</x:f>
        <x:v>0.26550798051355096</x:v>
      </x:c>
      <x:c r="AB315" s="26"/>
      <x:c r="AC315" s="19" t="str">
        <x:v>D:/Codex/GRL研究/outputs/grid89_review/per_date.csv</x:v>
      </x:c>
    </x:row>
    <x:row r="316" ht="36" customHeight="1">
      <x:c r="A316" s="19" t="str">
        <x:v>GRID89 参数</x:v>
      </x:c>
      <x:c r="B316" s="19" t="str">
        <x:v>2035-10-01_5</x:v>
      </x:c>
      <x:c r="C316" s="19" t="str">
        <x:v>FRAME_patience_3</x:v>
      </x:c>
      <x:c r="D316" s="21" t="n">
        <x:v>1</x:v>
      </x:c>
      <x:c r="E316" s="21" t="n">
        <x:v>2017</x:v>
      </x:c>
      <x:c r="F316" s="21" t="n">
        <x:v>1</x:v>
      </x:c>
      <x:c r="G316" s="21" t="n">
        <x:v>1</x:v>
      </x:c>
      <x:c r="H316" s="22" t="n">
        <x:v>1544822.9655151367</x:v>
      </x:c>
      <x:c r="I316" s="23" t="n">
        <x:v>0</x:v>
      </x:c>
      <x:c r="J316" s="24" t="n">
        <x:v>640</x:v>
      </x:c>
      <x:c r="K316" s="25" t="n">
        <x:v>46.289699200067844</x:v>
      </x:c>
      <x:c r="L316" s="25" t="n">
        <x:v>9.383152800008247</x:v>
      </x:c>
      <x:c r="M316" s="25" t="n">
        <x:v>31.380910000021686</x:v>
      </x:c>
      <x:c r="N316" s="25" t="n">
        <x:v>0.2208066000348481</x:v>
      </x:c>
      <x:c r="O316" s="25" t="n">
        <x:v>5.304829800003063</x:v>
      </x:c>
      <x:c r="P316" s="25" t="n">
        <x:v>0.03091436000104295</x:v>
      </x:c>
      <x:c r="Q316" s="25" t="n">
        <x:v>0.7141618839991861</x:v>
      </x:c>
      <x:c r="R316" s="25" t="n">
        <x:v>1.0397022150011253</x:v>
      </x:c>
      <x:c r="S316" s="25" t="n">
        <x:v>1.040123563001216</x:v>
      </x:c>
      <x:c r="T316" s="25" t="n">
        <x:v>46.289699200067844</x:v>
      </x:c>
      <x:c r="U316" s="25" t="n">
        <x:v>46.289699200067844</x:v>
      </x:c>
      <x:c r="V316" s="25"/>
      <x:c r="W316" s="19" t="str">
        <x:v>FULL</x:v>
      </x:c>
      <x:c r="X316" s="26" t="n">
        <x:f>IF(AND(J336&gt;0,E316=E336),1-J316/J336,"")</x:f>
        <x:v>0.647771051183269</x:v>
      </x:c>
      <x:c r="Y316" s="26" t="n">
        <x:f>IF(AND(K336&gt;0,E316=E336),1-K316/K336,"")</x:f>
        <x:v>0.09557506649218206</x:v>
      </x:c>
      <x:c r="Z316" s="26" t="n">
        <x:f>IF(AND(ISNUMBER(P336),P336&gt;0,E316=E336),1-P316/P336,"")</x:f>
        <x:v>0.024514645327853413</x:v>
      </x:c>
      <x:c r="AA316" s="26" t="n">
        <x:f>IF(AND(ISNUMBER(R316),ISNUMBER(R336),R336&gt;0,E316=E336),1-R316/R336,"")</x:f>
        <x:v>0.6388726128543769</x:v>
      </x:c>
      <x:c r="AB316" s="26"/>
      <x:c r="AC316" s="19" t="str">
        <x:v>D:/Codex/GRL研究/outputs/grid89_review/per_date.csv</x:v>
      </x:c>
    </x:row>
    <x:row r="317" ht="36" customHeight="1">
      <x:c r="A317" s="19" t="str">
        <x:v>GRID89 参数</x:v>
      </x:c>
      <x:c r="B317" s="19" t="str">
        <x:v>2035-03-05_0</x:v>
      </x:c>
      <x:c r="C317" s="19" t="str">
        <x:v>FRAME_qmin_128</x:v>
      </x:c>
      <x:c r="D317" s="21" t="n">
        <x:v>1</x:v>
      </x:c>
      <x:c r="E317" s="21" t="n">
        <x:v>2017</x:v>
      </x:c>
      <x:c r="F317" s="21" t="n">
        <x:v>1</x:v>
      </x:c>
      <x:c r="G317" s="21" t="n">
        <x:v>1</x:v>
      </x:c>
      <x:c r="H317" s="22" t="n">
        <x:v>2975141.026245117</x:v>
      </x:c>
      <x:c r="I317" s="23" t="n">
        <x:v>0.003720046656812137</x:v>
      </x:c>
      <x:c r="J317" s="24" t="n">
        <x:v>3720</x:v>
      </x:c>
      <x:c r="K317" s="25" t="n">
        <x:v>135.1187304998639</x:v>
      </x:c>
      <x:c r="L317" s="25" t="n">
        <x:v>23.222457500040036</x:v>
      </x:c>
      <x:c r="M317" s="25" t="n">
        <x:v>105.76159649996771</x:v>
      </x:c>
      <x:c r="N317" s="25" t="n">
        <x:v>1.1125336000332027</x:v>
      </x:c>
      <x:c r="O317" s="25" t="n">
        <x:v>5.0221428998229385</x:v>
      </x:c>
      <x:c r="P317" s="25" t="n">
        <x:v>0.042322680000506784</x:v>
      </x:c>
      <x:c r="Q317" s="25" t="n">
        <x:v>2.2919950999994674</x:v>
      </x:c>
      <x:c r="R317" s="25" t="n">
        <x:v>5.09844637999904</x:v>
      </x:c>
      <x:c r="S317" s="25" t="n">
        <x:v>5.381428555998973</x:v>
      </x:c>
      <x:c r="T317" s="25" t="n">
        <x:v>135.1187304998639</x:v>
      </x:c>
      <x:c r="U317" s="25" t="n">
        <x:v>135.1187304998639</x:v>
      </x:c>
      <x:c r="V317" s="25"/>
      <x:c r="W317" s="19" t="str">
        <x:v>FULL</x:v>
      </x:c>
      <x:c r="X317" s="26" t="n">
        <x:f>IF(AND(J333&gt;0,E317=E333),1-J317/J333,"")</x:f>
        <x:v>0.6116099394445604</x:v>
      </x:c>
      <x:c r="Y317" s="26" t="n">
        <x:f>IF(AND(K333&gt;0,E317=E333),1-K317/K333,"")</x:f>
        <x:v>0.11196063345089835</x:v>
      </x:c>
      <x:c r="Z317" s="26" t="n">
        <x:f>IF(AND(ISNUMBER(P333),P333&gt;0,E317=E333),1-P317/P333,"")</x:f>
        <x:v>0.014183491871890386</x:v>
      </x:c>
      <x:c r="AA317" s="26" t="n">
        <x:f>IF(AND(ISNUMBER(R317),ISNUMBER(R333),R333&gt;0,E317=E333),1-R317/R333,"")</x:f>
        <x:v>0.21005057100752178</x:v>
      </x:c>
      <x:c r="AB317" s="26"/>
      <x:c r="AC317" s="19" t="str">
        <x:v>D:/Codex/GRL研究/outputs/grid89_review/per_date.csv</x:v>
      </x:c>
    </x:row>
    <x:row r="318" ht="36" customHeight="1">
      <x:c r="A318" s="19" t="str">
        <x:v>GRID89 参数</x:v>
      </x:c>
      <x:c r="B318" s="19" t="str">
        <x:v>2035-06-25_8</x:v>
      </x:c>
      <x:c r="C318" s="19" t="str">
        <x:v>FRAME_qmin_128</x:v>
      </x:c>
      <x:c r="D318" s="21" t="n">
        <x:v>1</x:v>
      </x:c>
      <x:c r="E318" s="21" t="n">
        <x:v>1901</x:v>
      </x:c>
      <x:c r="F318" s="21" t="n">
        <x:v>1</x:v>
      </x:c>
      <x:c r="G318" s="21" t="n">
        <x:v>0</x:v>
      </x:c>
      <x:c r="H318" s="22" t="n">
        <x:v>1156085.3905029297</x:v>
      </x:c>
      <x:c r="I318" s="23"/>
      <x:c r="J318" s="24" t="n">
        <x:v>1889</x:v>
      </x:c>
      <x:c r="K318" s="25" t="n">
        <x:v>57.11528599991652</x:v>
      </x:c>
      <x:c r="L318" s="25" t="n">
        <x:v>14.039768299753632</x:v>
      </x:c>
      <x:c r="M318" s="25" t="n">
        <x:v>37.43856770003549</x:v>
      </x:c>
      <x:c r="N318" s="25" t="n">
        <x:v>0.5137439000536688</x:v>
      </x:c>
      <x:c r="O318" s="25" t="n">
        <x:v>5.12320610007373</x:v>
      </x:c>
      <x:c r="P318" s="25" t="n">
        <x:v>0.03620469999805209</x:v>
      </x:c>
      <x:c r="Q318" s="25" t="n">
        <x:v>0.7651231000018015</x:v>
      </x:c>
      <x:c r="R318" s="25" t="n">
        <x:v>2.854868000000715</x:v>
      </x:c>
      <x:c r="S318" s="25" t="n">
        <x:v>3.067847200001124</x:v>
      </x:c>
      <x:c r="T318" s="25" t="n">
        <x:v>57.11528599991652</x:v>
      </x:c>
      <x:c r="U318" s="25" t="n">
        <x:v>57.11528599991652</x:v>
      </x:c>
      <x:c r="V318" s="25"/>
      <x:c r="W318" s="19" t="str">
        <x:v>FULL</x:v>
      </x:c>
      <x:c r="X318" s="26" t="n">
        <x:f>IF(AND(J334&gt;0,E318=E334),1-J318/J334,"")</x:f>
        <x:v>0.5279860069965017</x:v>
      </x:c>
      <x:c r="Y318" s="26" t="n">
        <x:f>IF(AND(K334&gt;0,E318=E334),1-K318/K334,"")</x:f>
        <x:v>-0.0034176164335928405</x:v>
      </x:c>
      <x:c r="Z318" s="26" t="n">
        <x:f>IF(AND(ISNUMBER(P334),P334&gt;0,E318=E334),1-P318/P334,"")</x:f>
        <x:v>-0.14743224052957205</x:v>
      </x:c>
      <x:c r="AA318" s="26" t="n">
        <x:f>IF(AND(ISNUMBER(R318),ISNUMBER(R334),R334&gt;0,E318=E334),1-R318/R334,"")</x:f>
        <x:v>0.10204844267216351</x:v>
      </x:c>
      <x:c r="AB318" s="26"/>
      <x:c r="AC318" s="19" t="str">
        <x:v>D:/Codex/GRL研究/outputs/grid89_review/per_date.csv</x:v>
      </x:c>
    </x:row>
    <x:row r="319" ht="36" customHeight="1">
      <x:c r="A319" s="19" t="str">
        <x:v>GRID89 参数</x:v>
      </x:c>
      <x:c r="B319" s="19" t="str">
        <x:v>2035-09-03_4</x:v>
      </x:c>
      <x:c r="C319" s="19" t="str">
        <x:v>FRAME_qmin_128</x:v>
      </x:c>
      <x:c r="D319" s="21" t="n">
        <x:v>1</x:v>
      </x:c>
      <x:c r="E319" s="21" t="n">
        <x:v>2017</x:v>
      </x:c>
      <x:c r="F319" s="21" t="n">
        <x:v>1</x:v>
      </x:c>
      <x:c r="G319" s="21" t="n">
        <x:v>1</x:v>
      </x:c>
      <x:c r="H319" s="22" t="n">
        <x:v>1265835.7439422607</x:v>
      </x:c>
      <x:c r="I319" s="23" t="n">
        <x:v>-0.0186656352781418</x:v>
      </x:c>
      <x:c r="J319" s="24" t="n">
        <x:v>2987</x:v>
      </x:c>
      <x:c r="K319" s="25" t="n">
        <x:v>55.54913449996093</x:v>
      </x:c>
      <x:c r="L319" s="25" t="n">
        <x:v>19.46963880001931</x:v>
      </x:c>
      <x:c r="M319" s="25" t="n">
        <x:v>29.73297150001963</x:v>
      </x:c>
      <x:c r="N319" s="25" t="n">
        <x:v>0.9243107000402233</x:v>
      </x:c>
      <x:c r="O319" s="25" t="n">
        <x:v>5.422213499881764</x:v>
      </x:c>
      <x:c r="P319" s="25" t="n">
        <x:v>0.03475477999891152</x:v>
      </x:c>
      <x:c r="Q319" s="25" t="n">
        <x:v>0.7718266200026844</x:v>
      </x:c>
      <x:c r="R319" s="25" t="n">
        <x:v>3.8423914949991738</x:v>
      </x:c>
      <x:c r="S319" s="25" t="n">
        <x:v>3.8705153389985205</x:v>
      </x:c>
      <x:c r="T319" s="25" t="n">
        <x:v>55.54913449996093</x:v>
      </x:c>
      <x:c r="U319" s="25" t="n">
        <x:v>55.54913449996093</x:v>
      </x:c>
      <x:c r="V319" s="25"/>
      <x:c r="W319" s="19" t="str">
        <x:v>FULL</x:v>
      </x:c>
      <x:c r="X319" s="26" t="n">
        <x:f>IF(AND(J335&gt;0,E319=E335),1-J319/J335,"")</x:f>
        <x:v>0.5851388888888889</x:v>
      </x:c>
      <x:c r="Y319" s="26" t="n">
        <x:f>IF(AND(K335&gt;0,E319=E335),1-K319/K335,"")</x:f>
        <x:v>0.23758486322146133</x:v>
      </x:c>
      <x:c r="Z319" s="26" t="n">
        <x:f>IF(AND(ISNUMBER(P335),P335&gt;0,E319=E335),1-P319/P335,"")</x:f>
        <x:v>0.029780930963765218</x:v>
      </x:c>
      <x:c r="AA319" s="26" t="n">
        <x:f>IF(AND(ISNUMBER(R319),ISNUMBER(R335),R335&gt;0,E319=E335),1-R319/R335,"")</x:f>
        <x:v>0.2774309500405985</x:v>
      </x:c>
      <x:c r="AB319" s="26"/>
      <x:c r="AC319" s="19" t="str">
        <x:v>D:/Codex/GRL研究/outputs/grid89_review/per_date.csv</x:v>
      </x:c>
    </x:row>
    <x:row r="320" ht="36" customHeight="1">
      <x:c r="A320" s="19" t="str">
        <x:v>GRID89 参数</x:v>
      </x:c>
      <x:c r="B320" s="19" t="str">
        <x:v>2035-10-01_5</x:v>
      </x:c>
      <x:c r="C320" s="19" t="str">
        <x:v>FRAME_qmin_128</x:v>
      </x:c>
      <x:c r="D320" s="21" t="n">
        <x:v>1</x:v>
      </x:c>
      <x:c r="E320" s="21" t="n">
        <x:v>2017</x:v>
      </x:c>
      <x:c r="F320" s="21" t="n">
        <x:v>1</x:v>
      </x:c>
      <x:c r="G320" s="21" t="n">
        <x:v>1</x:v>
      </x:c>
      <x:c r="H320" s="22" t="n">
        <x:v>1544822.9655151367</x:v>
      </x:c>
      <x:c r="I320" s="23" t="n">
        <x:v>0</x:v>
      </x:c>
      <x:c r="J320" s="24" t="n">
        <x:v>512</x:v>
      </x:c>
      <x:c r="K320" s="25" t="n">
        <x:v>46.70078530001774</x:v>
      </x:c>
      <x:c r="L320" s="25" t="n">
        <x:v>9.229942000078154</x:v>
      </x:c>
      <x:c r="M320" s="25" t="n">
        <x:v>31.854045200059772</x:v>
      </x:c>
      <x:c r="N320" s="25" t="n">
        <x:v>0.2230356000000029</x:v>
      </x:c>
      <x:c r="O320" s="25" t="n">
        <x:v>5.393762499879813</x:v>
      </x:c>
      <x:c r="P320" s="25" t="n">
        <x:v>0.03120043999806512</x:v>
      </x:c>
      <x:c r="Q320" s="25" t="n">
        <x:v>0.724673919999186</x:v>
      </x:c>
      <x:c r="R320" s="25" t="n">
        <x:v>0.8819564599987644</x:v>
      </x:c>
      <x:c r="S320" s="25" t="n">
        <x:v>0.8824557719986479</x:v>
      </x:c>
      <x:c r="T320" s="25" t="n">
        <x:v>46.70078530001774</x:v>
      </x:c>
      <x:c r="U320" s="25" t="n">
        <x:v>46.70078530001774</x:v>
      </x:c>
      <x:c r="V320" s="25"/>
      <x:c r="W320" s="19" t="str">
        <x:v>FULL</x:v>
      </x:c>
      <x:c r="X320" s="26" t="n">
        <x:f>IF(AND(J336&gt;0,E320=E336),1-J320/J336,"")</x:f>
        <x:v>0.7182168409466153</x:v>
      </x:c>
      <x:c r="Y320" s="26" t="n">
        <x:f>IF(AND(K336&gt;0,E320=E336),1-K320/K336,"")</x:f>
        <x:v>0.08754311715921614</x:v>
      </x:c>
      <x:c r="Z320" s="26" t="n">
        <x:f>IF(AND(ISNUMBER(P336),P336&gt;0,E320=E336),1-P320/P336,"")</x:f>
        <x:v>0.015487550885323609</x:v>
      </x:c>
      <x:c r="AA320" s="26" t="n">
        <x:f>IF(AND(ISNUMBER(R320),ISNUMBER(R336),R336&gt;0,E320=E336),1-R320/R336,"")</x:f>
        <x:v>0.6936636015772918</x:v>
      </x:c>
      <x:c r="AB320" s="26"/>
      <x:c r="AC320" s="19" t="str">
        <x:v>D:/Codex/GRL研究/outputs/grid89_review/per_date.csv</x:v>
      </x:c>
    </x:row>
    <x:row r="321" ht="36" customHeight="1">
      <x:c r="A321" s="19" t="str">
        <x:v>GRID89 参数</x:v>
      </x:c>
      <x:c r="B321" s="19" t="str">
        <x:v>2035-03-05_0</x:v>
      </x:c>
      <x:c r="C321" s="19" t="str">
        <x:v>FRAME_qmin_512</x:v>
      </x:c>
      <x:c r="D321" s="21" t="n">
        <x:v>1</x:v>
      </x:c>
      <x:c r="E321" s="21" t="n">
        <x:v>2017</x:v>
      </x:c>
      <x:c r="F321" s="21" t="n">
        <x:v>0</x:v>
      </x:c>
      <x:c r="G321" s="21" t="n">
        <x:v>1</x:v>
      </x:c>
      <x:c r="H321" s="22" t="n">
        <x:v>3004843.189453125</x:v>
      </x:c>
      <x:c r="I321" s="23" t="n">
        <x:v>0.01374063269893866</x:v>
      </x:c>
      <x:c r="J321" s="24" t="n">
        <x:v>6232</x:v>
      </x:c>
      <x:c r="K321" s="25" t="n">
        <x:v>136.9299542999397</x:v>
      </x:c>
      <x:c r="L321" s="25" t="n">
        <x:v>29.906934700004058</x:v>
      </x:c>
      <x:c r="M321" s="25" t="n">
        <x:v>99.86871360001169</x:v>
      </x:c>
      <x:c r="N321" s="25" t="n">
        <x:v>2.0023789997758286</x:v>
      </x:c>
      <x:c r="O321" s="25" t="n">
        <x:v>5.1519270001481345</x:v>
      </x:c>
      <x:c r="P321" s="25" t="n">
        <x:v>0.04317901999747843</x:v>
      </x:c>
      <x:c r="Q321" s="25" t="n">
        <x:v>2.229270475998634</x:v>
      </x:c>
      <x:c r="R321" s="25" t="n">
        <x:v>5.273463249997803</x:v>
      </x:c>
      <x:c r="S321" s="25" t="n">
        <x:v>5.602235129997644</x:v>
      </x:c>
      <x:c r="T321" s="25" t="n">
        <x:v>136.9299542999397</x:v>
      </x:c>
      <x:c r="U321" s="25" t="n">
        <x:v>136.9299542999397</x:v>
      </x:c>
      <x:c r="V321" s="25"/>
      <x:c r="W321" s="19" t="str">
        <x:v>FULL</x:v>
      </x:c>
      <x:c r="X321" s="26" t="n">
        <x:f>IF(AND(J333&gt;0,E321=E333),1-J321/J333,"")</x:f>
        <x:v>0.34934224263938196</x:v>
      </x:c>
      <x:c r="Y321" s="26" t="n">
        <x:f>IF(AND(K333&gt;0,E321=E333),1-K321/K333,"")</x:f>
        <x:v>0.1000567469197885</x:v>
      </x:c>
      <x:c r="Z321" s="26" t="n">
        <x:f>IF(AND(ISNUMBER(P333),P333&gt;0,E321=E333),1-P321/P333,"")</x:f>
        <x:v>-0.0057631208089445884</x:v>
      </x:c>
      <x:c r="AA321" s="26" t="n">
        <x:f>IF(AND(ISNUMBER(R321),ISNUMBER(R333),R333&gt;0,E321=E333),1-R321/R333,"")</x:f>
        <x:v>0.18293358943801086</x:v>
      </x:c>
      <x:c r="AB321" s="26"/>
      <x:c r="AC321" s="19" t="str">
        <x:v>D:/Codex/GRL研究/outputs/grid89_review/per_date.csv</x:v>
      </x:c>
    </x:row>
    <x:row r="322" ht="36" customHeight="1">
      <x:c r="A322" s="19" t="str">
        <x:v>GRID89 参数</x:v>
      </x:c>
      <x:c r="B322" s="19" t="str">
        <x:v>2035-06-25_8</x:v>
      </x:c>
      <x:c r="C322" s="19" t="str">
        <x:v>FRAME_qmin_512</x:v>
      </x:c>
      <x:c r="D322" s="21" t="n">
        <x:v>1</x:v>
      </x:c>
      <x:c r="E322" s="21" t="n">
        <x:v>1901</x:v>
      </x:c>
      <x:c r="F322" s="21" t="n">
        <x:v>1</x:v>
      </x:c>
      <x:c r="G322" s="21" t="n">
        <x:v>0</x:v>
      </x:c>
      <x:c r="H322" s="22" t="n">
        <x:v>1156085.3905029297</x:v>
      </x:c>
      <x:c r="I322" s="23"/>
      <x:c r="J322" s="24" t="n">
        <x:v>2704</x:v>
      </x:c>
      <x:c r="K322" s="25" t="n">
        <x:v>59.48677860003954</x:v>
      </x:c>
      <x:c r="L322" s="25" t="n">
        <x:v>16.404530700023315</x:v>
      </x:c>
      <x:c r="M322" s="25" t="n">
        <x:v>37.32209439994767</x:v>
      </x:c>
      <x:c r="N322" s="25" t="n">
        <x:v>0.5162680999164877</x:v>
      </x:c>
      <x:c r="O322" s="25" t="n">
        <x:v>5.243885400152067</x:v>
      </x:c>
      <x:c r="P322" s="25" t="n">
        <x:v>0.03672580000056769</x:v>
      </x:c>
      <x:c r="Q322" s="25" t="n">
        <x:v>0.7798895000014454</x:v>
      </x:c>
      <x:c r="R322" s="25" t="n">
        <x:v>2.952245180000318</x:v>
      </x:c>
      <x:c r="S322" s="25" t="n">
        <x:v>3.065841996000381</x:v>
      </x:c>
      <x:c r="T322" s="25" t="n">
        <x:v>59.48677860003954</x:v>
      </x:c>
      <x:c r="U322" s="25" t="n">
        <x:v>59.48677860003954</x:v>
      </x:c>
      <x:c r="V322" s="25"/>
      <x:c r="W322" s="19" t="str">
        <x:v>FULL</x:v>
      </x:c>
      <x:c r="X322" s="26" t="n">
        <x:f>IF(AND(J334&gt;0,E322=E334),1-J322/J334,"")</x:f>
        <x:v>0.3243378310844578</x:v>
      </x:c>
      <x:c r="Y322" s="26" t="n">
        <x:f>IF(AND(K334&gt;0,E322=E334),1-K322/K334,"")</x:f>
        <x:v>-0.04508067406423888</x:v>
      </x:c>
      <x:c r="Z322" s="26" t="n">
        <x:f>IF(AND(ISNUMBER(P334),P334&gt;0,E322=E334),1-P322/P334,"")</x:f>
        <x:v>-0.16394741517426192</x:v>
      </x:c>
      <x:c r="AA322" s="26" t="n">
        <x:f>IF(AND(ISNUMBER(R322),ISNUMBER(R334),R334&gt;0,E322=E334),1-R322/R334,"")</x:f>
        <x:v>0.07142005970355869</x:v>
      </x:c>
      <x:c r="AB322" s="26"/>
      <x:c r="AC322" s="19" t="str">
        <x:v>D:/Codex/GRL研究/outputs/grid89_review/per_date.csv</x:v>
      </x:c>
    </x:row>
    <x:row r="323" ht="36" customHeight="1">
      <x:c r="A323" s="19" t="str">
        <x:v>GRID89 参数</x:v>
      </x:c>
      <x:c r="B323" s="19" t="str">
        <x:v>2035-09-03_4</x:v>
      </x:c>
      <x:c r="C323" s="19" t="str">
        <x:v>FRAME_qmin_512</x:v>
      </x:c>
      <x:c r="D323" s="21" t="n">
        <x:v>1</x:v>
      </x:c>
      <x:c r="E323" s="21" t="n">
        <x:v>2017</x:v>
      </x:c>
      <x:c r="F323" s="21" t="n">
        <x:v>1</x:v>
      </x:c>
      <x:c r="G323" s="21" t="n">
        <x:v>1</x:v>
      </x:c>
      <x:c r="H323" s="22" t="n">
        <x:v>1289912.7855377197</x:v>
      </x:c>
      <x:c r="I323" s="23" t="n">
        <x:v>0</x:v>
      </x:c>
      <x:c r="J323" s="24" t="n">
        <x:v>4660</x:v>
      </x:c>
      <x:c r="K323" s="25" t="n">
        <x:v>61.78774640002666</x:v>
      </x:c>
      <x:c r="L323" s="25" t="n">
        <x:v>23.78710069999579</x:v>
      </x:c>
      <x:c r="M323" s="25" t="n">
        <x:v>31.480338599954848</x:v>
      </x:c>
      <x:c r="N323" s="25" t="n">
        <x:v>0.9150074999270146</x:v>
      </x:c>
      <x:c r="O323" s="25" t="n">
        <x:v>5.60529960014901</x:v>
      </x:c>
      <x:c r="P323" s="25" t="n">
        <x:v>0.03367638000127045</x:v>
      </x:c>
      <x:c r="Q323" s="25" t="n">
        <x:v>0.7461777520012398</x:v>
      </x:c>
      <x:c r="R323" s="25" t="n">
        <x:v>4.25714184999797</x:v>
      </x:c>
      <x:c r="S323" s="25" t="n">
        <x:v>4.425205409997688</x:v>
      </x:c>
      <x:c r="T323" s="25" t="n">
        <x:v>61.78774640002666</x:v>
      </x:c>
      <x:c r="U323" s="25" t="n">
        <x:v>61.78774640002666</x:v>
      </x:c>
      <x:c r="V323" s="25"/>
      <x:c r="W323" s="19" t="str">
        <x:v>FULL</x:v>
      </x:c>
      <x:c r="X323" s="26" t="n">
        <x:f>IF(AND(J335&gt;0,E323=E335),1-J323/J335,"")</x:f>
        <x:v>0.35277777777777775</x:v>
      </x:c>
      <x:c r="Y323" s="26" t="n">
        <x:f>IF(AND(K335&gt;0,E323=E335),1-K323/K335,"")</x:f>
        <x:v>0.15195954812136414</x:v>
      </x:c>
      <x:c r="Z323" s="26" t="n">
        <x:f>IF(AND(ISNUMBER(P335),P335&gt;0,E323=E335),1-P323/P335,"")</x:f>
        <x:v>0.0598856889795768</x:v>
      </x:c>
      <x:c r="AA323" s="26" t="n">
        <x:f>IF(AND(ISNUMBER(R323),ISNUMBER(R335),R335&gt;0,E323=E335),1-R323/R335,"")</x:f>
        <x:v>0.19943635465076326</x:v>
      </x:c>
      <x:c r="AB323" s="26"/>
      <x:c r="AC323" s="19" t="str">
        <x:v>D:/Codex/GRL研究/outputs/grid89_review/per_date.csv</x:v>
      </x:c>
    </x:row>
    <x:row r="324" ht="36" customHeight="1">
      <x:c r="A324" s="19" t="str">
        <x:v>GRID89 参数</x:v>
      </x:c>
      <x:c r="B324" s="19" t="str">
        <x:v>2035-10-01_5</x:v>
      </x:c>
      <x:c r="C324" s="19" t="str">
        <x:v>FRAME_qmin_512</x:v>
      </x:c>
      <x:c r="D324" s="21" t="n">
        <x:v>1</x:v>
      </x:c>
      <x:c r="E324" s="21" t="n">
        <x:v>2017</x:v>
      </x:c>
      <x:c r="F324" s="21" t="n">
        <x:v>1</x:v>
      </x:c>
      <x:c r="G324" s="21" t="n">
        <x:v>1</x:v>
      </x:c>
      <x:c r="H324" s="22" t="n">
        <x:v>1544822.9655151367</x:v>
      </x:c>
      <x:c r="I324" s="23" t="n">
        <x:v>0</x:v>
      </x:c>
      <x:c r="J324" s="24" t="n">
        <x:v>1024</x:v>
      </x:c>
      <x:c r="K324" s="25" t="n">
        <x:v>48.61158180011989</x:v>
      </x:c>
      <x:c r="L324" s="25" t="n">
        <x:v>10.707124100030342</x:v>
      </x:c>
      <x:c r="M324" s="25" t="n">
        <x:v>32.1297239000487</x:v>
      </x:c>
      <x:c r="N324" s="25" t="n">
        <x:v>0.22738779993233038</x:v>
      </x:c>
      <x:c r="O324" s="25" t="n">
        <x:v>5.547346000108519</x:v>
      </x:c>
      <x:c r="P324" s="25" t="n">
        <x:v>0.032025179999618555</x:v>
      </x:c>
      <x:c r="Q324" s="25" t="n">
        <x:v>0.730998211998667</x:v>
      </x:c>
      <x:c r="R324" s="25" t="n">
        <x:v>1.6253409150016522</x:v>
      </x:c>
      <x:c r="S324" s="25" t="n">
        <x:v>1.6259528230017894</x:v>
      </x:c>
      <x:c r="T324" s="25" t="n">
        <x:v>48.61158180011989</x:v>
      </x:c>
      <x:c r="U324" s="25" t="n">
        <x:v>48.61158180011989</x:v>
      </x:c>
      <x:c r="V324" s="25"/>
      <x:c r="W324" s="19" t="str">
        <x:v>FULL</x:v>
      </x:c>
      <x:c r="X324" s="26" t="n">
        <x:f>IF(AND(J336&gt;0,E324=E336),1-J324/J336,"")</x:f>
        <x:v>0.4364336818932306</x:v>
      </x:c>
      <x:c r="Y324" s="26" t="n">
        <x:f>IF(AND(K336&gt;0,E324=E336),1-K324/K336,"")</x:f>
        <x:v>0.05020928204219455</x:v>
      </x:c>
      <x:c r="Z324" s="26" t="n">
        <x:f>IF(AND(ISNUMBER(P336),P336&gt;0,E324=E336),1-P324/P336,"")</x:f>
        <x:v>-0.010536658993209214</x:v>
      </x:c>
      <x:c r="AA324" s="26" t="n">
        <x:f>IF(AND(ISNUMBER(R324),ISNUMBER(R336),R336&gt;0,E324=E336),1-R324/R336,"")</x:f>
        <x:v>0.4354584328217599</x:v>
      </x:c>
      <x:c r="AB324" s="26"/>
      <x:c r="AC324" s="19" t="str">
        <x:v>D:/Codex/GRL研究/outputs/grid89_review/per_date.csv</x:v>
      </x:c>
    </x:row>
    <x:row r="325" ht="36" customHeight="1">
      <x:c r="A325" s="19" t="str">
        <x:v>GRID89 参数</x:v>
      </x:c>
      <x:c r="B325" s="19" t="str">
        <x:v>2035-03-05_0</x:v>
      </x:c>
      <x:c r="C325" s="19" t="str">
        <x:v>FRAME_safe_0p85</x:v>
      </x:c>
      <x:c r="D325" s="21" t="n">
        <x:v>1</x:v>
      </x:c>
      <x:c r="E325" s="21" t="n">
        <x:v>2017</x:v>
      </x:c>
      <x:c r="F325" s="21" t="n">
        <x:v>0</x:v>
      </x:c>
      <x:c r="G325" s="21" t="n">
        <x:v>1</x:v>
      </x:c>
      <x:c r="H325" s="22" t="n">
        <x:v>3004843.189453125</x:v>
      </x:c>
      <x:c r="I325" s="23" t="n">
        <x:v>0.01374063269893866</x:v>
      </x:c>
      <x:c r="J325" s="24" t="n">
        <x:v>4209</x:v>
      </x:c>
      <x:c r="K325" s="25" t="n">
        <x:v>131.67501519990765</x:v>
      </x:c>
      <x:c r="L325" s="25" t="n">
        <x:v>24.223694799893565</x:v>
      </x:c>
      <x:c r="M325" s="25" t="n">
        <x:v>101.3130999999994</x:v>
      </x:c>
      <x:c r="N325" s="25" t="n">
        <x:v>1.2037326001373003</x:v>
      </x:c>
      <x:c r="O325" s="25" t="n">
        <x:v>4.934487799877388</x:v>
      </x:c>
      <x:c r="P325" s="25" t="n">
        <x:v>0.042489419999037575</x:v>
      </x:c>
      <x:c r="Q325" s="25" t="n">
        <x:v>2.2550974639985357</x:v>
      </x:c>
      <x:c r="R325" s="25" t="n">
        <x:v>4.987761799999134</x:v>
      </x:c>
      <x:c r="S325" s="25" t="n">
        <x:v>5.382338439998421</x:v>
      </x:c>
      <x:c r="T325" s="25" t="n">
        <x:v>131.67501519990765</x:v>
      </x:c>
      <x:c r="U325" s="25" t="n">
        <x:v>131.67501519990765</x:v>
      </x:c>
      <x:c r="V325" s="25"/>
      <x:c r="W325" s="19" t="str">
        <x:v>FULL</x:v>
      </x:c>
      <x:c r="X325" s="26" t="n">
        <x:f>IF(AND(J333&gt;0,E325=E333),1-J325/J333,"")</x:f>
        <x:v>0.5605554395489664</x:v>
      </x:c>
      <x:c r="Y325" s="26" t="n">
        <x:f>IF(AND(K333&gt;0,E325=E333),1-K325/K333,"")</x:f>
        <x:v>0.13459372615562637</x:v>
      </x:c>
      <x:c r="Z325" s="26" t="n">
        <x:f>IF(AND(ISNUMBER(P333),P333&gt;0,E325=E333),1-P325/P333,"")</x:f>
        <x:v>0.010299639452456155</x:v>
      </x:c>
      <x:c r="AA325" s="26" t="n">
        <x:f>IF(AND(ISNUMBER(R325),ISNUMBER(R333),R333&gt;0,E325=E333),1-R325/R333,"")</x:f>
        <x:v>0.22719995618340638</x:v>
      </x:c>
      <x:c r="AB325" s="26"/>
      <x:c r="AC325" s="19" t="str">
        <x:v>D:/Codex/GRL研究/outputs/grid89_review/per_date.csv</x:v>
      </x:c>
    </x:row>
    <x:row r="326" ht="36" customHeight="1">
      <x:c r="A326" s="19" t="str">
        <x:v>GRID89 参数</x:v>
      </x:c>
      <x:c r="B326" s="19" t="str">
        <x:v>2035-06-25_8</x:v>
      </x:c>
      <x:c r="C326" s="19" t="str">
        <x:v>FRAME_safe_0p85</x:v>
      </x:c>
      <x:c r="D326" s="21" t="n">
        <x:v>1</x:v>
      </x:c>
      <x:c r="E326" s="21" t="n">
        <x:v>1901</x:v>
      </x:c>
      <x:c r="F326" s="21" t="n">
        <x:v>1</x:v>
      </x:c>
      <x:c r="G326" s="21" t="n">
        <x:v>0</x:v>
      </x:c>
      <x:c r="H326" s="22" t="n">
        <x:v>1156085.3905029297</x:v>
      </x:c>
      <x:c r="I326" s="23"/>
      <x:c r="J326" s="24" t="n">
        <x:v>1767</x:v>
      </x:c>
      <x:c r="K326" s="25" t="n">
        <x:v>51.46176660004494</x:v>
      </x:c>
      <x:c r="L326" s="25" t="n">
        <x:v>12.321224600225833</x:v>
      </x:c>
      <x:c r="M326" s="25" t="n">
        <x:v>33.509110499999224</x:v>
      </x:c>
      <x:c r="N326" s="25" t="n">
        <x:v>0.4455791999462235</x:v>
      </x:c>
      <x:c r="O326" s="25" t="n">
        <x:v>5.185852299873659</x:v>
      </x:c>
      <x:c r="P326" s="25" t="n">
        <x:v>0.03200290000313544</x:v>
      </x:c>
      <x:c r="Q326" s="25" t="n">
        <x:v>0.700640499999281</x:v>
      </x:c>
      <x:c r="R326" s="25" t="n">
        <x:v>2.5764076999977985</x:v>
      </x:c>
      <x:c r="S326" s="25" t="n">
        <x:v>2.7652078599973176</x:v>
      </x:c>
      <x:c r="T326" s="25" t="n">
        <x:v>51.46176660004494</x:v>
      </x:c>
      <x:c r="U326" s="25" t="n">
        <x:v>51.46176660004494</x:v>
      </x:c>
      <x:c r="V326" s="25"/>
      <x:c r="W326" s="19" t="str">
        <x:v>FULL</x:v>
      </x:c>
      <x:c r="X326" s="26" t="n">
        <x:f>IF(AND(J334&gt;0,E326=E334),1-J326/J334,"")</x:f>
        <x:v>0.5584707646176912</x:v>
      </x:c>
      <x:c r="Y326" s="26" t="n">
        <x:f>IF(AND(K334&gt;0,E326=E334),1-K326/K334,"")</x:f>
        <x:v>0.09590502305539628</x:v>
      </x:c>
      <x:c r="Z326" s="26" t="n">
        <x:f>IF(AND(ISNUMBER(P334),P334&gt;0,E326=E334),1-P326/P334,"")</x:f>
        <x:v>-0.014264978193915034</x:v>
      </x:c>
      <x:c r="AA326" s="26" t="n">
        <x:f>IF(AND(ISNUMBER(R326),ISNUMBER(R334),R334&gt;0,E326=E334),1-R326/R334,"")</x:f>
        <x:v>0.1896335289323804</x:v>
      </x:c>
      <x:c r="AB326" s="26"/>
      <x:c r="AC326" s="19" t="str">
        <x:v>D:/Codex/GRL研究/outputs/grid89_review/per_date.csv</x:v>
      </x:c>
    </x:row>
    <x:row r="327" ht="36" customHeight="1">
      <x:c r="A327" s="19" t="str">
        <x:v>GRID89 参数</x:v>
      </x:c>
      <x:c r="B327" s="19" t="str">
        <x:v>2035-09-03_4</x:v>
      </x:c>
      <x:c r="C327" s="19" t="str">
        <x:v>FRAME_safe_0p85</x:v>
      </x:c>
      <x:c r="D327" s="21" t="n">
        <x:v>1</x:v>
      </x:c>
      <x:c r="E327" s="21" t="n">
        <x:v>2017</x:v>
      </x:c>
      <x:c r="F327" s="21" t="n">
        <x:v>1</x:v>
      </x:c>
      <x:c r="G327" s="21" t="n">
        <x:v>1</x:v>
      </x:c>
      <x:c r="H327" s="22" t="n">
        <x:v>1265835.7439422607</x:v>
      </x:c>
      <x:c r="I327" s="23" t="n">
        <x:v>-0.0186656352781418</x:v>
      </x:c>
      <x:c r="J327" s="24" t="n">
        <x:v>2987</x:v>
      </x:c>
      <x:c r="K327" s="25" t="n">
        <x:v>54.62102300000697</x:v>
      </x:c>
      <x:c r="L327" s="25" t="n">
        <x:v>19.151907000068604</x:v>
      </x:c>
      <x:c r="M327" s="25" t="n">
        <x:v>29.145630399994843</x:v>
      </x:c>
      <x:c r="N327" s="25" t="n">
        <x:v>0.8875455999768747</x:v>
      </x:c>
      <x:c r="O327" s="25" t="n">
        <x:v>5.435939999966649</x:v>
      </x:c>
      <x:c r="P327" s="25" t="n">
        <x:v>0.03425865999743109</x:v>
      </x:c>
      <x:c r="Q327" s="25" t="n">
        <x:v>0.7419764119987667</x:v>
      </x:c>
      <x:c r="R327" s="25" t="n">
        <x:v>3.732699469997897</x:v>
      </x:c>
      <x:c r="S327" s="25" t="n">
        <x:v>3.780722773997695</x:v>
      </x:c>
      <x:c r="T327" s="25" t="n">
        <x:v>54.62102300000697</x:v>
      </x:c>
      <x:c r="U327" s="25" t="n">
        <x:v>54.62102300000697</x:v>
      </x:c>
      <x:c r="V327" s="25"/>
      <x:c r="W327" s="19" t="str">
        <x:v>FULL</x:v>
      </x:c>
      <x:c r="X327" s="26" t="n">
        <x:f>IF(AND(J335&gt;0,E327=E335),1-J327/J335,"")</x:f>
        <x:v>0.5851388888888889</x:v>
      </x:c>
      <x:c r="Y327" s="26" t="n">
        <x:f>IF(AND(K335&gt;0,E327=E335),1-K327/K335,"")</x:f>
        <x:v>0.25032324812255513</x:v>
      </x:c>
      <x:c r="Z327" s="26" t="n">
        <x:f>IF(AND(ISNUMBER(P335),P335&gt;0,E327=E335),1-P327/P335,"")</x:f>
        <x:v>0.04363068302611961</x:v>
      </x:c>
      <x:c r="AA327" s="26" t="n">
        <x:f>IF(AND(ISNUMBER(R327),ISNUMBER(R335),R335&gt;0,E327=E335),1-R327/R335,"")</x:f>
        <x:v>0.29805874457857084</x:v>
      </x:c>
      <x:c r="AB327" s="26"/>
      <x:c r="AC327" s="19" t="str">
        <x:v>D:/Codex/GRL研究/outputs/grid89_review/per_date.csv</x:v>
      </x:c>
    </x:row>
    <x:row r="328" ht="36" customHeight="1">
      <x:c r="A328" s="19" t="str">
        <x:v>GRID89 参数</x:v>
      </x:c>
      <x:c r="B328" s="19" t="str">
        <x:v>2035-10-01_5</x:v>
      </x:c>
      <x:c r="C328" s="19" t="str">
        <x:v>FRAME_safe_0p85</x:v>
      </x:c>
      <x:c r="D328" s="21" t="n">
        <x:v>1</x:v>
      </x:c>
      <x:c r="E328" s="21" t="n">
        <x:v>2017</x:v>
      </x:c>
      <x:c r="F328" s="21" t="n">
        <x:v>1</x:v>
      </x:c>
      <x:c r="G328" s="21" t="n">
        <x:v>1</x:v>
      </x:c>
      <x:c r="H328" s="22" t="n">
        <x:v>1544822.9655151367</x:v>
      </x:c>
      <x:c r="I328" s="23" t="n">
        <x:v>0</x:v>
      </x:c>
      <x:c r="J328" s="24" t="n">
        <x:v>528</x:v>
      </x:c>
      <x:c r="K328" s="25" t="n">
        <x:v>46.97312960006093</x:v>
      </x:c>
      <x:c r="L328" s="25" t="n">
        <x:v>9.313920699998562</x:v>
      </x:c>
      <x:c r="M328" s="25" t="n">
        <x:v>31.918198600036703</x:v>
      </x:c>
      <x:c r="N328" s="25" t="n">
        <x:v>0.21934490005514817</x:v>
      </x:c>
      <x:c r="O328" s="25" t="n">
        <x:v>5.521665399970516</x:v>
      </x:c>
      <x:c r="P328" s="25" t="n">
        <x:v>0.03248950000051991</x:v>
      </x:c>
      <x:c r="Q328" s="25" t="n">
        <x:v>0.7113131800014524</x:v>
      </x:c>
      <x:c r="R328" s="25" t="n">
        <x:v>0.8838693449995845</x:v>
      </x:c>
      <x:c r="S328" s="25" t="n">
        <x:v>0.8848607489995266</x:v>
      </x:c>
      <x:c r="T328" s="25" t="n">
        <x:v>46.97312960006093</x:v>
      </x:c>
      <x:c r="U328" s="25" t="n">
        <x:v>46.97312960006093</x:v>
      </x:c>
      <x:c r="V328" s="25"/>
      <x:c r="W328" s="19" t="str">
        <x:v>FULL</x:v>
      </x:c>
      <x:c r="X328" s="26" t="n">
        <x:f>IF(AND(J336&gt;0,E328=E336),1-J328/J336,"")</x:f>
        <x:v>0.709411117226197</x:v>
      </x:c>
      <x:c r="Y328" s="26" t="n">
        <x:f>IF(AND(K336&gt;0,E328=E336),1-K328/K336,"")</x:f>
        <x:v>0.08222195543826394</x:v>
      </x:c>
      <x:c r="Z328" s="26" t="n">
        <x:f>IF(AND(ISNUMBER(P336),P336&gt;0,E328=E336),1-P328/P336,"")</x:f>
        <x:v>-0.025188017156384745</x:v>
      </x:c>
      <x:c r="AA328" s="26" t="n">
        <x:f>IF(AND(ISNUMBER(R328),ISNUMBER(R336),R336&gt;0,E328=E336),1-R328/R336,"")</x:f>
        <x:v>0.6929991852162518</x:v>
      </x:c>
      <x:c r="AB328" s="26"/>
      <x:c r="AC328" s="19" t="str">
        <x:v>D:/Codex/GRL研究/outputs/grid89_review/per_date.csv</x:v>
      </x:c>
    </x:row>
    <x:row r="329" ht="36" customHeight="1">
      <x:c r="A329" s="19" t="str">
        <x:v>GRID89 参数</x:v>
      </x:c>
      <x:c r="B329" s="19" t="str">
        <x:v>2035-03-05_0</x:v>
      </x:c>
      <x:c r="C329" s="19" t="str">
        <x:v>FRAME_safe_0p95</x:v>
      </x:c>
      <x:c r="D329" s="21" t="n">
        <x:v>1</x:v>
      </x:c>
      <x:c r="E329" s="21" t="n">
        <x:v>2017</x:v>
      </x:c>
      <x:c r="F329" s="21" t="n">
        <x:v>0</x:v>
      </x:c>
      <x:c r="G329" s="21" t="n">
        <x:v>1</x:v>
      </x:c>
      <x:c r="H329" s="22" t="n">
        <x:v>3191921.9379882812</x:v>
      </x:c>
      <x:c r="I329" s="23" t="n">
        <x:v>0.07685518375778133</x:v>
      </x:c>
      <x:c r="J329" s="24" t="n">
        <x:v>4213</x:v>
      </x:c>
      <x:c r="K329" s="25" t="n">
        <x:v>129.77097100003812</x:v>
      </x:c>
      <x:c r="L329" s="25" t="n">
        <x:v>24.27214590004951</x:v>
      </x:c>
      <x:c r="M329" s="25" t="n">
        <x:v>99.2629393000243</x:v>
      </x:c>
      <x:c r="N329" s="25" t="n">
        <x:v>1.3287950000121782</x:v>
      </x:c>
      <x:c r="O329" s="25" t="n">
        <x:v>4.90709079995213</x:v>
      </x:c>
      <x:c r="P329" s="25" t="n">
        <x:v>0.041528580000885974</x:v>
      </x:c>
      <x:c r="Q329" s="25" t="n">
        <x:v>2.241931112001039</x:v>
      </x:c>
      <x:c r="R329" s="25" t="n">
        <x:v>4.598229865000576</x:v>
      </x:c>
      <x:c r="S329" s="25" t="n">
        <x:v>4.665891173000818</x:v>
      </x:c>
      <x:c r="T329" s="25" t="n">
        <x:v>129.77097100003812</x:v>
      </x:c>
      <x:c r="U329" s="25" t="n">
        <x:v>129.77097100003812</x:v>
      </x:c>
      <x:c r="V329" s="25"/>
      <x:c r="W329" s="19" t="str">
        <x:v>FULL</x:v>
      </x:c>
      <x:c r="X329" s="26" t="n">
        <x:f>IF(AND(J333&gt;0,E329=E333),1-J329/J333,"")</x:f>
        <x:v>0.5601378158279391</x:v>
      </x:c>
      <x:c r="Y329" s="26" t="n">
        <x:f>IF(AND(K333&gt;0,E329=E333),1-K329/K333,"")</x:f>
        <x:v>0.14710765519328362</x:v>
      </x:c>
      <x:c r="Z329" s="26" t="n">
        <x:f>IF(AND(ISNUMBER(P333),P333&gt;0,E329=E333),1-P329/P333,"")</x:f>
        <x:v>0.032680356643245756</x:v>
      </x:c>
      <x:c r="AA329" s="26" t="n">
        <x:f>IF(AND(ISNUMBER(R329),ISNUMBER(R333),R333&gt;0,E329=E333),1-R329/R333,"")</x:f>
        <x:v>0.28755373980533083</x:v>
      </x:c>
      <x:c r="AB329" s="26"/>
      <x:c r="AC329" s="19" t="str">
        <x:v>D:/Codex/GRL研究/outputs/grid89_review/per_date.csv</x:v>
      </x:c>
    </x:row>
    <x:row r="330" ht="36" customHeight="1">
      <x:c r="A330" s="19" t="str">
        <x:v>GRID89 参数</x:v>
      </x:c>
      <x:c r="B330" s="19" t="str">
        <x:v>2035-06-25_8</x:v>
      </x:c>
      <x:c r="C330" s="19" t="str">
        <x:v>FRAME_safe_0p95</x:v>
      </x:c>
      <x:c r="D330" s="21" t="n">
        <x:v>1</x:v>
      </x:c>
      <x:c r="E330" s="21" t="n">
        <x:v>1901</x:v>
      </x:c>
      <x:c r="F330" s="21" t="n">
        <x:v>1</x:v>
      </x:c>
      <x:c r="G330" s="21" t="n">
        <x:v>0</x:v>
      </x:c>
      <x:c r="H330" s="22" t="n">
        <x:v>1156085.3905029297</x:v>
      </x:c>
      <x:c r="I330" s="23"/>
      <x:c r="J330" s="24" t="n">
        <x:v>1866</x:v>
      </x:c>
      <x:c r="K330" s="25" t="n">
        <x:v>50.79617679999501</x:v>
      </x:c>
      <x:c r="L330" s="25" t="n">
        <x:v>12.363923300141323</x:v>
      </x:c>
      <x:c r="M330" s="25" t="n">
        <x:v>33.431446799972036</x:v>
      </x:c>
      <x:c r="N330" s="25" t="n">
        <x:v>0.4474583999799506</x:v>
      </x:c>
      <x:c r="O330" s="25" t="n">
        <x:v>4.5533482999017</x:v>
      </x:c>
      <x:c r="P330" s="25" t="n">
        <x:v>0.031715599998278776</x:v>
      </x:c>
      <x:c r="Q330" s="25" t="n">
        <x:v>0.6789152000019385</x:v>
      </x:c>
      <x:c r="R330" s="25" t="n">
        <x:v>2.552063380000618</x:v>
      </x:c>
      <x:c r="S330" s="25" t="n">
        <x:v>2.745722996000404</x:v>
      </x:c>
      <x:c r="T330" s="25" t="n">
        <x:v>50.79617679999501</x:v>
      </x:c>
      <x:c r="U330" s="25" t="n">
        <x:v>50.79617679999501</x:v>
      </x:c>
      <x:c r="V330" s="25"/>
      <x:c r="W330" s="19" t="str">
        <x:v>FULL</x:v>
      </x:c>
      <x:c r="X330" s="26" t="n">
        <x:f>IF(AND(J334&gt;0,E330=E334),1-J330/J334,"")</x:f>
        <x:v>0.5337331334332833</x:v>
      </x:c>
      <x:c r="Y330" s="26" t="n">
        <x:f>IF(AND(K334&gt;0,E330=E334),1-K330/K334,"")</x:f>
        <x:v>0.10759829428736711</x:v>
      </x:c>
      <x:c r="Z330" s="26" t="n">
        <x:f>IF(AND(ISNUMBER(P334),P334&gt;0,E330=E334),1-P330/P334,"")</x:f>
        <x:v>-0.0051596054579285955</x:v>
      </x:c>
      <x:c r="AA330" s="26" t="n">
        <x:f>IF(AND(ISNUMBER(R330),ISNUMBER(R334),R334&gt;0,E330=E334),1-R330/R334,"")</x:f>
        <x:v>0.19729063253701284</x:v>
      </x:c>
      <x:c r="AB330" s="26"/>
      <x:c r="AC330" s="19" t="str">
        <x:v>D:/Codex/GRL研究/outputs/grid89_review/per_date.csv</x:v>
      </x:c>
    </x:row>
    <x:row r="331" ht="36" customHeight="1">
      <x:c r="A331" s="19" t="str">
        <x:v>GRID89 参数</x:v>
      </x:c>
      <x:c r="B331" s="19" t="str">
        <x:v>2035-09-03_4</x:v>
      </x:c>
      <x:c r="C331" s="19" t="str">
        <x:v>FRAME_safe_0p95</x:v>
      </x:c>
      <x:c r="D331" s="21" t="n">
        <x:v>1</x:v>
      </x:c>
      <x:c r="E331" s="21" t="n">
        <x:v>2017</x:v>
      </x:c>
      <x:c r="F331" s="21" t="n">
        <x:v>1</x:v>
      </x:c>
      <x:c r="G331" s="21" t="n">
        <x:v>1</x:v>
      </x:c>
      <x:c r="H331" s="22" t="n">
        <x:v>1265835.7439422607</x:v>
      </x:c>
      <x:c r="I331" s="23" t="n">
        <x:v>-0.0186656352781418</x:v>
      </x:c>
      <x:c r="J331" s="24" t="n">
        <x:v>2964</x:v>
      </x:c>
      <x:c r="K331" s="25" t="n">
        <x:v>54.91619810005432</x:v>
      </x:c>
      <x:c r="L331" s="25" t="n">
        <x:v>19.42231800020818</x:v>
      </x:c>
      <x:c r="M331" s="25" t="n">
        <x:v>29.254899500025203</x:v>
      </x:c>
      <x:c r="N331" s="25" t="n">
        <x:v>0.8759744999151735</x:v>
      </x:c>
      <x:c r="O331" s="25" t="n">
        <x:v>5.3630060999057605</x:v>
      </x:c>
      <x:c r="P331" s="25" t="n">
        <x:v>0.033984480001527116</x:v>
      </x:c>
      <x:c r="Q331" s="25" t="n">
        <x:v>0.7575966160005186</x:v>
      </x:c>
      <x:c r="R331" s="25" t="n">
        <x:v>3.919396840000445</x:v>
      </x:c>
      <x:c r="S331" s="25" t="n">
        <x:v>4.030725287999848</x:v>
      </x:c>
      <x:c r="T331" s="25" t="n">
        <x:v>54.91619810005432</x:v>
      </x:c>
      <x:c r="U331" s="25" t="n">
        <x:v>54.91619810005432</x:v>
      </x:c>
      <x:c r="V331" s="25"/>
      <x:c r="W331" s="19" t="str">
        <x:v>FULL</x:v>
      </x:c>
      <x:c r="X331" s="26" t="n">
        <x:f>IF(AND(J335&gt;0,E331=E335),1-J331/J335,"")</x:f>
        <x:v>0.5883333333333334</x:v>
      </x:c>
      <x:c r="Y331" s="26" t="n">
        <x:f>IF(AND(K335&gt;0,E331=E335),1-K331/K335,"")</x:f>
        <x:v>0.24627195252088607</x:v>
      </x:c>
      <x:c r="Z331" s="26" t="n">
        <x:f>IF(AND(ISNUMBER(P335),P335&gt;0,E331=E335),1-P331/P335,"")</x:f>
        <x:v>0.051284728322411155</x:v>
      </x:c>
      <x:c r="AA331" s="26" t="n">
        <x:f>IF(AND(ISNUMBER(R331),ISNUMBER(R335),R335&gt;0,E331=E335),1-R331/R335,"")</x:f>
        <x:v>0.2629499480261547</x:v>
      </x:c>
      <x:c r="AB331" s="26"/>
      <x:c r="AC331" s="19" t="str">
        <x:v>D:/Codex/GRL研究/outputs/grid89_review/per_date.csv</x:v>
      </x:c>
    </x:row>
    <x:row r="332" ht="36" customHeight="1">
      <x:c r="A332" s="19" t="str">
        <x:v>GRID89 参数</x:v>
      </x:c>
      <x:c r="B332" s="19" t="str">
        <x:v>2035-10-01_5</x:v>
      </x:c>
      <x:c r="C332" s="19" t="str">
        <x:v>FRAME_safe_0p95</x:v>
      </x:c>
      <x:c r="D332" s="21" t="n">
        <x:v>1</x:v>
      </x:c>
      <x:c r="E332" s="21" t="n">
        <x:v>2017</x:v>
      </x:c>
      <x:c r="F332" s="21" t="n">
        <x:v>1</x:v>
      </x:c>
      <x:c r="G332" s="21" t="n">
        <x:v>1</x:v>
      </x:c>
      <x:c r="H332" s="22" t="n">
        <x:v>1544822.9655151367</x:v>
      </x:c>
      <x:c r="I332" s="23" t="n">
        <x:v>0</x:v>
      </x:c>
      <x:c r="J332" s="24" t="n">
        <x:v>512</x:v>
      </x:c>
      <x:c r="K332" s="25" t="n">
        <x:v>47.108481500101334</x:v>
      </x:c>
      <x:c r="L332" s="25" t="n">
        <x:v>9.329330600030517</x:v>
      </x:c>
      <x:c r="M332" s="25" t="n">
        <x:v>32.08063659994514</x:v>
      </x:c>
      <x:c r="N332" s="25" t="n">
        <x:v>0.23377100004654494</x:v>
      </x:c>
      <x:c r="O332" s="25" t="n">
        <x:v>5.464743300079135</x:v>
      </x:c>
      <x:c r="P332" s="25" t="n">
        <x:v>0.03226866000186419</x:v>
      </x:c>
      <x:c r="Q332" s="25" t="n">
        <x:v>0.7307062560028855</x:v>
      </x:c>
      <x:c r="R332" s="25" t="n">
        <x:v>0.8939302049997423</x:v>
      </x:c>
      <x:c r="S332" s="25" t="n">
        <x:v>0.8948700409996309</x:v>
      </x:c>
      <x:c r="T332" s="25" t="n">
        <x:v>47.108481500101334</x:v>
      </x:c>
      <x:c r="U332" s="25" t="n">
        <x:v>47.108481500101334</x:v>
      </x:c>
      <x:c r="V332" s="25"/>
      <x:c r="W332" s="19" t="str">
        <x:v>FULL</x:v>
      </x:c>
      <x:c r="X332" s="26" t="n">
        <x:f>IF(AND(J336&gt;0,E332=E336),1-J332/J336,"")</x:f>
        <x:v>0.7182168409466153</x:v>
      </x:c>
      <x:c r="Y332" s="26" t="n">
        <x:f>IF(AND(K336&gt;0,E332=E336),1-K332/K336,"")</x:f>
        <x:v>0.07957740091944743</x:v>
      </x:c>
      <x:c r="Z332" s="26" t="n">
        <x:f>IF(AND(ISNUMBER(P336),P336&gt;0,E332=E336),1-P332/P336,"")</x:f>
        <x:v>-0.018219534405740534</x:v>
      </x:c>
      <x:c r="AA332" s="26" t="n">
        <x:f>IF(AND(ISNUMBER(R332),ISNUMBER(R336),R336&gt;0,E332=E336),1-R332/R336,"")</x:f>
        <x:v>0.6895046730070122</x:v>
      </x:c>
      <x:c r="AB332" s="26"/>
      <x:c r="AC332" s="19" t="str">
        <x:v>D:/Codex/GRL研究/outputs/grid89_review/per_date.csv</x:v>
      </x:c>
    </x:row>
    <x:row r="333" ht="36" customHeight="1">
      <x:c r="A333" s="19" t="str">
        <x:v>GRID89 参数</x:v>
      </x:c>
      <x:c r="B333" s="19" t="str">
        <x:v>2035-03-05_0</x:v>
      </x:c>
      <x:c r="C333" s="19" t="str">
        <x:v>FULL</x:v>
      </x:c>
      <x:c r="D333" s="21" t="n">
        <x:v>1</x:v>
      </x:c>
      <x:c r="E333" s="21" t="n">
        <x:v>2017</x:v>
      </x:c>
      <x:c r="F333" s="21" t="n">
        <x:v>1</x:v>
      </x:c>
      <x:c r="G333" s="21" t="n">
        <x:v>1</x:v>
      </x:c>
      <x:c r="H333" s="22" t="n">
        <x:v>2964114.382446289</x:v>
      </x:c>
      <x:c r="I333" s="23" t="n">
        <x:v>0</x:v>
      </x:c>
      <x:c r="J333" s="24" t="n">
        <x:v>9578</x:v>
      </x:c>
      <x:c r="K333" s="25" t="n">
        <x:v>152.15398730005836</x:v>
      </x:c>
      <x:c r="L333" s="25" t="n">
        <x:v>40.33754450017659</x:v>
      </x:c>
      <x:c r="M333" s="25" t="n">
        <x:v>104.89160979998269</x:v>
      </x:c>
      <x:c r="N333" s="25" t="n">
        <x:v>1.2731908998866857</x:v>
      </x:c>
      <x:c r="O333" s="25" t="n">
        <x:v>5.6516421000123955</x:v>
      </x:c>
      <x:c r="P333" s="25" t="n">
        <x:v>0.04293160000015625</x:v>
      </x:c>
      <x:c r="Q333" s="25" t="n">
        <x:v>2.7411384679985336</x:v>
      </x:c>
      <x:c r="R333" s="25" t="n">
        <x:v>6.454142750000756</x:v>
      </x:c>
      <x:c r="S333" s="25" t="n">
        <x:v>6.58820199000038</x:v>
      </x:c>
      <x:c r="T333" s="25" t="n">
        <x:v>152.15398730005836</x:v>
      </x:c>
      <x:c r="U333" s="25" t="n">
        <x:v>152.15398730005836</x:v>
      </x:c>
      <x:c r="V333" s="25"/>
      <x:c r="W333" s="19" t="str">
        <x:v>FULL</x:v>
      </x:c>
      <x:c r="X333" s="26" t="n">
        <x:f>IF(AND(J333&gt;0,E333=E333),1-J333/J333,"")</x:f>
        <x:v>0</x:v>
      </x:c>
      <x:c r="Y333" s="26" t="n">
        <x:f>IF(AND(K333&gt;0,E333=E333),1-K333/K333,"")</x:f>
        <x:v>0</x:v>
      </x:c>
      <x:c r="Z333" s="26" t="n">
        <x:f>IF(AND(ISNUMBER(P333),P333&gt;0,E333=E333),1-P333/P333,"")</x:f>
        <x:v>0</x:v>
      </x:c>
      <x:c r="AA333" s="26" t="n">
        <x:f>IF(AND(ISNUMBER(R333),ISNUMBER(R333),R333&gt;0,E333=E333),1-R333/R333,"")</x:f>
        <x:v>0</x:v>
      </x:c>
      <x:c r="AB333" s="26"/>
      <x:c r="AC333" s="19" t="str">
        <x:v>D:/Codex/GRL研究/outputs/grid89_review/per_date.csv</x:v>
      </x:c>
    </x:row>
    <x:row r="334" ht="36" customHeight="1">
      <x:c r="A334" s="19" t="str">
        <x:v>GRID89 参数</x:v>
      </x:c>
      <x:c r="B334" s="19" t="str">
        <x:v>2035-06-25_8</x:v>
      </x:c>
      <x:c r="C334" s="19" t="str">
        <x:v>FULL</x:v>
      </x:c>
      <x:c r="D334" s="21" t="n">
        <x:v>1</x:v>
      </x:c>
      <x:c r="E334" s="21" t="n">
        <x:v>1901</x:v>
      </x:c>
      <x:c r="F334" s="21" t="n">
        <x:v>1</x:v>
      </x:c>
      <x:c r="G334" s="21" t="n">
        <x:v>0</x:v>
      </x:c>
      <x:c r="H334" s="22" t="n">
        <x:v>1156085.3905029297</x:v>
      </x:c>
      <x:c r="I334" s="23"/>
      <x:c r="J334" s="24" t="n">
        <x:v>4002</x:v>
      </x:c>
      <x:c r="K334" s="25" t="n">
        <x:v>56.920752700076264</x:v>
      </x:c>
      <x:c r="L334" s="25" t="n">
        <x:v>18.278719000187266</x:v>
      </x:c>
      <x:c r="M334" s="25" t="n">
        <x:v>33.421287600027426</x:v>
      </x:c>
      <x:c r="N334" s="25" t="n">
        <x:v>0.47508489998654113</x:v>
      </x:c>
      <x:c r="O334" s="25" t="n">
        <x:v>4.74566119987503</x:v>
      </x:c>
      <x:c r="P334" s="25" t="n">
        <x:v>0.03155279999919003</x:v>
      </x:c>
      <x:c r="Q334" s="25" t="n">
        <x:v>0.6802588000027754</x:v>
      </x:c>
      <x:c r="R334" s="25" t="n">
        <x:v>3.179311820001021</x:v>
      </x:c>
      <x:c r="S334" s="25" t="n">
        <x:v>3.2173820440018606</x:v>
      </x:c>
      <x:c r="T334" s="25" t="n">
        <x:v>56.920752700076264</x:v>
      </x:c>
      <x:c r="U334" s="25" t="n">
        <x:v>56.920752700076264</x:v>
      </x:c>
      <x:c r="V334" s="25"/>
      <x:c r="W334" s="19" t="str">
        <x:v>FULL</x:v>
      </x:c>
      <x:c r="X334" s="26" t="n">
        <x:f>IF(AND(J334&gt;0,E334=E334),1-J334/J334,"")</x:f>
        <x:v>0</x:v>
      </x:c>
      <x:c r="Y334" s="26" t="n">
        <x:f>IF(AND(K334&gt;0,E334=E334),1-K334/K334,"")</x:f>
        <x:v>0</x:v>
      </x:c>
      <x:c r="Z334" s="26" t="n">
        <x:f>IF(AND(ISNUMBER(P334),P334&gt;0,E334=E334),1-P334/P334,"")</x:f>
        <x:v>0</x:v>
      </x:c>
      <x:c r="AA334" s="26" t="n">
        <x:f>IF(AND(ISNUMBER(R334),ISNUMBER(R334),R334&gt;0,E334=E334),1-R334/R334,"")</x:f>
        <x:v>0</x:v>
      </x:c>
      <x:c r="AB334" s="26"/>
      <x:c r="AC334" s="19" t="str">
        <x:v>D:/Codex/GRL研究/outputs/grid89_review/per_date.csv</x:v>
      </x:c>
    </x:row>
    <x:row r="335" ht="36" customHeight="1">
      <x:c r="A335" s="19" t="str">
        <x:v>GRID89 参数</x:v>
      </x:c>
      <x:c r="B335" s="19" t="str">
        <x:v>2035-09-03_4</x:v>
      </x:c>
      <x:c r="C335" s="19" t="str">
        <x:v>FULL</x:v>
      </x:c>
      <x:c r="D335" s="21" t="n">
        <x:v>1</x:v>
      </x:c>
      <x:c r="E335" s="21" t="n">
        <x:v>2017</x:v>
      </x:c>
      <x:c r="F335" s="21" t="n">
        <x:v>1</x:v>
      </x:c>
      <x:c r="G335" s="21" t="n">
        <x:v>1</x:v>
      </x:c>
      <x:c r="H335" s="22" t="n">
        <x:v>1289912.7855377197</x:v>
      </x:c>
      <x:c r="I335" s="23" t="n">
        <x:v>0</x:v>
      </x:c>
      <x:c r="J335" s="24" t="n">
        <x:v>7200</x:v>
      </x:c>
      <x:c r="K335" s="25" t="n">
        <x:v>72.85943289986972</x:v>
      </x:c>
      <x:c r="L335" s="25" t="n">
        <x:v>32.85890589993869</x:v>
      </x:c>
      <x:c r="M335" s="25" t="n">
        <x:v>32.69905130007828</x:v>
      </x:c>
      <x:c r="N335" s="25" t="n">
        <x:v>0.991116899815097</x:v>
      </x:c>
      <x:c r="O335" s="25" t="n">
        <x:v>6.310358800037648</x:v>
      </x:c>
      <x:c r="P335" s="25" t="n">
        <x:v>0.035821579999901584</x:v>
      </x:c>
      <x:c r="Q335" s="25" t="n">
        <x:v>0.7819329279997325</x:v>
      </x:c>
      <x:c r="R335" s="25" t="n">
        <x:v>5.317680704999838</x:v>
      </x:c>
      <x:c r="S335" s="25" t="n">
        <x:v>5.6358698210001235</x:v>
      </x:c>
      <x:c r="T335" s="25" t="n">
        <x:v>72.85943289986972</x:v>
      </x:c>
      <x:c r="U335" s="25" t="n">
        <x:v>72.85943289986972</x:v>
      </x:c>
      <x:c r="V335" s="25"/>
      <x:c r="W335" s="19" t="str">
        <x:v>FULL</x:v>
      </x:c>
      <x:c r="X335" s="26" t="n">
        <x:f>IF(AND(J335&gt;0,E335=E335),1-J335/J335,"")</x:f>
        <x:v>0</x:v>
      </x:c>
      <x:c r="Y335" s="26" t="n">
        <x:f>IF(AND(K335&gt;0,E335=E335),1-K335/K335,"")</x:f>
        <x:v>0</x:v>
      </x:c>
      <x:c r="Z335" s="26" t="n">
        <x:f>IF(AND(ISNUMBER(P335),P335&gt;0,E335=E335),1-P335/P335,"")</x:f>
        <x:v>0</x:v>
      </x:c>
      <x:c r="AA335" s="26" t="n">
        <x:f>IF(AND(ISNUMBER(R335),ISNUMBER(R335),R335&gt;0,E335=E335),1-R335/R335,"")</x:f>
        <x:v>0</x:v>
      </x:c>
      <x:c r="AB335" s="26"/>
      <x:c r="AC335" s="19" t="str">
        <x:v>D:/Codex/GRL研究/outputs/grid89_review/per_date.csv</x:v>
      </x:c>
    </x:row>
    <x:row r="336" ht="36" customHeight="1">
      <x:c r="A336" s="19" t="str">
        <x:v>GRID89 参数</x:v>
      </x:c>
      <x:c r="B336" s="19" t="str">
        <x:v>2035-10-01_5</x:v>
      </x:c>
      <x:c r="C336" s="19" t="str">
        <x:v>FULL</x:v>
      </x:c>
      <x:c r="D336" s="21" t="n">
        <x:v>1</x:v>
      </x:c>
      <x:c r="E336" s="21" t="n">
        <x:v>2017</x:v>
      </x:c>
      <x:c r="F336" s="21" t="n">
        <x:v>1</x:v>
      </x:c>
      <x:c r="G336" s="21" t="n">
        <x:v>1</x:v>
      </x:c>
      <x:c r="H336" s="22" t="n">
        <x:v>1544822.9655151367</x:v>
      </x:c>
      <x:c r="I336" s="23" t="n">
        <x:v>0</x:v>
      </x:c>
      <x:c r="J336" s="24" t="n">
        <x:v>1817</x:v>
      </x:c>
      <x:c r="K336" s="25" t="n">
        <x:v>51.18136119990959</x:v>
      </x:c>
      <x:c r="L336" s="25" t="n">
        <x:v>13.112491100007901</x:v>
      </x:c>
      <x:c r="M336" s="25" t="n">
        <x:v>32.224240899973665</x:v>
      </x:c>
      <x:c r="N336" s="25" t="n">
        <x:v>0.24139510002351017</x:v>
      </x:c>
      <x:c r="O336" s="25" t="n">
        <x:v>5.603234099904512</x:v>
      </x:c>
      <x:c r="P336" s="25" t="n">
        <x:v>0.03169125999993412</x:v>
      </x:c>
      <x:c r="Q336" s="25" t="n">
        <x:v>0.7263369679986496</x:v>
      </x:c>
      <x:c r="R336" s="25" t="n">
        <x:v>2.879045600000063</x:v>
      </x:c>
      <x:c r="S336" s="25" t="n">
        <x:v>2.879643520000063</x:v>
      </x:c>
      <x:c r="T336" s="25" t="n">
        <x:v>51.18136119990959</x:v>
      </x:c>
      <x:c r="U336" s="25" t="n">
        <x:v>51.18136119990959</x:v>
      </x:c>
      <x:c r="V336" s="25"/>
      <x:c r="W336" s="19" t="str">
        <x:v>FULL</x:v>
      </x:c>
      <x:c r="X336" s="26" t="n">
        <x:f>IF(AND(J336&gt;0,E336=E336),1-J336/J336,"")</x:f>
        <x:v>0</x:v>
      </x:c>
      <x:c r="Y336" s="26" t="n">
        <x:f>IF(AND(K336&gt;0,E336=E336),1-K336/K336,"")</x:f>
        <x:v>0</x:v>
      </x:c>
      <x:c r="Z336" s="26" t="n">
        <x:f>IF(AND(ISNUMBER(P336),P336&gt;0,E336=E336),1-P336/P336,"")</x:f>
        <x:v>0</x:v>
      </x:c>
      <x:c r="AA336" s="26" t="n">
        <x:f>IF(AND(ISNUMBER(R336),ISNUMBER(R336),R336&gt;0,E336=E336),1-R336/R336,"")</x:f>
        <x:v>0</x:v>
      </x:c>
      <x:c r="AB336" s="26"/>
      <x:c r="AC336" s="19" t="str">
        <x:v>D:/Codex/GRL研究/outputs/grid89_review/per_date.csv</x:v>
      </x:c>
    </x:row>
    <x:row r="337" ht="36" customHeight="1">
      <x:c r="A337" s="19" t="str">
        <x:v>GRID89 G2主评价</x:v>
      </x:c>
      <x:c r="B337" s="19" t="str">
        <x:v>2036-01-07_10</x:v>
      </x:c>
      <x:c r="C337" s="19" t="str">
        <x:v>FIXED_512</x:v>
      </x:c>
      <x:c r="D337" s="21" t="n">
        <x:v>3</x:v>
      </x:c>
      <x:c r="E337" s="21" t="n">
        <x:v>2017</x:v>
      </x:c>
      <x:c r="F337" s="21" t="n">
        <x:v>1</x:v>
      </x:c>
      <x:c r="G337" s="21" t="n">
        <x:v>1</x:v>
      </x:c>
      <x:c r="H337" s="22" t="n">
        <x:v>3534859.926574707</x:v>
      </x:c>
      <x:c r="I337" s="23" t="n">
        <x:v>0</x:v>
      </x:c>
      <x:c r="J337" s="24" t="n">
        <x:v>6144</x:v>
      </x:c>
      <x:c r="K337" s="25" t="n">
        <x:v>154.23064800007705</x:v>
      </x:c>
      <x:c r="L337" s="25" t="n">
        <x:v>30.12807909988017</x:v>
      </x:c>
      <x:c r="M337" s="25" t="n">
        <x:v>117.31581956666317</x:v>
      </x:c>
      <x:c r="N337" s="25" t="n">
        <x:v>1.2598404665902005</x:v>
      </x:c>
      <x:c r="O337" s="25" t="n">
        <x:v>5.5269088669435105</x:v>
      </x:c>
      <x:c r="P337" s="25" t="n">
        <x:v>0.06749539999849119</x:v>
      </x:c>
      <x:c r="Q337" s="25" t="n">
        <x:v>2.4801000866655754</x:v>
      </x:c>
      <x:c r="R337" s="25" t="n">
        <x:v>4.2140895749991</x:v>
      </x:c>
      <x:c r="S337" s="25" t="n">
        <x:v>4.235023674999162</x:v>
      </x:c>
      <x:c r="T337" s="25" t="n">
        <x:v>149.22073590019863</x:v>
      </x:c>
      <x:c r="U337" s="25" t="n">
        <x:v>164.01275570006692</x:v>
      </x:c>
      <x:c r="V337" s="25" t="n">
        <x:v>8.472387536829045</x:v>
      </x:c>
      <x:c r="W337" s="19" t="str">
        <x:v>FULL</x:v>
      </x:c>
      <x:c r="X337" s="26" t="n">
        <x:f>IF(AND(J349&gt;0,E337=E349),1-J337/J349,"")</x:f>
        <x:v>0.43147959655778667</x:v>
      </x:c>
      <x:c r="Y337" s="26" t="n">
        <x:f>IF(AND(K349&gt;0,E337=E349),1-K337/K349,"")</x:f>
        <x:v>0.0710713923314592</x:v>
      </x:c>
      <x:c r="Z337" s="26" t="n">
        <x:f>IF(AND(ISNUMBER(P349),P349&gt;0,E337=E349),1-P337/P349,"")</x:f>
        <x:v>-0.21488561293803166</x:v>
      </x:c>
      <x:c r="AA337" s="26" t="n">
        <x:f>IF(AND(ISNUMBER(R337),ISNUMBER(R349),R349&gt;0,E337=E349),1-R337/R349,"")</x:f>
        <x:v>0.19678228438666945</x:v>
      </x:c>
      <x:c r="AB337" s="26" t="n">
        <x:v>0.05493322920373655</x:v>
      </x:c>
      <x:c r="AC337" s="19" t="str">
        <x:v>D:/Codex/GRL研究/outputs/grid89_review/per_date.csv</x:v>
      </x:c>
    </x:row>
    <x:row r="338" ht="36" customHeight="1">
      <x:c r="A338" s="19" t="str">
        <x:v>GRID89 G2主评价</x:v>
      </x:c>
      <x:c r="B338" s="19" t="str">
        <x:v>2036-03-03_10</x:v>
      </x:c>
      <x:c r="C338" s="19" t="str">
        <x:v>FIXED_512</x:v>
      </x:c>
      <x:c r="D338" s="21" t="n">
        <x:v>3</x:v>
      </x:c>
      <x:c r="E338" s="21" t="n">
        <x:v>1878</x:v>
      </x:c>
      <x:c r="F338" s="21" t="n">
        <x:v>1</x:v>
      </x:c>
      <x:c r="G338" s="21" t="n">
        <x:v>0</x:v>
      </x:c>
      <x:c r="H338" s="22" t="n">
        <x:v>2193359.099975586</x:v>
      </x:c>
      <x:c r="I338" s="23"/>
      <x:c r="J338" s="24" t="n">
        <x:v>3072</x:v>
      </x:c>
      <x:c r="K338" s="25" t="n">
        <x:v>77.058222733341</x:v>
      </x:c>
      <x:c r="L338" s="25" t="n">
        <x:v>16.32447839999198</x:v>
      </x:c>
      <x:c r="M338" s="25" t="n">
        <x:v>55.91413640001095</x:v>
      </x:c>
      <x:c r="N338" s="25" t="n">
        <x:v>0.6066482665955846</x:v>
      </x:c>
      <x:c r="O338" s="25" t="n">
        <x:v>4.212959666742488</x:v>
      </x:c>
      <x:c r="P338" s="25" t="n">
        <x:v>0.03713364833280744</x:v>
      </x:c>
      <x:c r="Q338" s="25" t="n">
        <x:v>1.039960724666671</x:v>
      </x:c>
      <x:c r="R338" s="25" t="n">
        <x:v>4.037049983332811</x:v>
      </x:c>
      <x:c r="S338" s="25" t="n">
        <x:v>4.067955489999076</x:v>
      </x:c>
      <x:c r="T338" s="25" t="n">
        <x:v>74.48715790003189</x:v>
      </x:c>
      <x:c r="U338" s="25" t="n">
        <x:v>81.74816760002432</x:v>
      </x:c>
      <x:c r="V338" s="25" t="n">
        <x:v>4.067899324309775</x:v>
      </x:c>
      <x:c r="W338" s="19" t="str">
        <x:v>FULL</x:v>
      </x:c>
      <x:c r="X338" s="26" t="n">
        <x:f>IF(AND(J350&gt;0,E338=E350),1-J338/J350,"")</x:f>
        <x:v>0.40058536585365856</x:v>
      </x:c>
      <x:c r="Y338" s="26" t="n">
        <x:f>IF(AND(K350&gt;0,E338=E350),1-K338/K350,"")</x:f>
        <x:v>0.046842873702835575</x:v>
      </x:c>
      <x:c r="Z338" s="26" t="n">
        <x:f>IF(AND(ISNUMBER(P350),P350&gt;0,E338=E350),1-P338/P350,"")</x:f>
        <x:v>-0.03714888694504381</x:v>
      </x:c>
      <x:c r="AA338" s="26" t="n">
        <x:f>IF(AND(ISNUMBER(R338),ISNUMBER(R350),R350&gt;0,E338=E350),1-R338/R350,"")</x:f>
        <x:v>0.14968315119366205</x:v>
      </x:c>
      <x:c r="AB338" s="26" t="n">
        <x:v>0.05278994479780165</x:v>
      </x:c>
      <x:c r="AC338" s="19" t="str">
        <x:v>D:/Codex/GRL研究/outputs/grid89_review/per_date.csv</x:v>
      </x:c>
    </x:row>
    <x:row r="339" ht="36" customHeight="1">
      <x:c r="A339" s="19" t="str">
        <x:v>GRID89 G2主评价</x:v>
      </x:c>
      <x:c r="B339" s="19" t="str">
        <x:v>2036-05-05_10</x:v>
      </x:c>
      <x:c r="C339" s="19" t="str">
        <x:v>FIXED_512</x:v>
      </x:c>
      <x:c r="D339" s="21" t="n">
        <x:v>3</x:v>
      </x:c>
      <x:c r="E339" s="21" t="n">
        <x:v>2017</x:v>
      </x:c>
      <x:c r="F339" s="21" t="n">
        <x:v>1</x:v>
      </x:c>
      <x:c r="G339" s="21" t="n">
        <x:v>1</x:v>
      </x:c>
      <x:c r="H339" s="22" t="n">
        <x:v>1545098.8601379395</x:v>
      </x:c>
      <x:c r="I339" s="23" t="n">
        <x:v>0</x:v>
      </x:c>
      <x:c r="J339" s="24" t="n">
        <x:v>1024</x:v>
      </x:c>
      <x:c r="K339" s="25" t="n">
        <x:v>9.776278400006655</x:v>
      </x:c>
      <x:c r="L339" s="25" t="n">
        <x:v>6.733967133370849</x:v>
      </x:c>
      <x:c r="M339" s="25" t="n">
        <x:v>0.513808599999417</x:v>
      </x:c>
      <x:c r="N339" s="25" t="n">
        <x:v>0.20210679997156453</x:v>
      </x:c>
      <x:c r="O339" s="25" t="n">
        <x:v>2.326395866664825</x:v>
      </x:c>
      <x:c r="P339" s="25" t="n">
        <x:v>0.0056116933320784785</x:v>
      </x:c>
      <x:c r="Q339" s="25" t="n">
        <x:v>0.006361543999567702</x:v>
      </x:c>
      <x:c r="R339" s="25" t="n">
        <x:v>1.3325294966637253</x:v>
      </x:c>
      <x:c r="S339" s="25" t="n">
        <x:v>1.3343137926635973</x:v>
      </x:c>
      <x:c r="T339" s="25" t="n">
        <x:v>9.217130600038217</x:v>
      </x:c>
      <x:c r="U339" s="25" t="n">
        <x:v>10.222215899946605</x:v>
      </x:c>
      <x:c r="V339" s="25" t="n">
        <x:v>0.5120171325721323</x:v>
      </x:c>
      <x:c r="W339" s="19" t="str">
        <x:v>FULL</x:v>
      </x:c>
      <x:c r="X339" s="26" t="n">
        <x:f>IF(AND(J351&gt;0,E339=E351),1-J339/J351,"")</x:f>
        <x:v>0.33506493506493507</x:v>
      </x:c>
      <x:c r="Y339" s="26" t="n">
        <x:f>IF(AND(K351&gt;0,E339=E351),1-K339/K351,"")</x:f>
        <x:v>0.12323538358297048</x:v>
      </x:c>
      <x:c r="Z339" s="26" t="n">
        <x:f>IF(AND(ISNUMBER(P351),P351&gt;0,E339=E351),1-P339/P351,"")</x:f>
        <x:v>0.013001235903569608</x:v>
      </x:c>
      <x:c r="AA339" s="26" t="n">
        <x:f>IF(AND(ISNUMBER(R339),ISNUMBER(R351),R351&gt;0,E339=E351),1-R339/R351,"")</x:f>
        <x:v>0.3958388533617484</x:v>
      </x:c>
      <x:c r="AB339" s="26" t="n">
        <x:v>0.05237341978434082</x:v>
      </x:c>
      <x:c r="AC339" s="19" t="str">
        <x:v>D:/Codex/GRL研究/outputs/grid89_review/per_date.csv</x:v>
      </x:c>
    </x:row>
    <x:row r="340" ht="36" customHeight="1">
      <x:c r="A340" s="19" t="str">
        <x:v>GRID89 G2主评价</x:v>
      </x:c>
      <x:c r="B340" s="19" t="str">
        <x:v>2036-07-07_10</x:v>
      </x:c>
      <x:c r="C340" s="19" t="str">
        <x:v>FIXED_512</x:v>
      </x:c>
      <x:c r="D340" s="21" t="n">
        <x:v>3</x:v>
      </x:c>
      <x:c r="E340" s="21" t="n">
        <x:v>2017</x:v>
      </x:c>
      <x:c r="F340" s="21" t="n">
        <x:v>1</x:v>
      </x:c>
      <x:c r="G340" s="21" t="n">
        <x:v>1</x:v>
      </x:c>
      <x:c r="H340" s="22" t="n">
        <x:v>1282897.534729004</x:v>
      </x:c>
      <x:c r="I340" s="23" t="n">
        <x:v>0.00005334727759254143</x:v>
      </x:c>
      <x:c r="J340" s="24" t="n">
        <x:v>4096</x:v>
      </x:c>
      <x:c r="K340" s="25" t="n">
        <x:v>51.63469699985338</x:v>
      </x:c>
      <x:c r="L340" s="25" t="n">
        <x:v>16.726543666524474</x:v>
      </x:c>
      <x:c r="M340" s="25" t="n">
        <x:v>28.446807266666536</x:v>
      </x:c>
      <x:c r="N340" s="25" t="n">
        <x:v>1.4084458333891234</x:v>
      </x:c>
      <x:c r="O340" s="25" t="n">
        <x:v>5.052900233273249</x:v>
      </x:c>
      <x:c r="P340" s="25" t="n">
        <x:v>0.02964808666680861</x:v>
      </x:c>
      <x:c r="Q340" s="25" t="n">
        <x:v>0.7116751280030196</x:v>
      </x:c>
      <x:c r="R340" s="25" t="n">
        <x:v>1.7119540699982583</x:v>
      </x:c>
      <x:c r="S340" s="25" t="n">
        <x:v>1.7904947606653028</x:v>
      </x:c>
      <x:c r="T340" s="25" t="n">
        <x:v>48.82443779996538</x:v>
      </x:c>
      <x:c r="U340" s="25" t="n">
        <x:v>53.919756199735275</x:v>
      </x:c>
      <x:c r="V340" s="25" t="n">
        <x:v>2.587941977472296</x:v>
      </x:c>
      <x:c r="W340" s="19" t="str">
        <x:v>FULL</x:v>
      </x:c>
      <x:c r="X340" s="26" t="n">
        <x:f>IF(AND(J352&gt;0,E340=E352),1-J340/J352,"")</x:f>
        <x:v>0.43245115699043923</x:v>
      </x:c>
      <x:c r="Y340" s="26" t="n">
        <x:f>IF(AND(K352&gt;0,E340=E352),1-K340/K352,"")</x:f>
        <x:v>0.11963879328340032</x:v>
      </x:c>
      <x:c r="Z340" s="26" t="n">
        <x:f>IF(AND(ISNUMBER(P352),P352&gt;0,E340=E352),1-P340/P352,"")</x:f>
        <x:v>-0.00854260668420892</x:v>
      </x:c>
      <x:c r="AA340" s="26" t="n">
        <x:f>IF(AND(ISNUMBER(R340),ISNUMBER(R352),R352&gt;0,E340=E352),1-R340/R352,"")</x:f>
        <x:v>0.35382150845589133</x:v>
      </x:c>
      <x:c r="AB340" s="26" t="n">
        <x:v>0.050120212334733835</x:v>
      </x:c>
      <x:c r="AC340" s="19" t="str">
        <x:v>D:/Codex/GRL研究/outputs/grid89_review/per_date.csv</x:v>
      </x:c>
    </x:row>
    <x:row r="341" ht="36" customHeight="1">
      <x:c r="A341" s="19" t="str">
        <x:v>GRID89 G2主评价</x:v>
      </x:c>
      <x:c r="B341" s="19" t="str">
        <x:v>2036-09-01_10</x:v>
      </x:c>
      <x:c r="C341" s="19" t="str">
        <x:v>FIXED_512</x:v>
      </x:c>
      <x:c r="D341" s="21" t="n">
        <x:v>3</x:v>
      </x:c>
      <x:c r="E341" s="21" t="n">
        <x:v>2017</x:v>
      </x:c>
      <x:c r="F341" s="21" t="n">
        <x:v>0</x:v>
      </x:c>
      <x:c r="G341" s="21" t="n">
        <x:v>1</x:v>
      </x:c>
      <x:c r="H341" s="22" t="n">
        <x:v>1775696.4619293213</x:v>
      </x:c>
      <x:c r="I341" s="23" t="n">
        <x:v>0.009463470259756024</x:v>
      </x:c>
      <x:c r="J341" s="24" t="n">
        <x:v>8704</x:v>
      </x:c>
      <x:c r="K341" s="25" t="n">
        <x:v>113.56327823332929</x:v>
      </x:c>
      <x:c r="L341" s="25" t="n">
        <x:v>36.458769266561525</x:v>
      </x:c>
      <x:c r="M341" s="25" t="n">
        <x:v>69.43076230003742</x:v>
      </x:c>
      <x:c r="N341" s="25" t="n">
        <x:v>1.9235318000549644</x:v>
      </x:c>
      <x:c r="O341" s="25" t="n">
        <x:v>5.750214866675378</x:v>
      </x:c>
      <x:c r="P341" s="25" t="n">
        <x:v>0.03500872666675906</x:v>
      </x:c>
      <x:c r="Q341" s="25" t="n">
        <x:v>1.6058172679997105</x:v>
      </x:c>
      <x:c r="R341" s="25" t="n">
        <x:v>4.701668906667328</x:v>
      </x:c>
      <x:c r="S341" s="25" t="n">
        <x:v>4.7488762879999316</x:v>
      </x:c>
      <x:c r="T341" s="25" t="n">
        <x:v>112.97521090012742</x:v>
      </x:c>
      <x:c r="U341" s="25" t="n">
        <x:v>114.0314417998743</x:v>
      </x:c>
      <x:c r="V341" s="25" t="n">
        <x:v>0.5382272878059031</x:v>
      </x:c>
      <x:c r="W341" s="19" t="str">
        <x:v>FULL</x:v>
      </x:c>
      <x:c r="X341" s="26" t="n">
        <x:f>IF(AND(J353&gt;0,E341=E353),1-J341/J353,"")</x:f>
        <x:v>0.43539180072651795</x:v>
      </x:c>
      <x:c r="Y341" s="26" t="n">
        <x:f>IF(AND(K353&gt;0,E341=E353),1-K341/K353,"")</x:f>
        <x:v>0.15146639134369155</x:v>
      </x:c>
      <x:c r="Z341" s="26" t="n">
        <x:f>IF(AND(ISNUMBER(P353),P353&gt;0,E341=E353),1-P341/P353,"")</x:f>
        <x:v>0.06466288428155009</x:v>
      </x:c>
      <x:c r="AA341" s="26" t="n">
        <x:f>IF(AND(ISNUMBER(R341),ISNUMBER(R353),R353&gt;0,E341=E353),1-R341/R353,"")</x:f>
        <x:v>0.22741496590828014</x:v>
      </x:c>
      <x:c r="AB341" s="26" t="n">
        <x:v>0.004739448316207031</x:v>
      </x:c>
      <x:c r="AC341" s="19" t="str">
        <x:v>D:/Codex/GRL研究/outputs/grid89_review/per_date.csv</x:v>
      </x:c>
    </x:row>
    <x:row r="342" ht="36" customHeight="1">
      <x:c r="A342" s="19" t="str">
        <x:v>GRID89 G2主评价</x:v>
      </x:c>
      <x:c r="B342" s="19" t="str">
        <x:v>2036-11-03_10</x:v>
      </x:c>
      <x:c r="C342" s="19" t="str">
        <x:v>FIXED_512</x:v>
      </x:c>
      <x:c r="D342" s="21" t="n">
        <x:v>3</x:v>
      </x:c>
      <x:c r="E342" s="21" t="n">
        <x:v>2017</x:v>
      </x:c>
      <x:c r="F342" s="21" t="n">
        <x:v>1</x:v>
      </x:c>
      <x:c r="G342" s="21" t="n">
        <x:v>1</x:v>
      </x:c>
      <x:c r="H342" s="22" t="n">
        <x:v>1703125.1707763672</x:v>
      </x:c>
      <x:c r="I342" s="23" t="n">
        <x:v>0</x:v>
      </x:c>
      <x:c r="J342" s="24" t="n">
        <x:v>1536</x:v>
      </x:c>
      <x:c r="K342" s="25" t="n">
        <x:v>49.95437300000534</x:v>
      </x:c>
      <x:c r="L342" s="25" t="n">
        <x:v>12.848994400039373</x:v>
      </x:c>
      <x:c r="M342" s="25" t="n">
        <x:v>31.906240833375097</x:v>
      </x:c>
      <x:c r="N342" s="25" t="n">
        <x:v>0.3413098665647946</x:v>
      </x:c>
      <x:c r="O342" s="25" t="n">
        <x:v>4.857827900026071</x:v>
      </x:c>
      <x:c r="P342" s="25" t="n">
        <x:v>0.031557733331768145</x:v>
      </x:c>
      <x:c r="Q342" s="25" t="n">
        <x:v>0.7285403546671538</x:v>
      </x:c>
      <x:c r="R342" s="25" t="n">
        <x:v>1.61057266333349</x:v>
      </x:c>
      <x:c r="S342" s="25" t="n">
        <x:v>1.6355698660003932</x:v>
      </x:c>
      <x:c r="T342" s="25" t="n">
        <x:v>48.744304100102454</x:v>
      </x:c>
      <x:c r="U342" s="25" t="n">
        <x:v>50.93541029995686</x:v>
      </x:c>
      <x:c r="V342" s="25" t="n">
        <x:v>1.1133634627076245</x:v>
      </x:c>
      <x:c r="W342" s="19" t="str">
        <x:v>FULL</x:v>
      </x:c>
      <x:c r="X342" s="26" t="n">
        <x:f>IF(AND(J354&gt;0,E342=E354),1-J342/J354,"")</x:f>
        <x:v>0.43467059256532936</x:v>
      </x:c>
      <x:c r="Y342" s="26" t="n">
        <x:f>IF(AND(K354&gt;0,E342=E354),1-K342/K354,"")</x:f>
        <x:v>0.05304860076745099</x:v>
      </x:c>
      <x:c r="Z342" s="26" t="n">
        <x:f>IF(AND(ISNUMBER(P354),P354&gt;0,E342=E354),1-P342/P354,"")</x:f>
        <x:v>-0.0033566320753639634</x:v>
      </x:c>
      <x:c r="AA342" s="26" t="n">
        <x:f>IF(AND(ISNUMBER(R342),ISNUMBER(R354),R354&gt;0,E342=E354),1-R342/R354,"")</x:f>
        <x:v>0.37257417623462485</x:v>
      </x:c>
      <x:c r="AB342" s="26" t="n">
        <x:v>0.022287607587578077</x:v>
      </x:c>
      <x:c r="AC342" s="19" t="str">
        <x:v>D:/Codex/GRL研究/outputs/grid89_review/per_date.csv</x:v>
      </x:c>
    </x:row>
    <x:row r="343" ht="36" customHeight="1">
      <x:c r="A343" s="19" t="str">
        <x:v>GRID89 G2主评价</x:v>
      </x:c>
      <x:c r="B343" s="19" t="str">
        <x:v>2036-01-07_10</x:v>
      </x:c>
      <x:c r="C343" s="19" t="str">
        <x:v>FRAME_GUARD</x:v>
      </x:c>
      <x:c r="D343" s="21" t="n">
        <x:v>3</x:v>
      </x:c>
      <x:c r="E343" s="21" t="n">
        <x:v>2017</x:v>
      </x:c>
      <x:c r="F343" s="21" t="n">
        <x:v>1</x:v>
      </x:c>
      <x:c r="G343" s="21" t="n">
        <x:v>1</x:v>
      </x:c>
      <x:c r="H343" s="22" t="n">
        <x:v>3525210.1616210938</x:v>
      </x:c>
      <x:c r="I343" s="23" t="n">
        <x:v>-0.002729886092817213</x:v>
      </x:c>
      <x:c r="J343" s="24" t="n">
        <x:v>4960</x:v>
      </x:c>
      <x:c r="K343" s="25" t="n">
        <x:v>149.76986493328027</x:v>
      </x:c>
      <x:c r="L343" s="25" t="n">
        <x:v>26.034460300006078</x:v>
      </x:c>
      <x:c r="M343" s="25" t="n">
        <x:v>117.04754903335318</x:v>
      </x:c>
      <x:c r="N343" s="25" t="n">
        <x:v>1.262052666591141</x:v>
      </x:c>
      <x:c r="O343" s="25" t="n">
        <x:v>5.425802933329881</x:v>
      </x:c>
      <x:c r="P343" s="25" t="n">
        <x:v>0.06651581999879734</x:v>
      </x:c>
      <x:c r="Q343" s="25" t="n">
        <x:v>2.482111958664705</x:v>
      </x:c>
      <x:c r="R343" s="25" t="n">
        <x:v>3.7670429750009133</x:v>
      </x:c>
      <x:c r="S343" s="25" t="n">
        <x:v>3.8717832883347123</x:v>
      </x:c>
      <x:c r="T343" s="25" t="n">
        <x:v>144.82395519987767</x:v>
      </x:c>
      <x:c r="U343" s="25" t="n">
        <x:v>158.44423230005123</x:v>
      </x:c>
      <x:c r="V343" s="25" t="n">
        <x:v>7.536845116774323</x:v>
      </x:c>
      <x:c r="W343" s="19" t="str">
        <x:v>FULL</x:v>
      </x:c>
      <x:c r="X343" s="26" t="n">
        <x:f>IF(AND(J349&gt;0,E343=E349),1-J343/J349,"")</x:f>
        <x:v>0.5410382159711298</x:v>
      </x:c>
      <x:c r="Y343" s="26" t="n">
        <x:f>IF(AND(K349&gt;0,E343=E349),1-K343/K349,"")</x:f>
        <x:v>0.09793861397049985</x:v>
      </x:c>
      <x:c r="Z343" s="26" t="n">
        <x:f>IF(AND(ISNUMBER(P349),P349&gt;0,E343=E349),1-P343/P349,"")</x:f>
        <x:v>-0.19725363137519158</x:v>
      </x:c>
      <x:c r="AA343" s="26" t="n">
        <x:f>IF(AND(ISNUMBER(R343),ISNUMBER(R349),R349&gt;0,E343=E349),1-R343/R349,"")</x:f>
        <x:v>0.28199066508971293</x:v>
      </x:c>
      <x:c r="AB343" s="26" t="n">
        <x:v>0.0503228411144782</x:v>
      </x:c>
      <x:c r="AC343" s="19" t="str">
        <x:v>D:/Codex/GRL研究/outputs/grid89_review/per_date.csv</x:v>
      </x:c>
    </x:row>
    <x:row r="344" ht="36" customHeight="1">
      <x:c r="A344" s="19" t="str">
        <x:v>GRID89 G2主评价</x:v>
      </x:c>
      <x:c r="B344" s="19" t="str">
        <x:v>2036-03-03_10</x:v>
      </x:c>
      <x:c r="C344" s="19" t="str">
        <x:v>FRAME_GUARD</x:v>
      </x:c>
      <x:c r="D344" s="21" t="n">
        <x:v>3</x:v>
      </x:c>
      <x:c r="E344" s="21" t="n">
        <x:v>1878</x:v>
      </x:c>
      <x:c r="F344" s="21" t="n">
        <x:v>1</x:v>
      </x:c>
      <x:c r="G344" s="21" t="n">
        <x:v>0</x:v>
      </x:c>
      <x:c r="H344" s="22" t="n">
        <x:v>2193359.099975586</x:v>
      </x:c>
      <x:c r="I344" s="23"/>
      <x:c r="J344" s="24" t="n">
        <x:v>1953</x:v>
      </x:c>
      <x:c r="K344" s="25" t="n">
        <x:v>74.65581133338492</x:v>
      </x:c>
      <x:c r="L344" s="25" t="n">
        <x:v>13.514170999920074</x:v>
      </x:c>
      <x:c r="M344" s="25" t="n">
        <x:v>56.439369066669315</x:v>
      </x:c>
      <x:c r="N344" s="25" t="n">
        <x:v>0.5898428332426798</x:v>
      </x:c>
      <x:c r="O344" s="25" t="n">
        <x:v>4.11242843355285</x:v>
      </x:c>
      <x:c r="P344" s="25" t="n">
        <x:v>0.036321153333180194</x:v>
      </x:c>
      <x:c r="Q344" s="25" t="n">
        <x:v>1.015296634000491</x:v>
      </x:c>
      <x:c r="R344" s="25" t="n">
        <x:v>3.5125854916686876</x:v>
      </x:c>
      <x:c r="S344" s="25" t="n">
        <x:v>3.5500758450020538</x:v>
      </x:c>
      <x:c r="T344" s="25" t="n">
        <x:v>72.45573140008491</x:v>
      </x:c>
      <x:c r="U344" s="25" t="n">
        <x:v>78.86591260014029</x:v>
      </x:c>
      <x:c r="V344" s="25" t="n">
        <x:v>3.6472928419713058</x:v>
      </x:c>
      <x:c r="W344" s="19" t="str">
        <x:v>FULL</x:v>
      </x:c>
      <x:c r="X344" s="26" t="n">
        <x:f>IF(AND(J350&gt;0,E344=E350),1-J344/J350,"")</x:f>
        <x:v>0.6189268292682927</x:v>
      </x:c>
      <x:c r="Y344" s="26" t="n">
        <x:f>IF(AND(K350&gt;0,E344=E350),1-K344/K350,"")</x:f>
        <x:v>0.07655904758981669</x:v>
      </x:c>
      <x:c r="Z344" s="26" t="n">
        <x:f>IF(AND(ISNUMBER(P350),P350&gt;0,E344=E350),1-P344/P350,"")</x:f>
        <x:v>-0.014455768376155254</x:v>
      </x:c>
      <x:c r="AA344" s="26" t="n">
        <x:f>IF(AND(ISNUMBER(R344),ISNUMBER(R350),R350&gt;0,E344=E350),1-R344/R350,"")</x:f>
        <x:v>0.2601501990884938</x:v>
      </x:c>
      <x:c r="AB344" s="26" t="n">
        <x:v>0.048854774689727244</x:v>
      </x:c>
      <x:c r="AC344" s="19" t="str">
        <x:v>D:/Codex/GRL研究/outputs/grid89_review/per_date.csv</x:v>
      </x:c>
    </x:row>
    <x:row r="345" ht="36" customHeight="1">
      <x:c r="A345" s="19" t="str">
        <x:v>GRID89 G2主评价</x:v>
      </x:c>
      <x:c r="B345" s="19" t="str">
        <x:v>2036-05-05_10</x:v>
      </x:c>
      <x:c r="C345" s="19" t="str">
        <x:v>FRAME_GUARD</x:v>
      </x:c>
      <x:c r="D345" s="21" t="n">
        <x:v>3</x:v>
      </x:c>
      <x:c r="E345" s="21" t="n">
        <x:v>2017</x:v>
      </x:c>
      <x:c r="F345" s="21" t="n">
        <x:v>1</x:v>
      </x:c>
      <x:c r="G345" s="21" t="n">
        <x:v>1</x:v>
      </x:c>
      <x:c r="H345" s="22" t="n">
        <x:v>1544621.6024475098</x:v>
      </x:c>
      <x:c r="I345" s="23" t="n">
        <x:v>-0.00030888488933777936</x:v>
      </x:c>
      <x:c r="J345" s="24" t="n">
        <x:v>512</x:v>
      </x:c>
      <x:c r="K345" s="25" t="n">
        <x:v>8.777187000022726</x:v>
      </x:c>
      <x:c r="L345" s="25" t="n">
        <x:v>5.7494179333152715</x:v>
      </x:c>
      <x:c r="M345" s="25" t="n">
        <x:v>0.4883273333337759</x:v>
      </x:c>
      <x:c r="N345" s="25" t="n">
        <x:v>0.19330176670337096</x:v>
      </x:c>
      <x:c r="O345" s="25" t="n">
        <x:v>2.3461399666703073</x:v>
      </x:c>
      <x:c r="P345" s="25" t="n">
        <x:v>0.00586409999935616</x:v>
      </x:c>
      <x:c r="Q345" s="25" t="n">
        <x:v>0.0068717959985951866</x:v>
      </x:c>
      <x:c r="R345" s="25" t="n">
        <x:v>0.7299730933338651</x:v>
      </x:c>
      <x:c r="S345" s="25" t="n">
        <x:v>0.7318628586671426</x:v>
      </x:c>
      <x:c r="T345" s="25" t="n">
        <x:v>8.02036510000471</x:v>
      </x:c>
      <x:c r="U345" s="25" t="n">
        <x:v>9.46705760005716</x:v>
      </x:c>
      <x:c r="V345" s="25" t="n">
        <x:v>0.7256663522956818</x:v>
      </x:c>
      <x:c r="W345" s="19" t="str">
        <x:v>FULL</x:v>
      </x:c>
      <x:c r="X345" s="26" t="n">
        <x:f>IF(AND(J351&gt;0,E345=E351),1-J345/J351,"")</x:f>
        <x:v>0.6675324675324675</x:v>
      </x:c>
      <x:c r="Y345" s="26" t="n">
        <x:f>IF(AND(K351&gt;0,E345=E351),1-K345/K351,"")</x:f>
        <x:v>0.21283675869027774</x:v>
      </x:c>
      <x:c r="Z345" s="26" t="n">
        <x:f>IF(AND(ISNUMBER(P351),P351&gt;0,E345=E351),1-P345/P351,"")</x:f>
        <x:v>-0.03139268477429091</x:v>
      </x:c>
      <x:c r="AA345" s="26" t="n">
        <x:f>IF(AND(ISNUMBER(R345),ISNUMBER(R351),R351&gt;0,E345=E351),1-R345/R351,"")</x:f>
        <x:v>0.6690344324926004</x:v>
      </x:c>
      <x:c r="AB345" s="26" t="n">
        <x:v>0.08267641469798956</x:v>
      </x:c>
      <x:c r="AC345" s="19" t="str">
        <x:v>D:/Codex/GRL研究/outputs/grid89_review/per_date.csv</x:v>
      </x:c>
    </x:row>
    <x:row r="346" ht="36" customHeight="1">
      <x:c r="A346" s="19" t="str">
        <x:v>GRID89 G2主评价</x:v>
      </x:c>
      <x:c r="B346" s="19" t="str">
        <x:v>2036-07-07_10</x:v>
      </x:c>
      <x:c r="C346" s="19" t="str">
        <x:v>FRAME_GUARD</x:v>
      </x:c>
      <x:c r="D346" s="21" t="n">
        <x:v>3</x:v>
      </x:c>
      <x:c r="E346" s="21" t="n">
        <x:v>2017</x:v>
      </x:c>
      <x:c r="F346" s="21" t="n">
        <x:v>1</x:v>
      </x:c>
      <x:c r="G346" s="21" t="n">
        <x:v>1</x:v>
      </x:c>
      <x:c r="H346" s="22" t="n">
        <x:v>1275156.6856079102</x:v>
      </x:c>
      <x:c r="I346" s="23" t="n">
        <x:v>-0.0059808541022986494</x:v>
      </x:c>
      <x:c r="J346" s="24" t="n">
        <x:v>2540</x:v>
      </x:c>
      <x:c r="K346" s="25" t="n">
        <x:v>48.05641219999719</x:v>
      </x:c>
      <x:c r="L346" s="25" t="n">
        <x:v>13.560280366670971</x:v>
      </x:c>
      <x:c r="M346" s="25" t="n">
        <x:v>28.13129910000862</x:v>
      </x:c>
      <x:c r="N346" s="25" t="n">
        <x:v>1.377607366897185</x:v>
      </x:c>
      <x:c r="O346" s="25" t="n">
        <x:v>4.987225366420414</x:v>
      </x:c>
      <x:c r="P346" s="25" t="n">
        <x:v>0.029925333333570336</x:v>
      </x:c>
      <x:c r="Q346" s="25" t="n">
        <x:v>0.715070935999829</x:v>
      </x:c>
      <x:c r="R346" s="25" t="n">
        <x:v>1.4525872933323019</x:v>
      </x:c>
      <x:c r="S346" s="25" t="n">
        <x:v>1.5394019653326783</x:v>
      </x:c>
      <x:c r="T346" s="25" t="n">
        <x:v>45.23229979991447</x:v>
      </x:c>
      <x:c r="U346" s="25" t="n">
        <x:v>50.26856390006287</x:v>
      </x:c>
      <x:c r="V346" s="25" t="n">
        <x:v>2.5732976791239865</x:v>
      </x:c>
      <x:c r="W346" s="19" t="str">
        <x:v>FULL</x:v>
      </x:c>
      <x:c r="X346" s="26" t="n">
        <x:f>IF(AND(J352&gt;0,E346=E352),1-J346/J352,"")</x:f>
        <x:v>0.6480532077040322</x:v>
      </x:c>
      <x:c r="Y346" s="26" t="n">
        <x:f>IF(AND(K352&gt;0,E346=E352),1-K346/K352,"")</x:f>
        <x:v>0.18064782998571716</x:v>
      </x:c>
      <x:c r="Z346" s="26" t="n">
        <x:f>IF(AND(ISNUMBER(P352),P352&gt;0,E346=E352),1-P346/P352,"")</x:f>
        <x:v>-0.017973740609738442</x:v>
      </x:c>
      <x:c r="AA346" s="26" t="n">
        <x:f>IF(AND(ISNUMBER(R346),ISNUMBER(R352),R352&gt;0,E346=E352),1-R346/R352,"")</x:f>
        <x:v>0.4517197146284646</x:v>
      </x:c>
      <x:c r="AB346" s="26" t="n">
        <x:v>0.05354743646726372</x:v>
      </x:c>
      <x:c r="AC346" s="19" t="str">
        <x:v>D:/Codex/GRL研究/outputs/grid89_review/per_date.csv</x:v>
      </x:c>
    </x:row>
    <x:row r="347" ht="36" customHeight="1">
      <x:c r="A347" s="19" t="str">
        <x:v>GRID89 G2主评价</x:v>
      </x:c>
      <x:c r="B347" s="19" t="str">
        <x:v>2036-09-01_10</x:v>
      </x:c>
      <x:c r="C347" s="19" t="str">
        <x:v>FRAME_GUARD</x:v>
      </x:c>
      <x:c r="D347" s="21" t="n">
        <x:v>3</x:v>
      </x:c>
      <x:c r="E347" s="21" t="n">
        <x:v>2017</x:v>
      </x:c>
      <x:c r="F347" s="21" t="n">
        <x:v>1</x:v>
      </x:c>
      <x:c r="G347" s="21" t="n">
        <x:v>1</x:v>
      </x:c>
      <x:c r="H347" s="22" t="n">
        <x:v>1758155.7943878174</x:v>
      </x:c>
      <x:c r="I347" s="23" t="n">
        <x:v>-0.0005082019864570686</x:v>
      </x:c>
      <x:c r="J347" s="24" t="n">
        <x:v>8052</x:v>
      </x:c>
      <x:c r="K347" s="25" t="n">
        <x:v>106.09450679993704</x:v>
      </x:c>
      <x:c r="L347" s="25" t="n">
        <x:v>33.914475433267704</x:v>
      </x:c>
      <x:c r="M347" s="25" t="n">
        <x:v>64.418228933293</x:v>
      </x:c>
      <x:c r="N347" s="25" t="n">
        <x:v>2.1701997666956836</x:v>
      </x:c>
      <x:c r="O347" s="25" t="n">
        <x:v>5.591602666680653</x:v>
      </x:c>
      <x:c r="P347" s="25" t="n">
        <x:v>0.03520483333146934</x:v>
      </x:c>
      <x:c r="Q347" s="25" t="n">
        <x:v>1.2195644653340658</x:v>
      </x:c>
      <x:c r="R347" s="25" t="n">
        <x:v>5.057007126668516</x:v>
      </x:c>
      <x:c r="S347" s="25" t="n">
        <x:v>5.507763905332006</x:v>
      </x:c>
      <x:c r="T347" s="25" t="n">
        <x:v>103.38482989995828</x:v>
      </x:c>
      <x:c r="U347" s="25" t="n">
        <x:v>111.13559510005871</x:v>
      </x:c>
      <x:c r="V347" s="25" t="n">
        <x:v>4.369805445818985</x:v>
      </x:c>
      <x:c r="W347" s="19" t="str">
        <x:v>FULL</x:v>
      </x:c>
      <x:c r="X347" s="26" t="n">
        <x:f>IF(AND(J353&gt;0,E347=E353),1-J347/J353,"")</x:f>
        <x:v>0.47768552153606647</x:v>
      </x:c>
      <x:c r="Y347" s="26" t="n">
        <x:f>IF(AND(K353&gt;0,E347=E353),1-K347/K353,"")</x:f>
        <x:v>0.20727231448360228</x:v>
      </x:c>
      <x:c r="Z347" s="26" t="n">
        <x:f>IF(AND(ISNUMBER(P353),P353&gt;0,E347=E353),1-P347/P353,"")</x:f>
        <x:v>0.059423452299653956</x:v>
      </x:c>
      <x:c r="AA347" s="26" t="n">
        <x:f>IF(AND(ISNUMBER(R347),ISNUMBER(R353),R353&gt;0,E347=E353),1-R347/R353,"")</x:f>
        <x:v>0.1690252757230768</x:v>
      </x:c>
      <x:c r="AB347" s="26" t="n">
        <x:v>0.041187857671643166</x:v>
      </x:c>
      <x:c r="AC347" s="19" t="str">
        <x:v>D:/Codex/GRL研究/outputs/grid89_review/per_date.csv</x:v>
      </x:c>
    </x:row>
    <x:row r="348" ht="36" customHeight="1">
      <x:c r="A348" s="19" t="str">
        <x:v>GRID89 G2主评价</x:v>
      </x:c>
      <x:c r="B348" s="19" t="str">
        <x:v>2036-11-03_10</x:v>
      </x:c>
      <x:c r="C348" s="19" t="str">
        <x:v>FRAME_GUARD</x:v>
      </x:c>
      <x:c r="D348" s="21" t="n">
        <x:v>3</x:v>
      </x:c>
      <x:c r="E348" s="21" t="n">
        <x:v>2017</x:v>
      </x:c>
      <x:c r="F348" s="21" t="n">
        <x:v>1</x:v>
      </x:c>
      <x:c r="G348" s="21" t="n">
        <x:v>1</x:v>
      </x:c>
      <x:c r="H348" s="22" t="n">
        <x:v>1703125.1707763672</x:v>
      </x:c>
      <x:c r="I348" s="23" t="n">
        <x:v>0</x:v>
      </x:c>
      <x:c r="J348" s="24" t="n">
        <x:v>841</x:v>
      </x:c>
      <x:c r="K348" s="25" t="n">
        <x:v>48.38498776670409</x:v>
      </x:c>
      <x:c r="L348" s="25" t="n">
        <x:v>11.393764966722907</x:v>
      </x:c>
      <x:c r="M348" s="25" t="n">
        <x:v>31.868854799986973</x:v>
      </x:c>
      <x:c r="N348" s="25" t="n">
        <x:v>0.33278110002235434</x:v>
      </x:c>
      <x:c r="O348" s="25" t="n">
        <x:v>4.789586899971861</x:v>
      </x:c>
      <x:c r="P348" s="25" t="n">
        <x:v>0.03144169333390889</x:v>
      </x:c>
      <x:c r="Q348" s="25" t="n">
        <x:v>0.7253571000006434</x:v>
      </x:c>
      <x:c r="R348" s="25" t="n">
        <x:v>1.1740664166665131</x:v>
      </x:c>
      <x:c r="S348" s="25" t="n">
        <x:v>1.2130901366665299</x:v>
      </x:c>
      <x:c r="T348" s="25" t="n">
        <x:v>47.18924730002618</x:v>
      </x:c>
      <x:c r="U348" s="25" t="n">
        <x:v>49.61949569996068</x:v>
      </x:c>
      <x:c r="V348" s="25" t="n">
        <x:v>1.215587927175465</x:v>
      </x:c>
      <x:c r="W348" s="19" t="str">
        <x:v>FULL</x:v>
      </x:c>
      <x:c r="X348" s="26" t="n">
        <x:f>IF(AND(J354&gt;0,E348=E354),1-J348/J354,"")</x:f>
        <x:v>0.6904674273095326</x:v>
      </x:c>
      <x:c r="Y348" s="26" t="n">
        <x:f>IF(AND(K354&gt;0,E348=E354),1-K348/K354,"")</x:f>
        <x:v>0.08279837948270696</x:v>
      </x:c>
      <x:c r="Z348" s="26" t="n">
        <x:f>IF(AND(ISNUMBER(P354),P354&gt;0,E348=E354),1-P348/P354,"")</x:f>
        <x:v>0.00033278060247510233</x:v>
      </x:c>
      <x:c r="AA348" s="26" t="n">
        <x:f>IF(AND(ISNUMBER(R348),ISNUMBER(R354),R354&gt;0,E348=E354),1-R348/R354,"")</x:f>
        <x:v>0.5426225681071812</x:v>
      </x:c>
      <x:c r="AB348" s="26" t="n">
        <x:v>0.025123245520627502</x:v>
      </x:c>
      <x:c r="AC348" s="19" t="str">
        <x:v>D:/Codex/GRL研究/outputs/grid89_review/per_date.csv</x:v>
      </x:c>
    </x:row>
    <x:row r="349" ht="36" customHeight="1">
      <x:c r="A349" s="19" t="str">
        <x:v>GRID89 G2主评价</x:v>
      </x:c>
      <x:c r="B349" s="19" t="str">
        <x:v>2036-01-07_10</x:v>
      </x:c>
      <x:c r="C349" s="19" t="str">
        <x:v>FULL</x:v>
      </x:c>
      <x:c r="D349" s="21" t="n">
        <x:v>3</x:v>
      </x:c>
      <x:c r="E349" s="21" t="n">
        <x:v>2017</x:v>
      </x:c>
      <x:c r="F349" s="21" t="n">
        <x:v>1</x:v>
      </x:c>
      <x:c r="G349" s="21" t="n">
        <x:v>1</x:v>
      </x:c>
      <x:c r="H349" s="22" t="n">
        <x:v>3534859.926574707</x:v>
      </x:c>
      <x:c r="I349" s="23" t="n">
        <x:v>0</x:v>
      </x:c>
      <x:c r="J349" s="24" t="n">
        <x:v>10807</x:v>
      </x:c>
      <x:c r="K349" s="25" t="n">
        <x:v>166.0306795666147</x:v>
      </x:c>
      <x:c r="L349" s="25" t="n">
        <x:v>41.39320299979348</x:v>
      </x:c>
      <x:c r="M349" s="25" t="n">
        <x:v>117.39108826669569</x:v>
      </x:c>
      <x:c r="N349" s="25" t="n">
        <x:v>1.3244605333226598</x:v>
      </x:c>
      <x:c r="O349" s="25" t="n">
        <x:v>5.921927766802885</x:v>
      </x:c>
      <x:c r="P349" s="25" t="n">
        <x:v>0.055557000000405775</x:v>
      </x:c>
      <x:c r="Q349" s="25" t="n">
        <x:v>2.6400628946665767</x:v>
      </x:c>
      <x:c r="R349" s="25" t="n">
        <x:v>5.246509748332998</x:v>
      </x:c>
      <x:c r="S349" s="25" t="n">
        <x:v>5.2580321896678655</x:v>
      </x:c>
      <x:c r="T349" s="25" t="n">
        <x:v>162.13200460012013</x:v>
      </x:c>
      <x:c r="U349" s="25" t="n">
        <x:v>173.79010899999048</x:v>
      </x:c>
      <x:c r="V349" s="25" t="n">
        <x:v>6.719889756515832</x:v>
      </x:c>
      <x:c r="W349" s="19" t="str">
        <x:v>FULL</x:v>
      </x:c>
      <x:c r="X349" s="26" t="n">
        <x:f>IF(AND(J349&gt;0,E349=E349),1-J349/J349,"")</x:f>
        <x:v>0</x:v>
      </x:c>
      <x:c r="Y349" s="26" t="n">
        <x:f>IF(AND(K349&gt;0,E349=E349),1-K349/K349,"")</x:f>
        <x:v>0</x:v>
      </x:c>
      <x:c r="Z349" s="26" t="n">
        <x:f>IF(AND(ISNUMBER(P349),P349&gt;0,E349=E349),1-P349/P349,"")</x:f>
        <x:v>0</x:v>
      </x:c>
      <x:c r="AA349" s="26" t="n">
        <x:f>IF(AND(ISNUMBER(R349),ISNUMBER(R349),R349&gt;0,E349=E349),1-R349/R349,"")</x:f>
        <x:v>0</x:v>
      </x:c>
      <x:c r="AB349" s="26" t="n">
        <x:v>0.04047378336375286</x:v>
      </x:c>
      <x:c r="AC349" s="19" t="str">
        <x:v>D:/Codex/GRL研究/outputs/grid89_review/per_date.csv</x:v>
      </x:c>
    </x:row>
    <x:row r="350" ht="36" customHeight="1">
      <x:c r="A350" s="19" t="str">
        <x:v>GRID89 G2主评价</x:v>
      </x:c>
      <x:c r="B350" s="19" t="str">
        <x:v>2036-03-03_10</x:v>
      </x:c>
      <x:c r="C350" s="19" t="str">
        <x:v>FULL</x:v>
      </x:c>
      <x:c r="D350" s="21" t="n">
        <x:v>3</x:v>
      </x:c>
      <x:c r="E350" s="21" t="n">
        <x:v>1878</x:v>
      </x:c>
      <x:c r="F350" s="21" t="n">
        <x:v>1</x:v>
      </x:c>
      <x:c r="G350" s="21" t="n">
        <x:v>0</x:v>
      </x:c>
      <x:c r="H350" s="22" t="n">
        <x:v>2193359.099975586</x:v>
      </x:c>
      <x:c r="I350" s="23"/>
      <x:c r="J350" s="24" t="n">
        <x:v>5125</x:v>
      </x:c>
      <x:c r="K350" s="25" t="n">
        <x:v>80.84524639992742</x:v>
      </x:c>
      <x:c r="L350" s="25" t="n">
        <x:v>20.35499949991572</x:v>
      </x:c>
      <x:c r="M350" s="25" t="n">
        <x:v>55.53959050004536</x:v>
      </x:c>
      <x:c r="N350" s="25" t="n">
        <x:v>0.6242703000001105</x:v>
      </x:c>
      <x:c r="O350" s="25" t="n">
        <x:v>4.326386099966233</x:v>
      </x:c>
      <x:c r="P350" s="25" t="n">
        <x:v>0.035803585001364484</x:v>
      </x:c>
      <x:c r="Q350" s="25" t="n">
        <x:v>1.0645781053327792</x:v>
      </x:c>
      <x:c r="R350" s="25" t="n">
        <x:v>4.747700800001742</x:v>
      </x:c>
      <x:c r="S350" s="25" t="n">
        <x:v>4.872233360002308</x:v>
      </x:c>
      <x:c r="T350" s="25" t="n">
        <x:v>79.4703929001189</x:v>
      </x:c>
      <x:c r="U350" s="25" t="n">
        <x:v>81.94924789995275</x:v>
      </x:c>
      <x:c r="V350" s="25" t="n">
        <x:v>1.2614282111520427</x:v>
      </x:c>
      <x:c r="W350" s="19" t="str">
        <x:v>FULL</x:v>
      </x:c>
      <x:c r="X350" s="26" t="n">
        <x:f>IF(AND(J350&gt;0,E350=E350),1-J350/J350,"")</x:f>
        <x:v>0</x:v>
      </x:c>
      <x:c r="Y350" s="26" t="n">
        <x:f>IF(AND(K350&gt;0,E350=E350),1-K350/K350,"")</x:f>
        <x:v>0</x:v>
      </x:c>
      <x:c r="Z350" s="26" t="n">
        <x:f>IF(AND(ISNUMBER(P350),P350&gt;0,E350=E350),1-P350/P350,"")</x:f>
        <x:v>0</x:v>
      </x:c>
      <x:c r="AA350" s="26" t="n">
        <x:f>IF(AND(ISNUMBER(R350),ISNUMBER(R350),R350&gt;0,E350=E350),1-R350/R350,"")</x:f>
        <x:v>0</x:v>
      </x:c>
      <x:c r="AB350" s="26" t="n">
        <x:v>0.01560299791668611</x:v>
      </x:c>
      <x:c r="AC350" s="19" t="str">
        <x:v>D:/Codex/GRL研究/outputs/grid89_review/per_date.csv</x:v>
      </x:c>
    </x:row>
    <x:row r="351" ht="36" customHeight="1">
      <x:c r="A351" s="19" t="str">
        <x:v>GRID89 G2主评价</x:v>
      </x:c>
      <x:c r="B351" s="19" t="str">
        <x:v>2036-05-05_10</x:v>
      </x:c>
      <x:c r="C351" s="19" t="str">
        <x:v>FULL</x:v>
      </x:c>
      <x:c r="D351" s="21" t="n">
        <x:v>3</x:v>
      </x:c>
      <x:c r="E351" s="21" t="n">
        <x:v>2017</x:v>
      </x:c>
      <x:c r="F351" s="21" t="n">
        <x:v>1</x:v>
      </x:c>
      <x:c r="G351" s="21" t="n">
        <x:v>1</x:v>
      </x:c>
      <x:c r="H351" s="22" t="n">
        <x:v>1545098.8601379395</x:v>
      </x:c>
      <x:c r="I351" s="23" t="n">
        <x:v>0</x:v>
      </x:c>
      <x:c r="J351" s="24" t="n">
        <x:v>1540</x:v>
      </x:c>
      <x:c r="K351" s="25" t="n">
        <x:v>11.150402533302744</x:v>
      </x:c>
      <x:c r="L351" s="25" t="n">
        <x:v>8.01545350010565</x:v>
      </x:c>
      <x:c r="M351" s="25" t="n">
        <x:v>0.47340286666561343</x:v>
      </x:c>
      <x:c r="N351" s="25" t="n">
        <x:v>0.20499226674777069</x:v>
      </x:c>
      <x:c r="O351" s="25" t="n">
        <x:v>2.456553899783709</x:v>
      </x:c>
      <x:c r="P351" s="25" t="n">
        <x:v>0.005685613332267772</x:v>
      </x:c>
      <x:c r="Q351" s="25" t="n">
        <x:v>0.006488053334323916</x:v>
      </x:c>
      <x:c r="R351" s="25" t="n">
        <x:v>2.2055862149996757</x:v>
      </x:c>
      <x:c r="S351" s="25" t="n">
        <x:v>2.23226966966636</x:v>
      </x:c>
      <x:c r="T351" s="25" t="n">
        <x:v>10.169312099795206</x:v>
      </x:c>
      <x:c r="U351" s="25" t="n">
        <x:v>12.091175300054601</x:v>
      </x:c>
      <x:c r="V351" s="25" t="n">
        <x:v>0.9615657418072293</x:v>
      </x:c>
      <x:c r="W351" s="19" t="str">
        <x:v>FULL</x:v>
      </x:c>
      <x:c r="X351" s="26" t="n">
        <x:f>IF(AND(J351&gt;0,E351=E351),1-J351/J351,"")</x:f>
        <x:v>0</x:v>
      </x:c>
      <x:c r="Y351" s="26" t="n">
        <x:f>IF(AND(K351&gt;0,E351=E351),1-K351/K351,"")</x:f>
        <x:v>0</x:v>
      </x:c>
      <x:c r="Z351" s="26" t="n">
        <x:f>IF(AND(ISNUMBER(P351),P351&gt;0,E351=E351),1-P351/P351,"")</x:f>
        <x:v>0</x:v>
      </x:c>
      <x:c r="AA351" s="26" t="n">
        <x:f>IF(AND(ISNUMBER(R351),ISNUMBER(R351),R351&gt;0,E351=E351),1-R351/R351,"")</x:f>
        <x:v>0</x:v>
      </x:c>
      <x:c r="AB351" s="26" t="n">
        <x:v>0.08623596672275598</x:v>
      </x:c>
      <x:c r="AC351" s="19" t="str">
        <x:v>D:/Codex/GRL研究/outputs/grid89_review/per_date.csv</x:v>
      </x:c>
    </x:row>
    <x:row r="352" ht="36" customHeight="1">
      <x:c r="A352" s="19" t="str">
        <x:v>GRID89 G2主评价</x:v>
      </x:c>
      <x:c r="B352" s="19" t="str">
        <x:v>2036-07-07_10</x:v>
      </x:c>
      <x:c r="C352" s="19" t="str">
        <x:v>FULL</x:v>
      </x:c>
      <x:c r="D352" s="21" t="n">
        <x:v>3</x:v>
      </x:c>
      <x:c r="E352" s="21" t="n">
        <x:v>2017</x:v>
      </x:c>
      <x:c r="F352" s="21" t="n">
        <x:v>1</x:v>
      </x:c>
      <x:c r="G352" s="21" t="n">
        <x:v>1</x:v>
      </x:c>
      <x:c r="H352" s="22" t="n">
        <x:v>1282829.0992889404</x:v>
      </x:c>
      <x:c r="I352" s="23" t="n">
        <x:v>0</x:v>
      </x:c>
      <x:c r="J352" s="24" t="n">
        <x:v>7217</x:v>
      </x:c>
      <x:c r="K352" s="25" t="n">
        <x:v>58.651717733486294</x:v>
      </x:c>
      <x:c r="L352" s="25" t="n">
        <x:v>24.09255886668082</x:v>
      </x:c>
      <x:c r="M352" s="25" t="n">
        <x:v>28.300726599968282</x:v>
      </x:c>
      <x:c r="N352" s="25" t="n">
        <x:v>0.9253678329914692</x:v>
      </x:c>
      <x:c r="O352" s="25" t="n">
        <x:v>5.3330644338457205</x:v>
      </x:c>
      <x:c r="P352" s="25" t="n">
        <x:v>0.029396959999818735</x:v>
      </x:c>
      <x:c r="Q352" s="25" t="n">
        <x:v>0.7044365346687841</x:v>
      </x:c>
      <x:c r="R352" s="25" t="n">
        <x:v>2.6493516766665683</x:v>
      </x:c>
      <x:c r="S352" s="25" t="n">
        <x:v>2.6888412153324195</x:v>
      </x:c>
      <x:c r="T352" s="25" t="n">
        <x:v>56.30130920001102</x:v>
      </x:c>
      <x:c r="U352" s="25" t="n">
        <x:v>61.87116660005631</x:v>
      </x:c>
      <x:c r="V352" s="25" t="n">
        <x:v>2.8848312237666347</x:v>
      </x:c>
      <x:c r="W352" s="19" t="str">
        <x:v>FULL</x:v>
      </x:c>
      <x:c r="X352" s="26" t="n">
        <x:f>IF(AND(J352&gt;0,E352=E352),1-J352/J352,"")</x:f>
        <x:v>0</x:v>
      </x:c>
      <x:c r="Y352" s="26" t="n">
        <x:f>IF(AND(K352&gt;0,E352=E352),1-K352/K352,"")</x:f>
        <x:v>0</x:v>
      </x:c>
      <x:c r="Z352" s="26" t="n">
        <x:f>IF(AND(ISNUMBER(P352),P352&gt;0,E352=E352),1-P352/P352,"")</x:f>
        <x:v>0</x:v>
      </x:c>
      <x:c r="AA352" s="26" t="n">
        <x:f>IF(AND(ISNUMBER(R352),ISNUMBER(R352),R352&gt;0,E352=E352),1-R352/R352,"")</x:f>
        <x:v>0</x:v>
      </x:c>
      <x:c r="AB352" s="26" t="n">
        <x:v>0.04918579259477655</x:v>
      </x:c>
      <x:c r="AC352" s="19" t="str">
        <x:v>D:/Codex/GRL研究/outputs/grid89_review/per_date.csv</x:v>
      </x:c>
    </x:row>
    <x:row r="353" ht="36" customHeight="1">
      <x:c r="A353" s="19" t="str">
        <x:v>GRID89 G2主评价</x:v>
      </x:c>
      <x:c r="B353" s="19" t="str">
        <x:v>2036-09-01_10</x:v>
      </x:c>
      <x:c r="C353" s="19" t="str">
        <x:v>FULL</x:v>
      </x:c>
      <x:c r="D353" s="21" t="n">
        <x:v>3</x:v>
      </x:c>
      <x:c r="E353" s="21" t="n">
        <x:v>2017</x:v>
      </x:c>
      <x:c r="F353" s="21" t="n">
        <x:v>1</x:v>
      </x:c>
      <x:c r="G353" s="21" t="n">
        <x:v>1</x:v>
      </x:c>
      <x:c r="H353" s="22" t="n">
        <x:v>1759049.746963501</x:v>
      </x:c>
      <x:c r="I353" s="23" t="n">
        <x:v>0</x:v>
      </x:c>
      <x:c r="J353" s="24" t="n">
        <x:v>15416</x:v>
      </x:c>
      <x:c r="K353" s="25" t="n">
        <x:v>133.83474393331562</x:v>
      </x:c>
      <x:c r="L353" s="25" t="n">
        <x:v>57.30411343370603</x:v>
      </x:c>
      <x:c r="M353" s="25" t="n">
        <x:v>67.43520089996552</x:v>
      </x:c>
      <x:c r="N353" s="25" t="n">
        <x:v>2.2388160667712023</x:v>
      </x:c>
      <x:c r="O353" s="25" t="n">
        <x:v>6.856613532872871</x:v>
      </x:c>
      <x:c r="P353" s="25" t="n">
        <x:v>0.03742899333131692</x:v>
      </x:c>
      <x:c r="Q353" s="25" t="n">
        <x:v>2.2842453679993584</x:v>
      </x:c>
      <x:c r="R353" s="25" t="n">
        <x:v>6.085632906667403</x:v>
      </x:c>
      <x:c r="S353" s="25" t="n">
        <x:v>6.321772234668315</x:v>
      </x:c>
      <x:c r="T353" s="25" t="n">
        <x:v>122.76291299988952</x:v>
      </x:c>
      <x:c r="U353" s="25" t="n">
        <x:v>144.47856970005523</x:v>
      </x:c>
      <x:c r="V353" s="25" t="n">
        <x:v>10.86415334008572</x:v>
      </x:c>
      <x:c r="W353" s="19" t="str">
        <x:v>FULL</x:v>
      </x:c>
      <x:c r="X353" s="26" t="n">
        <x:f>IF(AND(J353&gt;0,E353=E353),1-J353/J353,"")</x:f>
        <x:v>0</x:v>
      </x:c>
      <x:c r="Y353" s="26" t="n">
        <x:f>IF(AND(K353&gt;0,E353=E353),1-K353/K353,"")</x:f>
        <x:v>0</x:v>
      </x:c>
      <x:c r="Z353" s="26" t="n">
        <x:f>IF(AND(ISNUMBER(P353),P353&gt;0,E353=E353),1-P353/P353,"")</x:f>
        <x:v>0</x:v>
      </x:c>
      <x:c r="AA353" s="26" t="n">
        <x:f>IF(AND(ISNUMBER(R353),ISNUMBER(R353),R353&gt;0,E353=E353),1-R353/R353,"")</x:f>
        <x:v>0</x:v>
      </x:c>
      <x:c r="AB353" s="26" t="n">
        <x:v>0.08117588169406056</x:v>
      </x:c>
      <x:c r="AC353" s="19" t="str">
        <x:v>D:/Codex/GRL研究/outputs/grid89_review/per_date.csv</x:v>
      </x:c>
    </x:row>
    <x:row r="354" ht="36" customHeight="1">
      <x:c r="A354" s="19" t="str">
        <x:v>GRID89 G2主评价</x:v>
      </x:c>
      <x:c r="B354" s="19" t="str">
        <x:v>2036-11-03_10</x:v>
      </x:c>
      <x:c r="C354" s="19" t="str">
        <x:v>FULL</x:v>
      </x:c>
      <x:c r="D354" s="21" t="n">
        <x:v>3</x:v>
      </x:c>
      <x:c r="E354" s="21" t="n">
        <x:v>2017</x:v>
      </x:c>
      <x:c r="F354" s="21" t="n">
        <x:v>1</x:v>
      </x:c>
      <x:c r="G354" s="21" t="n">
        <x:v>1</x:v>
      </x:c>
      <x:c r="H354" s="22" t="n">
        <x:v>1703125.1707763672</x:v>
      </x:c>
      <x:c r="I354" s="23" t="n">
        <x:v>0</x:v>
      </x:c>
      <x:c r="J354" s="24" t="n">
        <x:v>2717</x:v>
      </x:c>
      <x:c r="K354" s="25" t="n">
        <x:v>52.75283719997727</x:v>
      </x:c>
      <x:c r="L354" s="25" t="n">
        <x:v>15.50902353337733</x:v>
      </x:c>
      <x:c r="M354" s="25" t="n">
        <x:v>31.931420900039182</x:v>
      </x:c>
      <x:c r="N354" s="25" t="n">
        <x:v>0.35346540002744103</x:v>
      </x:c>
      <x:c r="O354" s="25" t="n">
        <x:v>4.958927366533317</x:v>
      </x:c>
      <x:c r="P354" s="25" t="n">
        <x:v>0.03145216000266372</x:v>
      </x:c>
      <x:c r="Q354" s="25" t="n">
        <x:v>0.7299644826642664</x:v>
      </x:c>
      <x:c r="R354" s="25" t="n">
        <x:v>2.5669530999982575</x:v>
      </x:c>
      <x:c r="S354" s="25" t="n">
        <x:v>2.5932516866646864</x:v>
      </x:c>
      <x:c r="T354" s="25" t="n">
        <x:v>51.298629500030074</x:v>
      </x:c>
      <x:c r="U354" s="25" t="n">
        <x:v>53.78613110002334</x:v>
      </x:c>
      <x:c r="V354" s="25" t="n">
        <x:v>1.296068043237957</x:v>
      </x:c>
      <x:c r="W354" s="19" t="str">
        <x:v>FULL</x:v>
      </x:c>
      <x:c r="X354" s="26" t="n">
        <x:f>IF(AND(J354&gt;0,E354=E354),1-J354/J354,"")</x:f>
        <x:v>0</x:v>
      </x:c>
      <x:c r="Y354" s="26" t="n">
        <x:f>IF(AND(K354&gt;0,E354=E354),1-K354/K354,"")</x:f>
        <x:v>0</x:v>
      </x:c>
      <x:c r="Z354" s="26" t="n">
        <x:f>IF(AND(ISNUMBER(P354),P354&gt;0,E354=E354),1-P354/P354,"")</x:f>
        <x:v>0</x:v>
      </x:c>
      <x:c r="AA354" s="26" t="n">
        <x:f>IF(AND(ISNUMBER(R354),ISNUMBER(R354),R354&gt;0,E354=E354),1-R354/R354,"")</x:f>
        <x:v>0</x:v>
      </x:c>
      <x:c r="AB354" s="26" t="n">
        <x:v>0.024568688852218083</x:v>
      </x:c>
      <x:c r="AC354" s="19" t="str">
        <x:v>D:/Codex/GRL研究/outputs/grid89_review/per_date.csv</x:v>
      </x:c>
    </x:row>
    <x:row r="355" ht="36" customHeight="1">
      <x:c r="A355" s="19" t="str">
        <x:v>GRID89 G2主评价</x:v>
      </x:c>
      <x:c r="B355" s="19" t="str">
        <x:v>2036-01-07_10</x:v>
      </x:c>
      <x:c r="C355" s="19" t="str">
        <x:v>GLOBAL_MATCH</x:v>
      </x:c>
      <x:c r="D355" s="21" t="n">
        <x:v>3</x:v>
      </x:c>
      <x:c r="E355" s="21" t="n">
        <x:v>2017</x:v>
      </x:c>
      <x:c r="F355" s="21" t="n">
        <x:v>1</x:v>
      </x:c>
      <x:c r="G355" s="21" t="n">
        <x:v>1</x:v>
      </x:c>
      <x:c r="H355" s="22" t="n">
        <x:v>3525210.1616210938</x:v>
      </x:c>
      <x:c r="I355" s="23" t="n">
        <x:v>-0.002729886092817213</x:v>
      </x:c>
      <x:c r="J355" s="24" t="n">
        <x:v>4960</x:v>
      </x:c>
      <x:c r="K355" s="25" t="n">
        <x:v>149.28577913314197</x:v>
      </x:c>
      <x:c r="L355" s="25" t="n">
        <x:v>25.829322733214212</x:v>
      </x:c>
      <x:c r="M355" s="25" t="n">
        <x:v>116.80686670001887</x:v>
      </x:c>
      <x:c r="N355" s="25" t="n">
        <x:v>1.2556760998728957</x:v>
      </x:c>
      <x:c r="O355" s="25" t="n">
        <x:v>5.393913600035982</x:v>
      </x:c>
      <x:c r="P355" s="25" t="n">
        <x:v>0.0671060399993922</x:v>
      </x:c>
      <x:c r="Q355" s="25" t="n">
        <x:v>2.489666321333981</x:v>
      </x:c>
      <x:c r="R355" s="25" t="n">
        <x:v>3.753216431666927</x:v>
      </x:c>
      <x:c r="S355" s="25" t="n">
        <x:v>3.8843676863357786</x:v>
      </x:c>
      <x:c r="T355" s="25" t="n">
        <x:v>144.40526089971536</x:v>
      </x:c>
      <x:c r="U355" s="25" t="n">
        <x:v>158.54192300001523</x:v>
      </x:c>
      <x:c r="V355" s="25" t="n">
        <x:v>8.020029837698258</x:v>
      </x:c>
      <x:c r="W355" s="19" t="str">
        <x:v>FULL</x:v>
      </x:c>
      <x:c r="X355" s="26" t="n">
        <x:f>IF(AND(J349&gt;0,E355=E349),1-J355/J349,"")</x:f>
        <x:v>0.5410382159711298</x:v>
      </x:c>
      <x:c r="Y355" s="26" t="n">
        <x:f>IF(AND(K349&gt;0,E355=E349),1-K355/K349,"")</x:f>
        <x:v>0.1008542546304182</x:v>
      </x:c>
      <x:c r="Z355" s="26" t="n">
        <x:f>IF(AND(ISNUMBER(P349),P349&gt;0,E355=E349),1-P355/P349,"")</x:f>
        <x:v>-0.20787731517004282</x:v>
      </x:c>
      <x:c r="AA355" s="26" t="n">
        <x:f>IF(AND(ISNUMBER(R355),ISNUMBER(R349),R349&gt;0,E355=E349),1-R355/R349,"")</x:f>
        <x:v>0.28462604441753736</x:v>
      </x:c>
      <x:c r="AB355" s="26" t="n">
        <x:v>0.05372266457172399</x:v>
      </x:c>
      <x:c r="AC355" s="19" t="str">
        <x:v>D:/Codex/GRL研究/outputs/grid89_review/per_date.csv</x:v>
      </x:c>
    </x:row>
    <x:row r="356" ht="36" customHeight="1">
      <x:c r="A356" s="19" t="str">
        <x:v>GRID89 G2主评价</x:v>
      </x:c>
      <x:c r="B356" s="19" t="str">
        <x:v>2036-03-03_10</x:v>
      </x:c>
      <x:c r="C356" s="19" t="str">
        <x:v>GLOBAL_MATCH</x:v>
      </x:c>
      <x:c r="D356" s="21" t="n">
        <x:v>3</x:v>
      </x:c>
      <x:c r="E356" s="21" t="n">
        <x:v>1878</x:v>
      </x:c>
      <x:c r="F356" s="21" t="n">
        <x:v>1</x:v>
      </x:c>
      <x:c r="G356" s="21" t="n">
        <x:v>0</x:v>
      </x:c>
      <x:c r="H356" s="22" t="n">
        <x:v>2196227.550048828</x:v>
      </x:c>
      <x:c r="I356" s="23"/>
      <x:c r="J356" s="24" t="n">
        <x:v>1953</x:v>
      </x:c>
      <x:c r="K356" s="25" t="n">
        <x:v>72.03902713335508</x:v>
      </x:c>
      <x:c r="L356" s="25" t="n">
        <x:v>14.616472333423493</x:v>
      </x:c>
      <x:c r="M356" s="25" t="n">
        <x:v>52.45356153333827</x:v>
      </x:c>
      <x:c r="N356" s="25" t="n">
        <x:v>0.6493882334022297</x:v>
      </x:c>
      <x:c r="O356" s="25" t="n">
        <x:v>4.319605033191086</x:v>
      </x:c>
      <x:c r="P356" s="25" t="n">
        <x:v>0.04175142166665558</x:v>
      </x:c>
      <x:c r="Q356" s="25" t="n">
        <x:v>1.0254782456649152</x:v>
      </x:c>
      <x:c r="R356" s="25" t="n">
        <x:v>3.4096860666668363</x:v>
      </x:c>
      <x:c r="S356" s="25" t="n">
        <x:v>3.5036291066665095</x:v>
      </x:c>
      <x:c r="T356" s="25" t="n">
        <x:v>67.06755020001583</x:v>
      </x:c>
      <x:c r="U356" s="25" t="n">
        <x:v>76.3282307000336</x:v>
      </x:c>
      <x:c r="V356" s="25" t="n">
        <x:v>4.667887481612346</x:v>
      </x:c>
      <x:c r="W356" s="19" t="str">
        <x:v>FULL</x:v>
      </x:c>
      <x:c r="X356" s="26" t="n">
        <x:f>IF(AND(J350&gt;0,E356=E350),1-J356/J350,"")</x:f>
        <x:v>0.6189268292682927</x:v>
      </x:c>
      <x:c r="Y356" s="26" t="n">
        <x:f>IF(AND(K350&gt;0,E356=E350),1-K356/K350,"")</x:f>
        <x:v>0.10892686532253859</x:v>
      </x:c>
      <x:c r="Z356" s="26" t="n">
        <x:f>IF(AND(ISNUMBER(P350),P350&gt;0,E356=E350),1-P356/P350,"")</x:f>
        <x:v>-0.16612405336126046</x:v>
      </x:c>
      <x:c r="AA356" s="26" t="n">
        <x:f>IF(AND(ISNUMBER(R356),ISNUMBER(R350),R350&gt;0,E356=E350),1-R356/R350,"")</x:f>
        <x:v>0.2818237268309779</x:v>
      </x:c>
      <x:c r="AB356" s="26" t="n">
        <x:v>0.06479664797487318</x:v>
      </x:c>
      <x:c r="AC356" s="19" t="str">
        <x:v>D:/Codex/GRL研究/outputs/grid89_review/per_date.csv</x:v>
      </x:c>
    </x:row>
    <x:row r="357" ht="36" customHeight="1">
      <x:c r="A357" s="19" t="str">
        <x:v>GRID89 G2主评价</x:v>
      </x:c>
      <x:c r="B357" s="19" t="str">
        <x:v>2036-05-05_10</x:v>
      </x:c>
      <x:c r="C357" s="19" t="str">
        <x:v>GLOBAL_MATCH</x:v>
      </x:c>
      <x:c r="D357" s="21" t="n">
        <x:v>3</x:v>
      </x:c>
      <x:c r="E357" s="21" t="n">
        <x:v>2017</x:v>
      </x:c>
      <x:c r="F357" s="21" t="n">
        <x:v>1</x:v>
      </x:c>
      <x:c r="G357" s="21" t="n">
        <x:v>1</x:v>
      </x:c>
      <x:c r="H357" s="22" t="n">
        <x:v>1544621.6024475098</x:v>
      </x:c>
      <x:c r="I357" s="23" t="n">
        <x:v>-0.00030888488933777936</x:v>
      </x:c>
      <x:c r="J357" s="24" t="n">
        <x:v>512</x:v>
      </x:c>
      <x:c r="K357" s="25" t="n">
        <x:v>8.323792233325852</x:v>
      </x:c>
      <x:c r="L357" s="25" t="n">
        <x:v>5.4389765333095665</x:v>
      </x:c>
      <x:c r="M357" s="25" t="n">
        <x:v>0.4673350999995212</x:v>
      </x:c>
      <x:c r="N357" s="25" t="n">
        <x:v>0.18350920003892193</x:v>
      </x:c>
      <x:c r="O357" s="25" t="n">
        <x:v>2.233971399977842</x:v>
      </x:c>
      <x:c r="P357" s="25" t="n">
        <x:v>0.005552220000633192</x:v>
      </x:c>
      <x:c r="Q357" s="25" t="n">
        <x:v>0.006113398667269696</x:v>
      </x:c>
      <x:c r="R357" s="25" t="n">
        <x:v>0.6778913816648128</x:v>
      </x:c>
      <x:c r="S357" s="25" t="n">
        <x:v>0.678816169664836</x:v>
      </x:c>
      <x:c r="T357" s="25" t="n">
        <x:v>7.874202399929345</x:v>
      </x:c>
      <x:c r="U357" s="25" t="n">
        <x:v>9.168587199943431</x:v>
      </x:c>
      <x:c r="V357" s="25" t="n">
        <x:v>0.732119065193696</x:v>
      </x:c>
      <x:c r="W357" s="19" t="str">
        <x:v>FULL</x:v>
      </x:c>
      <x:c r="X357" s="26" t="n">
        <x:f>IF(AND(J351&gt;0,E357=E351),1-J357/J351,"")</x:f>
        <x:v>0.6675324675324675</x:v>
      </x:c>
      <x:c r="Y357" s="26" t="n">
        <x:f>IF(AND(K351&gt;0,E357=E351),1-K357/K351,"")</x:f>
        <x:v>0.2534984985102283</x:v>
      </x:c>
      <x:c r="Z357" s="26" t="n">
        <x:f>IF(AND(ISNUMBER(P351),P351&gt;0,E357=E351),1-P357/P351,"")</x:f>
        <x:v>0.02346155530442562</x:v>
      </x:c>
      <x:c r="AA357" s="26" t="n">
        <x:f>IF(AND(ISNUMBER(R357),ISNUMBER(R351),R351&gt;0,E357=E351),1-R357/R351,"")</x:f>
        <x:v>0.6926479785489081</x:v>
      </x:c>
      <x:c r="AB357" s="26" t="n">
        <x:v>0.08795499030628383</x:v>
      </x:c>
      <x:c r="AC357" s="19" t="str">
        <x:v>D:/Codex/GRL研究/outputs/grid89_review/per_date.csv</x:v>
      </x:c>
    </x:row>
    <x:row r="358" ht="36" customHeight="1">
      <x:c r="A358" s="19" t="str">
        <x:v>GRID89 G2主评价</x:v>
      </x:c>
      <x:c r="B358" s="19" t="str">
        <x:v>2036-07-07_10</x:v>
      </x:c>
      <x:c r="C358" s="19" t="str">
        <x:v>GLOBAL_MATCH</x:v>
      </x:c>
      <x:c r="D358" s="21" t="n">
        <x:v>3</x:v>
      </x:c>
      <x:c r="E358" s="21" t="n">
        <x:v>2017</x:v>
      </x:c>
      <x:c r="F358" s="21" t="n">
        <x:v>1</x:v>
      </x:c>
      <x:c r="G358" s="21" t="n">
        <x:v>1</x:v>
      </x:c>
      <x:c r="H358" s="22" t="n">
        <x:v>1275156.6856079102</x:v>
      </x:c>
      <x:c r="I358" s="23" t="n">
        <x:v>-0.0059808541022986494</x:v>
      </x:c>
      <x:c r="J358" s="24" t="n">
        <x:v>2540</x:v>
      </x:c>
      <x:c r="K358" s="25" t="n">
        <x:v>48.093280233333644</x:v>
      </x:c>
      <x:c r="L358" s="25" t="n">
        <x:v>13.612059200072204</x:v>
      </x:c>
      <x:c r="M358" s="25" t="n">
        <x:v>28.043363666677276</x:v>
      </x:c>
      <x:c r="N358" s="25" t="n">
        <x:v>1.4118539666269498</x:v>
      </x:c>
      <x:c r="O358" s="25" t="n">
        <x:v>5.026003399957214</x:v>
      </x:c>
      <x:c r="P358" s="25" t="n">
        <x:v>0.030440313333383522</x:v>
      </x:c>
      <x:c r="Q358" s="25" t="n">
        <x:v>0.7186484079995715</x:v>
      </x:c>
      <x:c r="R358" s="25" t="n">
        <x:v>1.441692893333311</x:v>
      </x:c>
      <x:c r="S358" s="25" t="n">
        <x:v>1.5093757253340299</x:v>
      </x:c>
      <x:c r="T358" s="25" t="n">
        <x:v>45.47512429986091</x:v>
      </x:c>
      <x:c r="U358" s="25" t="n">
        <x:v>50.5984810998998</x:v>
      </x:c>
      <x:c r="V358" s="25" t="n">
        <x:v>2.5635454668254063</x:v>
      </x:c>
      <x:c r="W358" s="19" t="str">
        <x:v>FULL</x:v>
      </x:c>
      <x:c r="X358" s="26" t="n">
        <x:f>IF(AND(J352&gt;0,E358=E352),1-J358/J352,"")</x:f>
        <x:v>0.6480532077040322</x:v>
      </x:c>
      <x:c r="Y358" s="26" t="n">
        <x:f>IF(AND(K352&gt;0,E358=E352),1-K358/K352,"")</x:f>
        <x:v>0.18001923742677484</x:v>
      </x:c>
      <x:c r="Z358" s="26" t="n">
        <x:f>IF(AND(ISNUMBER(P352),P352&gt;0,E358=E352),1-P358/P352,"")</x:f>
        <x:v>-0.03549187853339997</x:v>
      </x:c>
      <x:c r="AA358" s="26" t="n">
        <x:f>IF(AND(ISNUMBER(R358),ISNUMBER(R352),R352&gt;0,E358=E352),1-R358/R352,"")</x:f>
        <x:v>0.4558318149943542</x:v>
      </x:c>
      <x:c r="AB358" s="26" t="n">
        <x:v>0.05330361028376274</x:v>
      </x:c>
      <x:c r="AC358" s="19" t="str">
        <x:v>D:/Codex/GRL研究/outputs/grid89_review/per_date.csv</x:v>
      </x:c>
    </x:row>
    <x:row r="359" ht="36" customHeight="1">
      <x:c r="A359" s="19" t="str">
        <x:v>GRID89 G2主评价</x:v>
      </x:c>
      <x:c r="B359" s="19" t="str">
        <x:v>2036-09-01_10</x:v>
      </x:c>
      <x:c r="C359" s="19" t="str">
        <x:v>GLOBAL_MATCH</x:v>
      </x:c>
      <x:c r="D359" s="21" t="n">
        <x:v>3</x:v>
      </x:c>
      <x:c r="E359" s="21" t="n">
        <x:v>2017</x:v>
      </x:c>
      <x:c r="F359" s="21" t="n">
        <x:v>0</x:v>
      </x:c>
      <x:c r="G359" s="21" t="n">
        <x:v>1</x:v>
      </x:c>
      <x:c r="H359" s="22" t="n">
        <x:v>1779267.6234436035</x:v>
      </x:c>
      <x:c r="I359" s="23" t="n">
        <x:v>0.011493635421626403</x:v>
      </x:c>
      <x:c r="J359" s="24" t="n">
        <x:v>8188</x:v>
      </x:c>
      <x:c r="K359" s="25" t="n">
        <x:v>114.5654224999865</x:v>
      </x:c>
      <x:c r="L359" s="25" t="n">
        <x:v>35.020945633140705</x:v>
      </x:c>
      <x:c r="M359" s="25" t="n">
        <x:v>71.88400343333826</x:v>
      </x:c>
      <x:c r="N359" s="25" t="n">
        <x:v>1.9224640999212472</x:v>
      </x:c>
      <x:c r="O359" s="25" t="n">
        <x:v>5.738009333586281</x:v>
      </x:c>
      <x:c r="P359" s="25" t="n">
        <x:v>0.036200126664577184</x:v>
      </x:c>
      <x:c r="Q359" s="25" t="n">
        <x:v>1.3303387746693107</x:v>
      </x:c>
      <x:c r="R359" s="25" t="n">
        <x:v>5.0685062266692205</x:v>
      </x:c>
      <x:c r="S359" s="25" t="n">
        <x:v>5.688178845337436</x:v>
      </x:c>
      <x:c r="T359" s="25" t="n">
        <x:v>112.11325840000791</x:v>
      </x:c>
      <x:c r="U359" s="25" t="n">
        <x:v>116.76520360000723</x:v>
      </x:c>
      <x:c r="V359" s="25" t="n">
        <x:v>2.336219471699946</x:v>
      </x:c>
      <x:c r="W359" s="19" t="str">
        <x:v>FULL</x:v>
      </x:c>
      <x:c r="X359" s="26" t="n">
        <x:f>IF(AND(J353&gt;0,E359=E353),1-J359/J353,"")</x:f>
        <x:v>0.46886351842241825</x:v>
      </x:c>
      <x:c r="Y359" s="26" t="n">
        <x:f>IF(AND(K353&gt;0,E359=E353),1-K359/K353,"")</x:f>
        <x:v>0.14397846827375593</x:v>
      </x:c>
      <x:c r="Z359" s="26" t="n">
        <x:f>IF(AND(ISNUMBER(P353),P353&gt;0,E359=E353),1-P359/P353,"")</x:f>
        <x:v>0.03283194543497214</x:v>
      </x:c>
      <x:c r="AA359" s="26" t="n">
        <x:f>IF(AND(ISNUMBER(R359),ISNUMBER(R353),R353&gt;0,E359=E353),1-R359/R353,"")</x:f>
        <x:v>0.16713572698146506</x:v>
      </x:c>
      <x:c r="AB359" s="26" t="n">
        <x:v>0.020392012011304906</x:v>
      </x:c>
      <x:c r="AC359" s="19" t="str">
        <x:v>D:/Codex/GRL研究/outputs/grid89_review/per_date.csv</x:v>
      </x:c>
    </x:row>
    <x:row r="360" ht="36" customHeight="1">
      <x:c r="A360" s="19" t="str">
        <x:v>GRID89 G2主评价</x:v>
      </x:c>
      <x:c r="B360" s="19" t="str">
        <x:v>2036-11-03_10</x:v>
      </x:c>
      <x:c r="C360" s="19" t="str">
        <x:v>GLOBAL_MATCH</x:v>
      </x:c>
      <x:c r="D360" s="21" t="n">
        <x:v>3</x:v>
      </x:c>
      <x:c r="E360" s="21" t="n">
        <x:v>2017</x:v>
      </x:c>
      <x:c r="F360" s="21" t="n">
        <x:v>1</x:v>
      </x:c>
      <x:c r="G360" s="21" t="n">
        <x:v>1</x:v>
      </x:c>
      <x:c r="H360" s="22" t="n">
        <x:v>1703022.0524597168</x:v>
      </x:c>
      <x:c r="I360" s="23" t="n">
        <x:v>-0.00006054652847586883</x:v>
      </x:c>
      <x:c r="J360" s="24" t="n">
        <x:v>841</x:v>
      </x:c>
      <x:c r="K360" s="25" t="n">
        <x:v>51.82827200001096</x:v>
      </x:c>
      <x:c r="L360" s="25" t="n">
        <x:v>12.122320433363106</x:v>
      </x:c>
      <x:c r="M360" s="25" t="n">
        <x:v>34.16524156669524</x:v>
      </x:c>
      <x:c r="N360" s="25" t="n">
        <x:v>0.38035556672790943</x:v>
      </x:c>
      <x:c r="O360" s="25" t="n">
        <x:v>5.160354433224711</x:v>
      </x:c>
      <x:c r="P360" s="25" t="n">
        <x:v>0.03448904000106264</x:v>
      </x:c>
      <x:c r="Q360" s="25" t="n">
        <x:v>0.8122955773339091</x:v>
      </x:c>
      <x:c r="R360" s="25" t="n">
        <x:v>1.1887668766685238</x:v>
      </x:c>
      <x:c r="S360" s="25" t="n">
        <x:v>1.220369375335334</x:v>
      </x:c>
      <x:c r="T360" s="25" t="n">
        <x:v>48.091772399995534</x:v>
      </x:c>
      <x:c r="U360" s="25" t="n">
        <x:v>59.24953579997964</x:v>
      </x:c>
      <x:c r="V360" s="25" t="n">
        <x:v>6.427055035508026</x:v>
      </x:c>
      <x:c r="W360" s="19" t="str">
        <x:v>FULL</x:v>
      </x:c>
      <x:c r="X360" s="26" t="n">
        <x:f>IF(AND(J354&gt;0,E360=E354),1-J360/J354,"")</x:f>
        <x:v>0.6904674273095326</x:v>
      </x:c>
      <x:c r="Y360" s="26" t="n">
        <x:f>IF(AND(K354&gt;0,E360=E354),1-K360/K354,"")</x:f>
        <x:v>0.01752635970007521</x:v>
      </x:c>
      <x:c r="Z360" s="26" t="n">
        <x:f>IF(AND(ISNUMBER(P354),P354&gt;0,E360=E354),1-P360/P354,"")</x:f>
        <x:v>-0.09655553062625022</x:v>
      </x:c>
      <x:c r="AA360" s="26" t="n">
        <x:f>IF(AND(ISNUMBER(R360),ISNUMBER(R354),R354&gt;0,E360=E354),1-R360/R354,"")</x:f>
        <x:v>0.5368957552557814</x:v>
      </x:c>
      <x:c r="AB360" s="26" t="n">
        <x:v>0.12400673970968329</x:v>
      </x:c>
      <x:c r="AC360" s="19" t="str">
        <x:v>D:/Codex/GRL研究/outputs/grid89_review/per_date.csv</x:v>
      </x:c>
    </x:row>
  </x:sheetData>
  <x:conditionalFormatting sqref="F7:F360">
    <x:cfRule type="cellIs" dxfId="0" priority="1" operator="equal">
      <x:formula>0</x:formula>
    </x:cfRule>
  </x:conditionalFormatting>
  <x:conditionalFormatting sqref="I7:I360">
    <x:cfRule type="cellIs" dxfId="1" priority="2" operator="greaterThan">
      <x:formula>0.005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f1b8d58d6840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.880000114440918" hidden="0" customWidth="1"/>
    <x:col min="2" max="2" width="19.3799991607666" hidden="0" customWidth="1"/>
    <x:col min="3" max="3" width="35.630001068115234" hidden="0" customWidth="1"/>
    <x:col min="4" max="4" width="35.630001068115234" hidden="0" customWidth="1"/>
    <x:col min="5" max="5" width="43.75" hidden="0" customWidth="1"/>
    <x:col min="6" max="6" width="81.25" hidden="0" customWidth="1"/>
    <x:col min="7" max="7" width="37.5" hidden="0" customWidth="1"/>
    <x:col min="8" max="8" width="81.25" hidden="0" customWidth="1"/>
  </x:cols>
  <x:sheetData>
    <x:row r="2" ht="30" customHeight="1">
      <x:c r="A2" s="1" t="str">
        <x:v>全部96轮：实验、探索与资格记录</x:v>
      </x:c>
    </x:row>
    <x:row r="4" ht="22.5" customHeight="1">
      <x:c r="A4" s="2" t="str">
        <x:v>GRID00–89及六个B/C补充轮。原版、修复版、部分完成与未启动余项分开保留；拟合、离线重放、闭环、工程审计不混算。</x:v>
      </x:c>
    </x:row>
    <x:row r="6" ht="33" customHeight="1">
      <x:c r="A6" s="8" t="str">
        <x:v>编号</x:v>
      </x:c>
      <x:c r="B6" s="8" t="str">
        <x:v>类别</x:v>
      </x:c>
      <x:c r="C6" s="8" t="str">
        <x:v>实验名称与版本</x:v>
      </x:c>
      <x:c r="D6" s="8" t="str">
        <x:v>比较对象</x:v>
      </x:c>
      <x:c r="E6" s="8" t="str">
        <x:v>实验目的：检验什么</x:v>
      </x:c>
      <x:c r="F6" s="8" t="str">
        <x:v>结果摘要</x:v>
      </x:c>
      <x:c r="G6" s="8" t="str">
        <x:v>与当前论文的关系</x:v>
      </x:c>
      <x:c r="H6" s="8" t="str">
        <x:v>来源</x:v>
      </x:c>
    </x:row>
    <x:row r="7" ht="67.5" customHeight="1">
      <x:c r="A7" s="19" t="str">
        <x:v>GRID00</x:v>
      </x:c>
      <x:c r="B7" s="19" t="str">
        <x:v>平台与计量</x:v>
      </x:c>
      <x:c r="C7" s="19" t="str">
        <x:v>Grid2Op首轮接口资格</x:v>
      </x:c>
      <x:c r="D7" s="19" t="str">
        <x:v>IDF环境短轨迹与重放</x:v>
      </x:c>
      <x:c r="E7" s="19" t="str">
        <x:v>确认公开仿真环境和控制接口能够运行</x:v>
      </x:c>
      <x:c r="F7" s="19" t="str">
        <x:v>短轨迹与接口检查通过；强基线尚未运行；末尾附加诊断报错已保留</x:v>
      </x:c>
      <x:c r="G7" s="19" t="str">
        <x:v>平台准备，不作为FRAME效果实验</x:v>
      </x:c>
      <x:c r="H7" s="19" t="str">
        <x:v>D:/Codex/GRL研究/outputs/grid00/GRID00_report.md</x:v>
      </x:c>
    </x:row>
    <x:row r="8" ht="67.5" customHeight="1">
      <x:c r="A8" s="19" t="str">
        <x:v>GRID01</x:v>
      </x:c>
      <x:c r="B8" s="19" t="str">
        <x:v>平台与计量</x:v>
      </x:c>
      <x:c r="C8" s="19" t="str">
        <x:v>LJN非神经混合控制器接入</x:v>
      </x:c>
      <x:c r="D8" s="19" t="str">
        <x:v>作者LJN控制器与保存数据重放</x:v>
      </x:c>
      <x:c r="E8" s="19" t="str">
        <x:v>建立可运行的基础控制器，核对动作资产语义</x:v>
      </x:c>
      <x:c r="F8" s="19" t="str">
        <x:v>接入和保存数据检查通过；两份资产合计1330个动作；累计1188物理步含故障与记录器重跑</x:v>
      </x:c>
      <x:c r="G8" s="19" t="str">
        <x:v>基础控制器来源</x:v>
      </x:c>
      <x:c r="H8" s="19" t="str">
        <x:v>D:/Codex/GRL研究/outputs/grid01/GRID01_report.md</x:v>
      </x:c>
    </x:row>
    <x:row r="9" ht="67.5" customHeight="1">
      <x:c r="A9" s="19" t="str">
        <x:v>GRID02</x:v>
      </x:c>
      <x:c r="B9" s="19" t="str">
        <x:v>早期学习探索</x:v>
      </x:c>
      <x:c r="C9" s="19" t="str">
        <x:v>作者NN Top-k资格</x:v>
      </x:c>
      <x:c r="D9" s="19" t="str">
        <x:v>NN20、同映射NN352、非NN FULL</x:v>
      </x:c>
      <x:c r="E9" s="19" t="str">
        <x:v>检查扩大候选池是否改变动作，并建立学习式参照</x:v>
      </x:c>
      <x:c r="F9" s="19" t="str">
        <x:v>两个随包场景中NN20与NN352最终动作相同；尚未证明神经排序优于简单短名单</x:v>
      </x:c>
      <x:c r="G9" s="19" t="str">
        <x:v>早期探索，非当前FRAME</x:v>
      </x:c>
      <x:c r="H9" s="19" t="str">
        <x:v>D:/Codex/GRL研究/outputs/grid02/GRID02_report.md</x:v>
      </x:c>
    </x:row>
    <x:row r="10" ht="67.5" customHeight="1">
      <x:c r="A10" s="19" t="str">
        <x:v>GRID03</x:v>
      </x:c>
      <x:c r="B10" s="19" t="str">
        <x:v>平台与计量</x:v>
      </x:c>
      <x:c r="C10" s="19" t="str">
        <x:v>正式数据与运营成本资格</x:v>
      </x:c>
      <x:c r="D10" s="19" t="str">
        <x:v>官方数据索引、分组划分、成本重算</x:v>
      </x:c>
      <x:c r="E10" s="19" t="str">
        <x:v>建立场景与质量计量口径</x:v>
      </x:c>
      <x:c r="F10" s="19" t="str">
        <x:v>832场景、52日期家庭；冻结提取48场景；原始运营成本计量通过，比赛归一化总分未认证</x:v>
      </x:c>
      <x:c r="G10" s="19" t="str">
        <x:v>数据与计量准备</x:v>
      </x:c>
      <x:c r="H10" s="19" t="str">
        <x:v>D:/Codex/GRL研究/outputs/grid03/GRID03_report.md</x:v>
      </x:c>
    </x:row>
    <x:row r="11" ht="67.5" customHeight="1">
      <x:c r="A11" s="19" t="str">
        <x:v>GRID04</x:v>
      </x:c>
      <x:c r="B11" s="19" t="str">
        <x:v>早期学习探索</x:v>
      </x:c>
      <x:c r="C11" s="19" t="str">
        <x:v>正式开发周五臂比较</x:v>
      </x:c>
      <x:c r="D11" s="19" t="str">
        <x:v>FULL、NN20、NN352、LOCAL20、RANDOM20</x:v>
      </x:c>
      <x:c r="E11" s="19" t="str">
        <x:v>检查候选数量和排序对闭环运行的影响</x:v>
      </x:c>
      <x:c r="F11" s="19" t="str">
        <x:v>20条轨迹；4月NN352较NN20成本低9.69%，10月随机20较NN20低31.10%；存在未完成周，未建立统一赢家</x:v>
      </x:c>
      <x:c r="G11" s="19" t="str">
        <x:v>早期动机，不能归于FRAME</x:v>
      </x:c>
      <x:c r="H11" s="19" t="str">
        <x:v>D:/Codex/GRL研究/outputs/grid04/GRID04_report.md</x:v>
      </x:c>
    </x:row>
    <x:row r="12" ht="67.5" customHeight="1">
      <x:c r="A12" s="19" t="str">
        <x:v>GRID05</x:v>
      </x:c>
      <x:c r="B12" s="19" t="str">
        <x:v>早期停止与修复</x:v>
      </x:c>
      <x:c r="C12" s="19" t="str">
        <x:v>固定0.9阈值回退</x:v>
      </x:c>
      <x:c r="D12" s="19" t="str">
        <x:v>NN20对FALLBACK90</x:v>
      </x:c>
      <x:c r="E12" s="19" t="str">
        <x:v>检验候选不足时扩展搜索能否改善结果</x:v>
      </x:c>
      <x:c r="F12" s="19" t="str">
        <x:v>四开发周筛查通过；一月462→1719步，4月成本低9.6978%；其余共同完整周成本相同</x:v>
      </x:c>
      <x:c r="G12" s="19" t="str">
        <x:v>早期回退规则</x:v>
      </x:c>
      <x:c r="H12" s="19" t="str">
        <x:v>D:/Codex/GRL研究/outputs/grid05/GRID05_report.md</x:v>
      </x:c>
    </x:row>
    <x:row r="13" ht="67.5" customHeight="1">
      <x:c r="A13" s="19" t="str">
        <x:v>GRID06</x:v>
      </x:c>
      <x:c r="B13" s="19" t="str">
        <x:v>早期停止与修复</x:v>
      </x:c>
      <x:c r="C13" s="19" t="str">
        <x:v>固定回退的验证</x:v>
      </x:c>
      <x:c r="D13" s="19" t="str">
        <x:v>FALLBACK90、NN20、NN352</x:v>
      </x:c>
      <x:c r="E13" s="19" t="str">
        <x:v>检验旧回退规则在预留周是否仍有效</x:v>
      </x:c>
      <x:c r="F13" s="19" t="str">
        <x:v>计划12条仅完成9条；一月回退成本增加25.4377%，触发冻结拒绝项；缺失十月保留</x:v>
      </x:c>
      <x:c r="G13" s="19" t="str">
        <x:v>不利历史结果，禁止当作完整成功矩阵</x:v>
      </x:c>
      <x:c r="H13" s="19" t="str">
        <x:v>D:/Codex/GRL研究/outputs/grid06/GRID06_report.md</x:v>
      </x:c>
    </x:row>
    <x:row r="14" ht="67.5" customHeight="1">
      <x:c r="A14" s="19" t="str">
        <x:v>GRID07</x:v>
      </x:c>
      <x:c r="B14" s="19" t="str">
        <x:v>早期停止与修复</x:v>
      </x:c>
      <x:c r="C14" s="19" t="str">
        <x:v>单次拓扑干预后果</x:v>
      </x:c>
      <x:c r="D14" s="19" t="str">
        <x:v>原NN20、只替换首处分歧、完整回退</x:v>
      </x:c>
      <x:c r="E14" s="19" t="str">
        <x:v>检查单步预测改善能否代表长期费用改善</x:v>
      </x:c>
      <x:c r="F14" s="19" t="str">
        <x:v>只改变第221步后整周成本仍增加16.0869%；完整回退增加25.4377%</x:v>
      </x:c>
      <x:c r="G14" s="19" t="str">
        <x:v>说明单步奖励与长期成本需要分别评价</x:v>
      </x:c>
      <x:c r="H14" s="19" t="str">
        <x:v>D:/Codex/GRL研究/outputs/grid07/GRID07_report.md</x:v>
      </x:c>
    </x:row>
    <x:row r="15" ht="67.5" customHeight="1">
      <x:c r="A15" s="19" t="str">
        <x:v>GRID08</x:v>
      </x:c>
      <x:c r="B15" s="19" t="str">
        <x:v>早期学习探索</x:v>
      </x:c>
      <x:c r="C15" s="19" t="str">
        <x:v>GNN/MLP PPO恢复模块V0–V2</x:v>
      </x:c>
      <x:c r="D15" s="19" t="str">
        <x:v>NN20、ALWAYS_RESTORE、IMMEDIATE_COST</x:v>
      </x:c>
      <x:c r="E15" s="19" t="str">
        <x:v>判断收益来自学习器还是新增恢复操作</x:v>
      </x:c>
      <x:c r="F15" s="19" t="str">
        <x:v>V0/V2及MLP与始终恢复完全同轨迹；相对NN20成本降63.8645%，相对强固定规则无增量；V1 GNN退化</x:v>
      </x:c>
      <x:c r="G15" s="19" t="str">
        <x:v>历史方向，非FRAME贡献</x:v>
      </x:c>
      <x:c r="H15" s="19" t="str">
        <x:v>D:/Codex/GRL研究/outputs/grid08/GRID08_review_zh.md
D:/Codex/GRL研究/outputs/grid08/GRID08_report.md</x:v>
      </x:c>
    </x:row>
    <x:row r="16" ht="67.5" customHeight="1">
      <x:c r="A16" s="19" t="str">
        <x:v>GRID09</x:v>
      </x:c>
      <x:c r="B16" s="19" t="str">
        <x:v>早期学习探索</x:v>
      </x:c>
      <x:c r="C16" s="19" t="str">
        <x:v>决策间回报归因</x:v>
      </x:c>
      <x:c r="D16" s="19" t="str">
        <x:v>普通PPO续训、决策间归因、始终恢复</x:v>
      </x:c>
      <x:c r="E16" s="19" t="str">
        <x:v>检验稀疏决策的归因修改能否产生学习增量</x:v>
      </x:c>
      <x:c r="F16" s="19" t="str">
        <x:v>两臂均4/4完整并与始终恢复逐项相同；额外学习收益未建立</x:v>
      </x:c>
      <x:c r="G16" s="19" t="str">
        <x:v>停止该学习归因路线的依据</x:v>
      </x:c>
      <x:c r="H16" s="19" t="str">
        <x:v>D:/Codex/GRL研究/outputs/grid09/GRID09_review_zh.md
D:/Codex/GRL研究/outputs/grid09/GRID09_report.md</x:v>
      </x:c>
    </x:row>
    <x:row r="17" ht="67.5" customHeight="1">
      <x:c r="A17" s="19" t="str">
        <x:v>GRID10</x:v>
      </x:c>
      <x:c r="B17" s="19" t="str">
        <x:v>早期学习探索</x:v>
      </x:c>
      <x:c r="C17" s="19" t="str">
        <x:v>价值目标尺度处理</x:v>
      </x:c>
      <x:c r="D17" s="19" t="str">
        <x:v>原尺度Huber与固定标准化MSE</x:v>
      </x:c>
      <x:c r="E17" s="19" t="str">
        <x:v>检验价值拟合处理是否能改善最终动作</x:v>
      </x:c>
      <x:c r="F17" s="19" t="str">
        <x:v>两臂4/4完整、同始终恢复；均无额外控制收益</x:v>
      </x:c>
      <x:c r="G17" s="19" t="str">
        <x:v>历史否定结果</x:v>
      </x:c>
      <x:c r="H17" s="19" t="str">
        <x:v>D:/Codex/GRL研究/outputs/grid10/GRID10_review_zh.md
D:/Codex/GRL研究/outputs/grid10/GRID10_report.md</x:v>
      </x:c>
    </x:row>
    <x:row r="18" ht="67.5" customHeight="1">
      <x:c r="A18" s="19" t="str">
        <x:v>GRID11</x:v>
      </x:c>
      <x:c r="B18" s="19" t="str">
        <x:v>故障诊断</x:v>
      </x:c>
      <x:c r="C18" s="19" t="str">
        <x:v>一月训练失败上下文</x:v>
      </x:c>
      <x:c r="D18" s="19" t="str">
        <x:v>1714与1718步的公开候选反馈</x:v>
      </x:c>
      <x:c r="E18" s="19" t="str">
        <x:v>判断故障是否可由当前二选一恢复策略处理</x:v>
      </x:c>
      <x:c r="F18" s="19" t="str">
        <x:v>1718步1018个候选全部预测终止；删除关键线路后图分裂；仅有限候选空间诊断</x:v>
      </x:c>
      <x:c r="G18" s="19" t="str">
        <x:v>故障归因，不作为方法优越性实验</x:v>
      </x:c>
      <x:c r="H18" s="19" t="str">
        <x:v>D:/Codex/GRL研究/outputs/grid11_failure_context/GRID11_review_zh.md
D:/Codex/GRL研究/outputs/grid11_failure_context/RUN_STATE.md</x:v>
      </x:c>
    </x:row>
    <x:row r="19" ht="67.5" customHeight="1">
      <x:c r="A19" s="19" t="str">
        <x:v>GRID12</x:v>
      </x:c>
      <x:c r="B19" s="19" t="str">
        <x:v>故障诊断</x:v>
      </x:c>
      <x:c r="C19" s="19" t="str">
        <x:v>提前应急QP公共预测</x:v>
      </x:c>
      <x:c r="D19" s="19" t="str">
        <x:v>默认动作与单次提前QP</x:v>
      </x:c>
      <x:c r="E19" s="19" t="str">
        <x:v>检验提前调用现有连续优化能否解除特定预测故障</x:v>
      </x:c>
      <x:c r="F19" s="19" t="str">
        <x:v>两个预定状态QP均求解成功，但第一步过载和分支终止时间未改善</x:v>
      </x:c>
      <x:c r="G19" s="19" t="str">
        <x:v>有限探针，不是闭环MPC实验</x:v>
      </x:c>
      <x:c r="H19" s="19" t="str">
        <x:v>D:/Codex/GRL研究/outputs/grid12/GRID12_review_zh.md
D:/Codex/GRL研究/outputs/grid12/RUN_STATE.md</x:v>
      </x:c>
    </x:row>
    <x:row r="20" ht="67.5" customHeight="1">
      <x:c r="A20" s="19" t="str">
        <x:v>GRID13</x:v>
      </x:c>
      <x:c r="B20" s="19" t="str">
        <x:v>故障诊断</x:v>
      </x:c>
      <x:c r="C20" s="19" t="str">
        <x:v>重连与未知攻击区分</x:v>
      </x:c>
      <x:c r="D20" s="19" t="str">
        <x:v>归档原动作预测、重放真实反馈、显式母线方案</x:v>
      </x:c>
      <x:c r="E20" s="19" t="str">
        <x:v>核实故障由遗漏重连还是新扰动引起</x:v>
      </x:c>
      <x:c r="F20" s="19" t="str">
        <x:v>作者动作已重连81号线，真实执行出现对该线新攻击；显式母线未建立收益</x:v>
      </x:c>
      <x:c r="G20" s="19" t="str">
        <x:v>避免错误解释预测与真实执行差异</x:v>
      </x:c>
      <x:c r="H20" s="19" t="str">
        <x:v>D:/Codex/GRL研究/outputs/grid13/GRID13_review_zh.md
D:/Codex/GRL研究/outputs/grid13/RUN_STATE.md</x:v>
      </x:c>
    </x:row>
    <x:row r="21" ht="67.5" customHeight="1">
      <x:c r="A21" s="19" t="str">
        <x:v>GRID14</x:v>
      </x:c>
      <x:c r="B21" s="19" t="str">
        <x:v>早期学习探索</x:v>
      </x:c>
      <x:c r="C21" s="19" t="str">
        <x:v>恢复后的单次拓扑干预</x:v>
      </x:c>
      <x:c r="D21" s="19" t="str">
        <x:v>FINAL_COST、FINAL_RHO与固定续接</x:v>
      </x:c>
      <x:c r="E21" s="19" t="str">
        <x:v>检查是否值得训练长期动作评价器</x:v>
      </x:c>
      <x:c r="F21" s="19" t="str">
        <x:v>共同完整周最大已测成本改善0.2751%，未达1%投资门槛；保留失败分支</x:v>
      </x:c>
      <x:c r="G21" s="19" t="str">
        <x:v>早期方向筛查</x:v>
      </x:c>
      <x:c r="H21" s="19" t="str">
        <x:v>D:/Codex/GRL研究/outputs/grid14/GRID14_review_zh.md
D:/Codex/GRL研究/outputs/grid14/RUN_STATE.md</x:v>
      </x:c>
    </x:row>
    <x:row r="22" ht="67.5" customHeight="1">
      <x:c r="A22" s="19" t="str">
        <x:v>GRID15</x:v>
      </x:c>
      <x:c r="B22" s="19" t="str">
        <x:v>早期候选压缩</x:v>
      </x:c>
      <x:c r="C22" s="19" t="str">
        <x:v>断线候选短名单资格</x:v>
      </x:c>
      <x:c r="D22" s="19" t="str">
        <x:v>ALL、ZONE、LOCAL、RANDOM、PREFIX</x:v>
      </x:c>
      <x:c r="E22" s="19" t="str">
        <x:v>检查少量候选能否保留近最优动作</x:v>
      </x:c>
      <x:c r="F22" s="19" t="str">
        <x:v>LOCAL128近最优保留73.9%，PREFIX128为69.6%；所有≤128规则未达95%，训练优先级门槛未通过</x:v>
      </x:c>
      <x:c r="G22" s="19" t="str">
        <x:v>候选压缩的早期动机</x:v>
      </x:c>
      <x:c r="H22" s="19" t="str">
        <x:v>D:/Codex/GRL研究/outputs/grid15/GRID15_report.md</x:v>
      </x:c>
    </x:row>
    <x:row r="23" ht="67.5" customHeight="1">
      <x:c r="A23" s="19" t="str">
        <x:v>GRID16</x:v>
      </x:c>
      <x:c r="B23" s="19" t="str">
        <x:v>早期候选压缩</x:v>
      </x:c>
      <x:c r="C23" s="19" t="str">
        <x:v>带完整回退的短名单闭环</x:v>
      </x:c>
      <x:c r="D23" s="19" t="str">
        <x:v>LOCAL128、OLDNN128、ZONE、FULL</x:v>
      </x:c>
      <x:c r="E23" s="19" t="str">
        <x:v>检验查询压缩是否转化为质量与完整控制时间收益</x:v>
      </x:c>
      <x:c r="F23" s="19" t="str">
        <x:v>OLDNN128通过原筛查，控制时间减少19.9%；LOCAL128少9.1%但未达门槛；ZONE失去2个FULL完整周</x:v>
      </x:c>
      <x:c r="G23" s="19" t="str">
        <x:v>早期搜索基线</x:v>
      </x:c>
      <x:c r="H23" s="19" t="str">
        <x:v>D:/Codex/GRL研究/outputs/grid16/GRID16_report.md</x:v>
      </x:c>
    </x:row>
    <x:row r="24" ht="67.5" customHeight="1">
      <x:c r="A24" s="19" t="str">
        <x:v>GRID17</x:v>
      </x:c>
      <x:c r="B24" s="19" t="str">
        <x:v>平台与计量</x:v>
      </x:c>
      <x:c r="C24" s="19" t="str">
        <x:v>断线端点修复资格</x:v>
      </x:c>
      <x:c r="D24" s="19" t="str">
        <x:v>原非法候选与修复候选12对</x:v>
      </x:c>
      <x:c r="E24" s="19" t="str">
        <x:v>验证已有动作修复适用于当前环境</x:v>
      </x:c>
      <x:c r="F24" s="19" t="str">
        <x:v>12/12修复后严格有效，2/12同时改善当前负载；不代表自然命中率</x:v>
      </x:c>
      <x:c r="G24" s="19" t="str">
        <x:v>成熟方法适配</x:v>
      </x:c>
      <x:c r="H24" s="19" t="str">
        <x:v>D:/Codex/GRL研究/outputs/grid17/GRID17_report.md</x:v>
      </x:c>
    </x:row>
    <x:row r="25" ht="67.5" customHeight="1">
      <x:c r="A25" s="19" t="str">
        <x:v>GRID18</x:v>
      </x:c>
      <x:c r="B25" s="19" t="str">
        <x:v>平台与计量</x:v>
      </x:c>
      <x:c r="C25" s="19" t="str">
        <x:v>端点修复完整搜索</x:v>
      </x:c>
      <x:c r="D25" s="19" t="str">
        <x:v>原完整搜索与修复后完整搜索</x:v>
      </x:c>
      <x:c r="E25" s="19" t="str">
        <x:v>检查动作语义修复的闭环影响</x:v>
      </x:c>
      <x:c r="F25" s="19" t="str">
        <x:v>4周同完成情况；4月、7月轨迹相同；10月整周成本减少7.6862%</x:v>
      </x:c>
      <x:c r="G25" s="19" t="str">
        <x:v>基础控制器修复，非GNN贡献</x:v>
      </x:c>
      <x:c r="H25" s="19" t="str">
        <x:v>D:/Codex/GRL研究/outputs/grid18/GRID18_report.md</x:v>
      </x:c>
    </x:row>
    <x:row r="26" ht="67.5" customHeight="1">
      <x:c r="A26" s="19" t="str">
        <x:v>GRID19</x:v>
      </x:c>
      <x:c r="B26" s="19" t="str">
        <x:v>数据与训练</x:v>
      </x:c>
      <x:c r="C26" s="19" t="str">
        <x:v>完整教师反馈采集</x:v>
      </x:c>
      <x:c r="D26" s="19" t="str">
        <x:v>修复后的完整搜索，训练/开发日期分组</x:v>
      </x:c>
      <x:c r="E26" s="19" t="str">
        <x:v>为排序训练与离线比较准备反馈</x:v>
      </x:c>
      <x:c r="F26" s="19" t="str">
        <x:v>固定采集16个新训练周、4开发周并保留旧4周；20训练周167状态、148有效目标</x:v>
      </x:c>
      <x:c r="G26" s="19" t="str">
        <x:v>训练数据来源</x:v>
      </x:c>
      <x:c r="H26" s="19" t="str">
        <x:v>D:/Codex/GRL研究/outputs/grid19/GRID19_report.md</x:v>
      </x:c>
    </x:row>
    <x:row r="27" ht="67.5" customHeight="1">
      <x:c r="A27" s="19" t="str">
        <x:v>GRID20</x:v>
      </x:c>
      <x:c r="B27" s="19" t="str">
        <x:v>早期GNN排序</x:v>
      </x:c>
      <x:c r="C27" s="19" t="str">
        <x:v>GNN排序V0</x:v>
      </x:c>
      <x:c r="D27" s="19" t="str">
        <x:v>GNN、MLP、PPO、规则及统计对照</x:v>
      </x:c>
      <x:c r="E27" s="19" t="str">
        <x:v>检查图模型是否能提高近最佳候选保留</x:v>
      </x:c>
      <x:c r="F27" s="19" t="str">
        <x:v>GNN两种子K128保留97.73%/93.18%；结果受种子影响，尚无新模型闭环</x:v>
      </x:c>
      <x:c r="G27" s="19" t="str">
        <x:v>历史模型探索</x:v>
      </x:c>
      <x:c r="H27" s="19" t="str">
        <x:v>D:/Codex/GRL研究/outputs/grid20/GRID20_report.md</x:v>
      </x:c>
    </x:row>
    <x:row r="28" ht="67.5" customHeight="1">
      <x:c r="A28" s="19" t="str">
        <x:v>GRID21</x:v>
      </x:c>
      <x:c r="B28" s="19" t="str">
        <x:v>早期GNN排序</x:v>
      </x:c>
      <x:c r="C28" s="19" t="str">
        <x:v>PPO先验有界残差V1</x:v>
      </x:c>
      <x:c r="D28" s="19" t="str">
        <x:v>同先验GNN、MLP、固定偏置、PRIOR_ONLY</x:v>
      </x:c>
      <x:c r="E28" s="19" t="str">
        <x:v>检查已有先验上的学习排序增量</x:v>
      </x:c>
      <x:c r="F28" s="19" t="str">
        <x:v>GNN两种子K128近最佳保留100%；多个对照共享先验，离线指标不能代替闭环</x:v>
      </x:c>
      <x:c r="G28" s="19" t="str">
        <x:v>历史学习模型</x:v>
      </x:c>
      <x:c r="H28" s="19" t="str">
        <x:v>D:/Codex/GRL研究/outputs/grid21/GRID21_report.md</x:v>
      </x:c>
    </x:row>
    <x:row r="29" ht="67.5" customHeight="1">
      <x:c r="A29" s="19" t="str">
        <x:v>GRID22</x:v>
      </x:c>
      <x:c r="B29" s="19" t="str">
        <x:v>早期GNN排序</x:v>
      </x:c>
      <x:c r="C29" s="19" t="str">
        <x:v>小短名单闭环</x:v>
      </x:c>
      <x:c r="D29" s="19" t="str">
        <x:v>GNN0/1、MLP、偏置、PPO32/128、FULL</x:v>
      </x:c>
      <x:c r="E29" s="19" t="str">
        <x:v>检验离线排序收益能否保持长期质量</x:v>
      </x:c>
      <x:c r="F29" s="19" t="str">
        <x:v>所有辅助角色筛查False；GNN1丢失九月完整周，其他方法也有成本退化</x:v>
      </x:c>
      <x:c r="G29" s="19" t="str">
        <x:v>历史不利结果</x:v>
      </x:c>
      <x:c r="H29" s="19" t="str">
        <x:v>D:/Codex/GRL研究/outputs/grid22/GRID22_report.md</x:v>
      </x:c>
    </x:row>
    <x:row r="30" ht="67.5" customHeight="1">
      <x:c r="A30" s="19" t="str">
        <x:v>GRID23</x:v>
      </x:c>
      <x:c r="B30" s="19" t="str">
        <x:v>早期GNN排序</x:v>
      </x:c>
      <x:c r="C30" s="19" t="str">
        <x:v>128候选及共同破并列</x:v>
      </x:c>
      <x:c r="D30" s="19" t="str">
        <x:v>GNN、MLP、偏置、PPO128、FULL</x:v>
      </x:c>
      <x:c r="E30" s="19" t="str">
        <x:v>检查更大候选池与精确选优能否修复质量</x:v>
      </x:c>
      <x:c r="F30" s="19" t="str">
        <x:v>均完成3/4，与FULL相同；GNN成本仍增加约2.69%/3.07%，辅助角色筛查均False</x:v>
      </x:c>
      <x:c r="G30" s="19" t="str">
        <x:v>说明质量保护必要</x:v>
      </x:c>
      <x:c r="H30" s="19" t="str">
        <x:v>D:/Codex/GRL研究/outputs/grid23/GRID23_report.md</x:v>
      </x:c>
    </x:row>
    <x:row r="31" ht="67.5" customHeight="1">
      <x:c r="A31" s="19" t="str">
        <x:v>GRID24</x:v>
      </x:c>
      <x:c r="B31" s="19" t="str">
        <x:v>早期停止与修复</x:v>
      </x:c>
      <x:c r="C31" s="19" t="str">
        <x:v>安全阈值触发完整回退</x:v>
      </x:c>
      <x:c r="D31" s="19" t="str">
        <x:v>GNN/PPO短名单守卫与FULL</x:v>
      </x:c>
      <x:c r="E31" s="19" t="str">
        <x:v>检验回退是否恢复原轨迹并省查询</x:v>
      </x:c>
      <x:c r="F31" s="19" t="str">
        <x:v>开发轨迹逐步等同FULL；不同日期查询少约21.69%～39.03%，未因此证明实际提速</x:v>
      </x:c>
      <x:c r="G31" s="19" t="str">
        <x:v>原质量守卫版本</x:v>
      </x:c>
      <x:c r="H31" s="19" t="str">
        <x:v>D:/Codex/GRL研究/outputs/grid24/GRID24_report.md
D:/Codex/GRL研究/outputs/grid24/GRID24_pilot_report.md</x:v>
      </x:c>
    </x:row>
    <x:row r="32" ht="67.5" customHeight="1">
      <x:c r="A32" s="19" t="str">
        <x:v>GRID25</x:v>
      </x:c>
      <x:c r="B32" s="19" t="str">
        <x:v>计时与工程归因</x:v>
      </x:c>
      <x:c r="C32" s="19" t="str">
        <x:v>统一串行计时试点</x:v>
      </x:c>
      <x:c r="D32" s="19" t="str">
        <x:v>同守卫FULL、GNN0/1、PPO</x:v>
      </x:c>
      <x:c r="E32" s="19" t="str">
        <x:v>建立完整控制计时协议</x:v>
      </x:c>
      <x:c r="F32" s="19" t="str">
        <x:v>仅4条试点；原约12.7%控制降幅不认证，正式测量改为GRID26</x:v>
      </x:c>
      <x:c r="G32" s="19" t="str">
        <x:v>计时修订历史</x:v>
      </x:c>
      <x:c r="H32" s="19" t="str">
        <x:v>D:/Codex/GRL研究/outputs/grid25/GRID25_pilot_report.md</x:v>
      </x:c>
    </x:row>
    <x:row r="33" ht="67.5" customHeight="1">
      <x:c r="A33" s="19" t="str">
        <x:v>GRID26</x:v>
      </x:c>
      <x:c r="B33" s="19" t="str">
        <x:v>计时与工程归因</x:v>
      </x:c>
      <x:c r="C33" s="19" t="str">
        <x:v>完整回退版正式计时</x:v>
      </x:c>
      <x:c r="D33" s="19" t="str">
        <x:v>FULL、两GNN、PPO，同规则</x:v>
      </x:c>
      <x:c r="E33" s="19" t="str">
        <x:v>检验查询减少能带来多少整套加速</x:v>
      </x:c>
      <x:c r="F33" s="19" t="str">
        <x:v>GNN查询少34.09%，搜索时间少19.55%/17.14%，完整控制只少1.40%/0.88%；PPO完整控制反向2.82%</x:v>
      </x:c>
      <x:c r="G33" s="19" t="str">
        <x:v>明确查询、搜索、整体速度不同</x:v>
      </x:c>
      <x:c r="H33" s="19" t="str">
        <x:v>D:/Codex/GRL研究/outputs/grid26/GRID26_report.md
D:/Codex/GRL研究/outputs/grid26/GRID26_contribution_report.md
D:/Codex/GRL研究/outputs/grid26/GRID26_pilot_report.md</x:v>
      </x:c>
    </x:row>
    <x:row r="34" ht="67.5" customHeight="1">
      <x:c r="A34" s="19" t="str">
        <x:v>GRID27</x:v>
      </x:c>
      <x:c r="B34" s="19" t="str">
        <x:v>早期停止与修复</x:v>
      </x:c>
      <x:c r="C34" s="19" t="str">
        <x:v>固定预算与停滞停止离线筛查</x:v>
      </x:c>
      <x:c r="D34" s="19" t="str">
        <x:v>FIXED256、PATIENCE64与完整回退</x:v>
      </x:c>
      <x:c r="E34" s="19" t="str">
        <x:v>减少全池回退并检查是否遗漏关键动作</x:v>
      </x:c>
      <x:c r="F34" s="19" t="str">
        <x:v>工程复算通过；GNN0查询约少57.02%/56.16%，但遗漏已知关键动作，未直接进入正式闭环</x:v>
      </x:c>
      <x:c r="G34" s="19" t="str">
        <x:v>反馈搜索前身，离线筛查</x:v>
      </x:c>
      <x:c r="H34" s="19" t="str">
        <x:v>D:/Codex/GRL研究/outputs/grid27/RUN_STATE.md
D:/Codex/GRL研究/outputs/grid27/offline.json
D:/Codex/GRL研究/outputs/grid27/RUN_STATE.md</x:v>
      </x:c>
    </x:row>
    <x:row r="35" ht="67.5" customHeight="1">
      <x:c r="A35" s="19" t="str">
        <x:v>GRID28</x:v>
      </x:c>
      <x:c r="B35" s="19" t="str">
        <x:v>早期FRAME原型</x:v>
      </x:c>
      <x:c r="C35" s="19" t="str">
        <x:v>分批停止加同站补查</x:v>
      </x:c>
      <x:c r="D35" s="19" t="str">
        <x:v>GNN排序、PPO排序及FULL</x:v>
      </x:c>
      <x:c r="E35" s="19" t="str">
        <x:v>检验同站补查能否补救简单截断</x:v>
      </x:c>
      <x:c r="F35" s="19" t="str">
        <x:v>12条开发回放；GNN查询少50.90%，控制少8.83%；PPO查询少47.78%，控制少3.45%；共同完整周最坏成本+0.1361%</x:v>
      </x:c>
      <x:c r="G35" s="19" t="str">
        <x:v>框架原型，单次计时</x:v>
      </x:c>
      <x:c r="H35" s="19" t="str">
        <x:v>D:/Codex/GRL研究/outputs/grid28/GRID28_accounting_report.md
D:/Codex/GRL研究/outputs/grid28/GRID28_all_report.md
D:/Codex/GRL研究/outputs/grid28/GRID28_pilot_report.md</x:v>
      </x:c>
    </x:row>
    <x:row r="36" ht="67.5" customHeight="1">
      <x:c r="A36" s="19" t="str">
        <x:v>GRID29</x:v>
      </x:c>
      <x:c r="B36" s="19" t="str">
        <x:v>计时与工程归因</x:v>
      </x:c>
      <x:c r="C36" s="19" t="str">
        <x:v>DC模型复用试点</x:v>
      </x:c>
      <x:c r="D36" s="19" t="str">
        <x:v>原控制器与DC缓存</x:v>
      </x:c>
      <x:c r="E36" s="19" t="str">
        <x:v>区分公共工程提速与搜索方法贡献</x:v>
      </x:c>
      <x:c r="F36" s="19" t="str">
        <x:v>轨迹成本相同；两重复控制降10.93%/0.39%，汇总6.19%，波动较大</x:v>
      </x:c>
      <x:c r="G36" s="19" t="str">
        <x:v>公共工程优化</x:v>
      </x:c>
      <x:c r="H36" s="19" t="str">
        <x:v>D:/Codex/GRL研究/outputs/grid29/GRID29_report.md</x:v>
      </x:c>
    </x:row>
    <x:row r="37" ht="67.5" customHeight="1">
      <x:c r="A37" s="19" t="str">
        <x:v>GRID29B</x:v>
      </x:c>
      <x:c r="B37" s="19" t="str">
        <x:v>计时与工程归因</x:v>
      </x:c>
      <x:c r="C37" s="19" t="str">
        <x:v>实际状态DC隔离探针</x:v>
      </x:c>
      <x:c r="D37" s="19" t="str">
        <x:v>原DC与缓存DC</x:v>
      </x:c>
      <x:c r="E37" s="19" t="str">
        <x:v>定位重复编译开销</x:v>
      </x:c>
      <x:c r="F37" s="19" t="str">
        <x:v>153组实际状态隔离探针DC少61.67%；154组三向量流量差0；不是完整控制加速</x:v>
      </x:c>
      <x:c r="G37" s="19" t="str">
        <x:v>组件归因</x:v>
      </x:c>
      <x:c r="H37" s="19" t="str">
        <x:v>D:/Codex/GRL研究/outputs/grid29b/GRID29B_report.md</x:v>
      </x:c>
    </x:row>
    <x:row r="38" ht="67.5" customHeight="1">
      <x:c r="A38" s="19" t="str">
        <x:v>GRID29C</x:v>
      </x:c>
      <x:c r="B38" s="19" t="str">
        <x:v>计时与工程归因</x:v>
      </x:c>
      <x:c r="C38" s="19" t="str">
        <x:v>完整两臂组件计时</x:v>
      </x:c>
      <x:c r="D38" s="19" t="str">
        <x:v>原控制器与DC缓存</x:v>
      </x:c>
      <x:c r="E38" s="19" t="str">
        <x:v>检查局部节省如何转化为整体时间</x:v>
      </x:c>
      <x:c r="F38" s="19" t="str">
        <x:v>两重复完整控制少6.45%/6.51%；DC省17.48/18.14秒，非DC部分反而更慢</x:v>
      </x:c>
      <x:c r="G38" s="19" t="str">
        <x:v>组件与整体不能混称</x:v>
      </x:c>
      <x:c r="H38" s="19" t="str">
        <x:v>D:/Codex/GRL研究/outputs/grid29c/GRID29C_report.md</x:v>
      </x:c>
    </x:row>
    <x:row r="39" ht="67.5" customHeight="1">
      <x:c r="A39" s="19" t="str">
        <x:v>GRID30</x:v>
      </x:c>
      <x:c r="B39" s="19" t="str">
        <x:v>平台与计量</x:v>
      </x:c>
      <x:c r="C39" s="19" t="str">
        <x:v>安全QP参数复用资格</x:v>
      </x:c>
      <x:c r="D39" s="19" t="str">
        <x:v>原QP与隔离缓存QP</x:v>
      </x:c>
      <x:c r="E39" s="19" t="str">
        <x:v>确保共享缓存不改变实际动作</x:v>
      </x:c>
      <x:c r="F39" s="19" t="str">
        <x:v>153次参数核对最大差4.33e−10 MW，动作重建相同；影子QP耗时少64.09%</x:v>
      </x:c>
      <x:c r="G39" s="19" t="str">
        <x:v>数值资格，不是整套提速</x:v>
      </x:c>
      <x:c r="H39" s="19" t="str">
        <x:v>D:/Codex/GRL研究/outputs/grid30/GRID30_qualification_report.md</x:v>
      </x:c>
    </x:row>
    <x:row r="40" ht="67.5" customHeight="1">
      <x:c r="A40" s="19" t="str">
        <x:v>GRID31</x:v>
      </x:c>
      <x:c r="B40" s="19" t="str">
        <x:v>计时与工程归因</x:v>
      </x:c>
      <x:c r="C40" s="19" t="str">
        <x:v>DC与安全QP共同复用</x:v>
      </x:c>
      <x:c r="D40" s="19" t="str">
        <x:v>ORIGINAL、DC_ONLY、DC_AND_SAFE</x:v>
      </x:c>
      <x:c r="E40" s="19" t="str">
        <x:v>确认公共复用的实际完整控制收益</x:v>
      </x:c>
      <x:c r="F40" s="19" t="str">
        <x:v>三月两重复，双复用控制少22.42%，动作、成本、查询均相同</x:v>
      </x:c>
      <x:c r="G40" s="19" t="str">
        <x:v>各算法共享，不能归于GNN/FRAME</x:v>
      </x:c>
      <x:c r="H40" s="19" t="str">
        <x:v>D:/Codex/GRL研究/outputs/grid31/GRID31_report.md</x:v>
      </x:c>
    </x:row>
    <x:row r="41" ht="67.5" customHeight="1">
      <x:c r="A41" s="19" t="str">
        <x:v>GRID32</x:v>
      </x:c>
      <x:c r="B41" s="19" t="str">
        <x:v>计时与工程归因</x:v>
      </x:c>
      <x:c r="C41" s="19" t="str">
        <x:v>共享复用跨开发周</x:v>
      </x:c>
      <x:c r="D41" s="19" t="str">
        <x:v>原FULL与双复用FULL</x:v>
      </x:c>
      <x:c r="E41" s="19" t="str">
        <x:v>检验公共工程优化在其他日期是否保持语义</x:v>
      </x:c>
      <x:c r="F41" s="19" t="str">
        <x:v>三单次配对控制少63.26%/61.89%/74.46%，轨迹成本相同；六月共同提前结束</x:v>
      </x:c>
      <x:c r="G41" s="19" t="str">
        <x:v>公共工程支持</x:v>
      </x:c>
      <x:c r="H41" s="19" t="str">
        <x:v>D:/Codex/GRL研究/outputs/grid32/GRID32_report.md</x:v>
      </x:c>
    </x:row>
    <x:row r="42" ht="67.5" customHeight="1">
      <x:c r="A42" s="19" t="str">
        <x:v>GRID33</x:v>
      </x:c>
      <x:c r="B42" s="19" t="str">
        <x:v>早期GNN排序</x:v>
      </x:c>
      <x:c r="C42" s="19" t="str">
        <x:v>现成排序器同状态比较</x:v>
      </x:c>
      <x:c r="D42" s="19" t="str">
        <x:v>GNN0/1、MLP0/1、PPO</x:v>
      </x:c>
      <x:c r="E42" s="19" t="str">
        <x:v>分离排序器在共同停止规则中的增量</x:v>
      </x:c>
      <x:c r="F42" s="19" t="str">
        <x:v>26状态查询7358/7530/7549/7826/7823；全部恢复关键动作，GNN必要性未建立</x:v>
      </x:c>
      <x:c r="G42" s="19" t="str">
        <x:v>离线排序诊断</x:v>
      </x:c>
      <x:c r="H42" s="19" t="str">
        <x:v>D:/Codex/GRL研究/outputs/grid33/GRID33_report.md</x:v>
      </x:c>
    </x:row>
    <x:row r="43" ht="67.5" customHeight="1">
      <x:c r="A43" s="19" t="str">
        <x:v>GRID34</x:v>
      </x:c>
      <x:c r="B43" s="19" t="str">
        <x:v>早期GNN排序</x:v>
      </x:c>
      <x:c r="C43" s="19" t="str">
        <x:v>所有强对照共享优化</x:v>
      </x:c>
      <x:c r="D43" s="19" t="str">
        <x:v>FULL、GNN0/1、MLP0/1、PPO</x:v>
      </x:c>
      <x:c r="E43" s="19" t="str">
        <x:v>在相同公共工程条件下比较模型增量</x:v>
      </x:c>
      <x:c r="F43" s="19" t="str">
        <x:v>48条回放；GNN完整控制较FULL少11.34%/11.79%，较PPO仅少0.12%/0.62%；MLP0有0.60247%成本退化</x:v>
      </x:c>
      <x:c r="G43" s="19" t="str">
        <x:v>学习增量较小</x:v>
      </x:c>
      <x:c r="H43" s="19" t="str">
        <x:v>D:/Codex/GRL研究/outputs/grid34/GRID34_report.md</x:v>
      </x:c>
    </x:row>
    <x:row r="44" ht="67.5" customHeight="1">
      <x:c r="A44" s="19" t="str">
        <x:v>GRID35</x:v>
      </x:c>
      <x:c r="B44" s="19" t="str">
        <x:v>早期GNN排序</x:v>
      </x:c>
      <x:c r="C44" s="19" t="str">
        <x:v>非学习排序离线消融</x:v>
      </x:c>
      <x:c r="D44" s="19" t="str">
        <x:v>STATIC_ID、LOCAL_STRESS与学习排序</x:v>
      </x:c>
      <x:c r="E44" s="19" t="str">
        <x:v>检验复杂模型是否必要</x:v>
      </x:c>
      <x:c r="F44" s="19" t="str">
        <x:v>静态/负载规则查询7879/6965，同FULL选择21/26和17/26；需闭环核验</x:v>
      </x:c>
      <x:c r="G44" s="19" t="str">
        <x:v>廉价顺序消融</x:v>
      </x:c>
      <x:c r="H44" s="19" t="str">
        <x:v>D:/Codex/GRL研究/outputs/grid35/GRID35_report.md</x:v>
      </x:c>
    </x:row>
    <x:row r="45" ht="67.5" customHeight="1">
      <x:c r="A45" s="19" t="str">
        <x:v>GRID35B</x:v>
      </x:c>
      <x:c r="B45" s="19" t="str">
        <x:v>早期GNN排序</x:v>
      </x:c>
      <x:c r="C45" s="19" t="str">
        <x:v>既有PHYSICS_TAIL离线诊断</x:v>
      </x:c>
      <x:c r="D45" s="19" t="str">
        <x:v>原物理启发式与GRID33排序</x:v>
      </x:c>
      <x:c r="E45" s="19" t="str">
        <x:v>检查原非学习模块的候选保留</x:v>
      </x:c>
      <x:c r="F45" s="19" t="str">
        <x:v>查询6748，同FULL选择17/26，恢复关键动作；尚非闭环</x:v>
      </x:c>
      <x:c r="G45" s="19" t="str">
        <x:v>已有启发式参照</x:v>
      </x:c>
      <x:c r="H45" s="19" t="str">
        <x:v>D:/Codex/GRL研究/outputs/grid35b/GRID35B_report.md</x:v>
      </x:c>
    </x:row>
    <x:row r="46" ht="67.5" customHeight="1">
      <x:c r="A46" s="19" t="str">
        <x:v>GRID36</x:v>
      </x:c>
      <x:c r="B46" s="19" t="str">
        <x:v>早期GNN排序</x:v>
      </x:c>
      <x:c r="C46" s="19" t="str">
        <x:v>廉价排序三月闭环</x:v>
      </x:c>
      <x:c r="D46" s="19" t="str">
        <x:v>STATIC_ID、PHYSICS_TAIL、LOCAL_STRESS</x:v>
      </x:c>
      <x:c r="E46" s="19" t="str">
        <x:v>确认少查询是否保持长期质量</x:v>
      </x:c>
      <x:c r="F46" s="19" t="str">
        <x:v>静态成本+0.372%通过；物理尾部+3.61164%、负载规则+4.01870%未通过</x:v>
      </x:c>
      <x:c r="G46" s="19" t="str">
        <x:v>廉价候选并非都有效</x:v>
      </x:c>
      <x:c r="H46" s="19" t="str">
        <x:v>D:/Codex/GRL研究/outputs/grid36/GRID36_report.md</x:v>
      </x:c>
    </x:row>
    <x:row r="47" ht="67.5" customHeight="1">
      <x:c r="A47" s="19" t="str">
        <x:v>GRID37</x:v>
      </x:c>
      <x:c r="B47" s="19" t="str">
        <x:v>早期GNN排序</x:v>
      </x:c>
      <x:c r="C47" s="19" t="str">
        <x:v>静态顺序与GNN公平计时</x:v>
      </x:c>
      <x:c r="D47" s="19" t="str">
        <x:v>STATIC_ID、GNN0/1、FULL</x:v>
      </x:c>
      <x:c r="E47" s="19" t="str">
        <x:v>检验GNN独有加速是否成立</x:v>
      </x:c>
      <x:c r="F47" s="19" t="str">
        <x:v>32条回放；静态质量8/8，控制较FULL少14.827%；GNN少14.607%/13.101%，均未显示稳定优于静态</x:v>
      </x:c>
      <x:c r="G47" s="19" t="str">
        <x:v>支持转向搜索框架贡献</x:v>
      </x:c>
      <x:c r="H47" s="19" t="str">
        <x:v>D:/Codex/GRL研究/outputs/grid37/GRID37_report.md</x:v>
      </x:c>
    </x:row>
    <x:row r="48" ht="67.5" customHeight="1">
      <x:c r="A48" s="19" t="str">
        <x:v>GRID38</x:v>
      </x:c>
      <x:c r="B48" s="19" t="str">
        <x:v>早期GNN排序</x:v>
      </x:c>
      <x:c r="C48" s="19" t="str">
        <x:v>一次训练目标修订</x:v>
      </x:c>
      <x:c r="D48" s="19" t="str">
        <x:v>原soft标签与混合最优标签，GNN/MLP各两种子</x:v>
      </x:c>
      <x:c r="E48" s="19" t="str">
        <x:v>检验目标对齐是否改进排序</x:v>
      </x:c>
      <x:c r="F48" s="19" t="str">
        <x:v>26状态查询变化有正有负；原/新同FULL选择并未一致改善，所有模型保留</x:v>
      </x:c>
      <x:c r="G48" s="19" t="str">
        <x:v>目标修改未建立稳定收益</x:v>
      </x:c>
      <x:c r="H48" s="19" t="str">
        <x:v>D:/Codex/GRL研究/outputs/grid38/GRID38_report.md</x:v>
      </x:c>
    </x:row>
    <x:row r="49" ht="67.5" customHeight="1">
      <x:c r="A49" s="19" t="str">
        <x:v>GRID39</x:v>
      </x:c>
      <x:c r="B49" s="19" t="str">
        <x:v>早期GNN排序</x:v>
      </x:c>
      <x:c r="C49" s="19" t="str">
        <x:v>修订目标GNN闭环</x:v>
      </x:c>
      <x:c r="D49" s="19" t="str">
        <x:v>FULL与REVISED_GNN0/1</x:v>
      </x:c>
      <x:c r="E49" s="19" t="str">
        <x:v>检验修订模型的质量与速度</x:v>
      </x:c>
      <x:c r="F49" s="19" t="str">
        <x:v>12条回放；两种子质量4/4，控制少11.03%/11.29%；不能拿旧批时间作改模收益</x:v>
      </x:c>
      <x:c r="G49" s="19" t="str">
        <x:v>历史模型资格</x:v>
      </x:c>
      <x:c r="H49" s="19" t="str">
        <x:v>D:/Codex/GRL研究/outputs/grid39/GRID39_report.md</x:v>
      </x:c>
    </x:row>
    <x:row r="50" ht="67.5" customHeight="1">
      <x:c r="A50" s="19" t="str">
        <x:v>GRID40</x:v>
      </x:c>
      <x:c r="B50" s="19" t="str">
        <x:v>外部排序适配</x:v>
      </x:c>
      <x:c r="C50" s="19" t="str">
        <x:v>SoftGNN原始适配拟合</x:v>
      </x:c>
      <x:c r="D50" s="19" t="str">
        <x:v>作者GAT与当前图输入接口</x:v>
      </x:c>
      <x:c r="E50" s="19" t="str">
        <x:v>建立近期图学习对照</x:v>
      </x:c>
      <x:c r="F50" s="19" t="str">
        <x:v>两次拟合完成；训练平台与收敛检查另见GRID40B；不是作者原任务完整复现</x:v>
      </x:c>
      <x:c r="G50" s="19" t="str">
        <x:v>模型适配准备</x:v>
      </x:c>
      <x:c r="H50" s="19" t="str">
        <x:v>D:/Codex/GRL研究/outputs/grid40/RUN_STATE.md</x:v>
      </x:c>
    </x:row>
    <x:row r="51" ht="67.5" customHeight="1">
      <x:c r="A51" s="19" t="str">
        <x:v>GRID40B</x:v>
      </x:c>
      <x:c r="B51" s="19" t="str">
        <x:v>外部排序适配</x:v>
      </x:c>
      <x:c r="C51" s="19" t="str">
        <x:v>SoftGNN训练优化核查</x:v>
      </x:c>
      <x:c r="D51" s="19" t="str">
        <x:v>原学习率与一次训练学习率修订</x:v>
      </x:c>
      <x:c r="E51" s="19" t="str">
        <x:v>避免用明显欠拟合的外部对照</x:v>
      </x:c>
      <x:c r="F51" s="19" t="str">
        <x:v>末端KL由3.07/2.99降至1.15/0.68；26状态查询8064/8004，同FULL22/26</x:v>
      </x:c>
      <x:c r="G51" s="19" t="str">
        <x:v>外部对照优化资格</x:v>
      </x:c>
      <x:c r="H51" s="19" t="str">
        <x:v>D:/Codex/GRL研究/outputs/grid40b/GRID40B_report.md</x:v>
      </x:c>
    </x:row>
    <x:row r="52" ht="67.5" customHeight="1">
      <x:c r="A52" s="19" t="str">
        <x:v>GRID41</x:v>
      </x:c>
      <x:c r="B52" s="19" t="str">
        <x:v>外部排序适配</x:v>
      </x:c>
      <x:c r="C52" s="19" t="str">
        <x:v>SoftGNN与原GNN闭环</x:v>
      </x:c>
      <x:c r="D52" s="19" t="str">
        <x:v>FULL、LOCAL_GNN0/1、SOFTGNN0/1</x:v>
      </x:c>
      <x:c r="E52" s="19" t="str">
        <x:v>比较同控制器下的排序方法</x:v>
      </x:c>
      <x:c r="F52" s="19" t="str">
        <x:v>原GNN质量4/4；SoftGNN两种子3/4，最坏成本+2.91%/+6.19%，速度不能掩盖质量差</x:v>
      </x:c>
      <x:c r="G52" s="19" t="str">
        <x:v>历史适配对照</x:v>
      </x:c>
      <x:c r="H52" s="19" t="str">
        <x:v>D:/Codex/GRL研究/outputs/grid41/GRID41_report.md</x:v>
      </x:c>
    </x:row>
    <x:row r="53" ht="67.5" customHeight="1">
      <x:c r="A53" s="19" t="str">
        <x:v>GRID42</x:v>
      </x:c>
      <x:c r="B53" s="19" t="str">
        <x:v>平台与计量</x:v>
      </x:c>
      <x:c r="C53" s="19" t="str">
        <x:v>局部补查首轮尝试</x:v>
      </x:c>
      <x:c r="D53" s="19" t="str">
        <x:v>共同补查方案，冻结前设计</x:v>
      </x:c>
      <x:c r="E53" s="19" t="str">
        <x:v>验证扩充局部补查的工程实现</x:v>
      </x:c>
      <x:c r="F53" s="19" t="str">
        <x:v>存在engineering_failure记录，未形成正式完整比较；不能计作完成的科学矩阵</x:v>
      </x:c>
      <x:c r="G53" s="19" t="str">
        <x:v>工程失败保留</x:v>
      </x:c>
      <x:c r="H53" s="19" t="str">
        <x:v>D:/Codex/GRL研究/outputs/grid42/engineering_failure.json
D:/Codex/GRL研究/outputs/grid42/design.json</x:v>
      </x:c>
    </x:row>
    <x:row r="54" ht="67.5" customHeight="1">
      <x:c r="A54" s="19" t="str">
        <x:v>GRID42B</x:v>
      </x:c>
      <x:c r="B54" s="19" t="str">
        <x:v>早期停止与修复</x:v>
      </x:c>
      <x:c r="C54" s="19" t="str">
        <x:v>即时并列的共同补查</x:v>
      </x:c>
      <x:c r="D54" s="19" t="str">
        <x:v>五种排序器原版与共同补查</x:v>
      </x:c>
      <x:c r="E54" s="19" t="str">
        <x:v>检查等价奖励动作与结构补查</x:v>
      </x:c>
      <x:c r="F54" s="19" t="str">
        <x:v>26状态上SoftGNN同FULL选择提高至24/26，查询增加；一步并列不能推导长期同成本</x:v>
      </x:c>
      <x:c r="G54" s="19" t="str">
        <x:v>离线修订</x:v>
      </x:c>
      <x:c r="H54" s="19" t="str">
        <x:v>D:/Codex/GRL研究/outputs/grid42b/GRID42_report.md</x:v>
      </x:c>
    </x:row>
    <x:row r="55" ht="72" customHeight="1">
      <x:c r="A55" s="19" t="str">
        <x:v>GRID43</x:v>
      </x:c>
      <x:c r="B55" s="19" t="str">
        <x:v>早期停止与修复</x:v>
      </x:c>
      <x:c r="C55" s="19" t="str">
        <x:v>共同补查闭环试点</x:v>
      </x:c>
      <x:c r="D55" s="19" t="str">
        <x:v>原模型与共同补查版本</x:v>
      </x:c>
      <x:c r="E55" s="19" t="str">
        <x:v>检查离线选择改善能否改善闭环</x:v>
      </x:c>
      <x:c r="F55" s="19" t="str">
        <x:v>只完成6条试点，联合质量门槛未达，后18条未启动；原模型成本未变、查询增加</x:v>
      </x:c>
      <x:c r="G55" s="19" t="str">
        <x:v>有界未采用版本</x:v>
      </x:c>
      <x:c r="H55" s="19" t="str">
        <x:v>D:/Codex/GRL研究/outputs/grid43/RUN_STATE.md
D:/Codex/GRL研究/outputs/grid43/closed_after_pilot.json
D:/Codex/GRL研究/outputs/grid43/pilot_audit.json
D:/Codex/GRL研究/outputs/grid43/RUN_STATE.md</x:v>
      </x:c>
    </x:row>
    <x:row r="56" ht="67.5" customHeight="1">
      <x:c r="A56" s="19" t="str">
        <x:v>GRID44</x:v>
      </x:c>
      <x:c r="B56" s="19" t="str">
        <x:v>早期GNN排序</x:v>
      </x:c>
      <x:c r="C56" s="19" t="str">
        <x:v>八日期确认</x:v>
      </x:c>
      <x:c r="D56" s="19" t="str">
        <x:v>原GNN、SoftGNN、PPO、FULL</x:v>
      </x:c>
      <x:c r="E56" s="19" t="str">
        <x:v>检查旧学习排序流程在预留日期的质量与计算</x:v>
      </x:c>
      <x:c r="F56" s="19" t="str">
        <x:v>8日期×2重复；原GNN质量14/16，SoftGNN14/16和12/16，PPO14/16；均完成但部分成本超门槛</x:v>
      </x:c>
      <x:c r="G56" s="19" t="str">
        <x:v>旧版本确认，非现FRAME</x:v>
      </x:c>
      <x:c r="H56" s="19" t="str">
        <x:v>D:/Codex/GRL研究/outputs/grid44/GRID44_report.md</x:v>
      </x:c>
    </x:row>
    <x:row r="57" ht="67.5" customHeight="1">
      <x:c r="A57" s="19" t="str">
        <x:v>GRID45</x:v>
      </x:c>
      <x:c r="B57" s="19" t="str">
        <x:v>数据与复核</x:v>
      </x:c>
      <x:c r="C57" s="19" t="str">
        <x:v>GRID44独立统计与缺口定位</x:v>
      </x:c>
      <x:c r="D57" s="19" t="str">
        <x:v>原96条保存结果重算</x:v>
      </x:c>
      <x:c r="E57" s="19" t="str">
        <x:v>查清质量退化来自哪类漏查</x:v>
      </x:c>
      <x:c r="F57" s="19" t="str">
        <x:v>按日期原GNN7/8、SoftGNN7/8和6/8；4月23日FULL更优候选未查，不是即时并列</x:v>
      </x:c>
      <x:c r="G57" s="19" t="str">
        <x:v>定位停止缺口，无新回放</x:v>
      </x:c>
      <x:c r="H57" s="19" t="str">
        <x:v>D:/Codex/GRL研究/outputs/grid45/GRID45_report.md</x:v>
      </x:c>
    </x:row>
    <x:row r="58" ht="67.5" customHeight="1">
      <x:c r="A58" s="19" t="str">
        <x:v>GRID46</x:v>
      </x:c>
      <x:c r="B58" s="19" t="str">
        <x:v>早期停止与修复</x:v>
      </x:c>
      <x:c r="C58" s="19" t="str">
        <x:v>原0.9阈值共同回补</x:v>
      </x:c>
      <x:c r="D58" s="19" t="str">
        <x:v>原查询与阈值保护查询</x:v>
      </x:c>
      <x:c r="E58" s="19" t="str">
        <x:v>检验保守回补能否恢复选择</x:v>
      </x:c>
      <x:c r="F58" s="19" t="str">
        <x:v>GNN/PPO均14893查询且26/26同FULL；SoftGNN仍24/26</x:v>
      </x:c>
      <x:c r="G58" s="19" t="str">
        <x:v>质量与计算端点</x:v>
      </x:c>
      <x:c r="H58" s="19" t="str">
        <x:v>D:/Codex/GRL研究/outputs/grid46/GRID46_report.md</x:v>
      </x:c>
    </x:row>
    <x:row r="59" ht="67.5" customHeight="1">
      <x:c r="A59" s="19" t="str">
        <x:v>GRID47</x:v>
      </x:c>
      <x:c r="B59" s="19" t="str">
        <x:v>早期停止与修复</x:v>
      </x:c>
      <x:c r="C59" s="19" t="str">
        <x:v>阈值回补闭环</x:v>
      </x:c>
      <x:c r="D59" s="19" t="str">
        <x:v>FULL、GNN、PPO、SoftGNN保护版</x:v>
      </x:c>
      <x:c r="E59" s="19" t="str">
        <x:v>检验回补保持质量的代价</x:v>
      </x:c>
      <x:c r="F59" s="19" t="str">
        <x:v>GNN/PPO质量4/4、完整周成本相同；GNN控制只少约3.46%/3.53%；SoftGNN仍3/4</x:v>
      </x:c>
      <x:c r="G59" s="19" t="str">
        <x:v>回补更贵，收益不归GNN</x:v>
      </x:c>
      <x:c r="H59" s="19" t="str">
        <x:v>D:/Codex/GRL研究/outputs/grid47/GRID47_report.md</x:v>
      </x:c>
    </x:row>
    <x:row r="60" ht="67.5" customHeight="1">
      <x:c r="A60" s="19" t="str">
        <x:v>GRID48</x:v>
      </x:c>
      <x:c r="B60" s="19" t="str">
        <x:v>早期GNN排序</x:v>
      </x:c>
      <x:c r="C60" s="19" t="str">
        <x:v>解除残差硬上限</x:v>
      </x:c>
      <x:c r="D60" s="19" t="str">
        <x:v>原模型与一版新评分，两种子</x:v>
      </x:c>
      <x:c r="E60" s="19" t="str">
        <x:v>检查评分上限是否限制有效排序</x:v>
      </x:c>
      <x:c r="F60" s="19" t="str">
        <x:v>种子0查询7358→7385，种子1为7530→7279；同FULL选择一升一降</x:v>
      </x:c>
      <x:c r="G60" s="19" t="str">
        <x:v>混合离线结果</x:v>
      </x:c>
      <x:c r="H60" s="19" t="str">
        <x:v>D:/Codex/GRL研究/outputs/grid48/GRID48_report.md</x:v>
      </x:c>
    </x:row>
    <x:row r="61" ht="72" customHeight="1">
      <x:c r="A61" s="19" t="str">
        <x:v>GRID49</x:v>
      </x:c>
      <x:c r="B61" s="19" t="str">
        <x:v>早期GNN排序</x:v>
      </x:c>
      <x:c r="C61" s="19" t="str">
        <x:v>解除硬上限闭环试点</x:v>
      </x:c>
      <x:c r="D61" s="19" t="str">
        <x:v>原GNN与改动GNN0/1</x:v>
      </x:c>
      <x:c r="E61" s="19" t="str">
        <x:v>核实单种子改善能否共同保持质量</x:v>
      </x:c>
      <x:c r="F61" s="19" t="str">
        <x:v>5条试点后双方种子联合质量门槛未达，余15条未启动</x:v>
      </x:c>
      <x:c r="G61" s="19" t="str">
        <x:v>未采用模型，不能择好种子</x:v>
      </x:c>
      <x:c r="H61" s="19" t="str">
        <x:v>D:/Codex/GRL研究/outputs/grid49/RUN_STATE.md
D:/Codex/GRL研究/outputs/grid49/closed_after_pilot.json
D:/Codex/GRL研究/outputs/grid49/pilot_audit.json
D:/Codex/GRL研究/outputs/grid49/RUN_STATE.md</x:v>
      </x:c>
    </x:row>
    <x:row r="62" ht="67.5" customHeight="1">
      <x:c r="A62" s="19" t="str">
        <x:v>GRID50</x:v>
      </x:c>
      <x:c r="B62" s="19" t="str">
        <x:v>早期GNN排序</x:v>
      </x:c>
      <x:c r="C62" s="19" t="str">
        <x:v>软压缩残差评分</x:v>
      </x:c>
      <x:c r="D62" s="19" t="str">
        <x:v>原有界评分与软压缩，两种子</x:v>
      </x:c>
      <x:c r="E62" s="19" t="str">
        <x:v>在不改网络下调整残差幅度</x:v>
      </x:c>
      <x:c r="F62" s="19" t="str">
        <x:v>表中两种子查询均变为7728（原7358/7530），同FULL选择均25/26；报告文字部分与表不一致，按数值表保留</x:v>
      </x:c>
      <x:c r="G62" s="19" t="str">
        <x:v>后续模型来源，注意源文残留</x:v>
      </x:c>
      <x:c r="H62" s="19" t="str">
        <x:v>D:/Codex/GRL研究/outputs/grid50/GRID50_report.md</x:v>
      </x:c>
    </x:row>
    <x:row r="63" ht="67.5" customHeight="1">
      <x:c r="A63" s="19" t="str">
        <x:v>GRID51</x:v>
      </x:c>
      <x:c r="B63" s="19" t="str">
        <x:v>早期GNN排序</x:v>
      </x:c>
      <x:c r="C63" s="19" t="str">
        <x:v>软压缩GNN开发闭环</x:v>
      </x:c>
      <x:c r="D63" s="19" t="str">
        <x:v>FULL、原GNN0/1、压缩GNN0/1</x:v>
      </x:c>
      <x:c r="E63" s="19" t="str">
        <x:v>检查软压缩模型质量与完整控制时间</x:v>
      </x:c>
      <x:c r="F63" s="19" t="str">
        <x:v>20条；各模型质量4/4，压缩两种子查询均7682；旧新时间差未一致偏向某一版</x:v>
      </x:c>
      <x:c r="G63" s="19" t="str">
        <x:v>历史模型试验</x:v>
      </x:c>
      <x:c r="H63" s="19" t="str">
        <x:v>D:/Codex/GRL研究/outputs/grid51/GRID51_report.md</x:v>
      </x:c>
    </x:row>
    <x:row r="64" ht="67.5" customHeight="1">
      <x:c r="A64" s="19" t="str">
        <x:v>GRID52</x:v>
      </x:c>
      <x:c r="B64" s="19" t="str">
        <x:v>早期GNN排序</x:v>
      </x:c>
      <x:c r="C64" s="19" t="str">
        <x:v>另一批八日期确认</x:v>
      </x:c>
      <x:c r="D64" s="19" t="str">
        <x:v>压缩GNN、SoftGNN、PPO、FULL</x:v>
      </x:c>
      <x:c r="E64" s="19" t="str">
        <x:v>检验软压缩评分的确认质量</x:v>
      </x:c>
      <x:c r="F64" s="19" t="str">
        <x:v>压缩与SoftGNN均16/16质量，PPO12/16且最坏成本+12.434%；压缩控制少14.465%/14.748%</x:v>
      </x:c>
      <x:c r="G64" s="19" t="str">
        <x:v>旧模型确认，不混入当前FRAME</x:v>
      </x:c>
      <x:c r="H64" s="19" t="str">
        <x:v>D:/Codex/GRL研究/outputs/grid52/GRID52_report.md</x:v>
      </x:c>
    </x:row>
    <x:row r="65" ht="67.5" customHeight="1">
      <x:c r="A65" s="19" t="str">
        <x:v>GRID53</x:v>
      </x:c>
      <x:c r="B65" s="19" t="str">
        <x:v>计时与工程归因</x:v>
      </x:c>
      <x:c r="C65" s="19" t="str">
        <x:v>旧新两批成绩归因</x:v>
      </x:c>
      <x:c r="D65" s="19" t="str">
        <x:v>GRID44与GRID52各自同批对照</x:v>
      </x:c>
      <x:c r="E65" s="19" t="str">
        <x:v>判断看似变慢是否由改模型造成</x:v>
      </x:c>
      <x:c r="F65" s="19" t="str">
        <x:v>两批日期不同，不能配对归因；开发同批种子0新快5.606%，种子1新慢0.678%</x:v>
      </x:c>
      <x:c r="G65" s="19" t="str">
        <x:v>避免跨批错误比较</x:v>
      </x:c>
      <x:c r="H65" s="19" t="str">
        <x:v>D:/Codex/GRL研究/outputs/grid53/GRID53_report.md</x:v>
      </x:c>
    </x:row>
    <x:row r="66" ht="67.5" customHeight="1">
      <x:c r="A66" s="19" t="str">
        <x:v>GRID54</x:v>
      </x:c>
      <x:c r="B66" s="19" t="str">
        <x:v>平台与计量</x:v>
      </x:c>
      <x:c r="C66" s="19" t="str">
        <x:v>public_prior元数据缓存资格</x:v>
      </x:c>
      <x:c r="D66" s="19" t="str">
        <x:v>原计算与缓存计算，130状态</x:v>
      </x:c>
      <x:c r="E66" s="19" t="str">
        <x:v>检验先验复用是否严格保持分数与排序</x:v>
      </x:c>
      <x:c r="F66" s="19" t="str">
        <x:v>精确分数/排序/排名/特征及运行时变更重建通过；无新预测或拟合</x:v>
      </x:c>
      <x:c r="G66" s="19" t="str">
        <x:v>公共缓存，不归GNN独有</x:v>
      </x:c>
      <x:c r="H66" s="19" t="str">
        <x:v>D:/Codex/GRL研究/outputs/grid54/RUN_STATE.md
D:/Codex/GRL研究/outputs/grid54/qualification.json
D:/Codex/GRL研究/outputs/grid54/RUN_STATE.md</x:v>
      </x:c>
    </x:row>
    <x:row r="67" ht="67.5" customHeight="1">
      <x:c r="A67" s="19" t="str">
        <x:v>GRID55</x:v>
      </x:c>
      <x:c r="B67" s="19" t="str">
        <x:v>早期GNN排序</x:v>
      </x:c>
      <x:c r="C67" s="19" t="str">
        <x:v>同日期旧新与强对照128条</x:v>
      </x:c>
      <x:c r="D67" s="19" t="str">
        <x:v>原/压缩GNN、SoftGNN、PPO、FULL</x:v>
      </x:c>
      <x:c r="E67" s="19" t="str">
        <x:v>对同日期进行对称版本比较</x:v>
      </x:c>
      <x:c r="F67" s="19" t="str">
        <x:v>原始128条完成；压缩种子1出现−63.316%时间异常；后续定位电源待机，不以此解释方法失败</x:v>
      </x:c>
      <x:c r="G67" s="19" t="str">
        <x:v>RAW版本保留，正式解释看55B</x:v>
      </x:c>
      <x:c r="H67" s="19" t="str">
        <x:v>D:/Codex/GRL研究/outputs/grid55/GRID55_report.md</x:v>
      </x:c>
    </x:row>
    <x:row r="68" ht="67.5" customHeight="1">
      <x:c r="A68" s="19" t="str">
        <x:v>GRID55B</x:v>
      </x:c>
      <x:c r="B68" s="19" t="str">
        <x:v>计时与工程归因</x:v>
      </x:c>
      <x:c r="C68" s="19" t="str">
        <x:v>待机修复后的同日期比较</x:v>
      </x:c>
      <x:c r="D68" s="19" t="str">
        <x:v>八方法同一受影响日期统一补测</x:v>
      </x:c>
      <x:c r="E68" s="19" t="str">
        <x:v>排除已识别工程计时污染</x:v>
      </x:c>
      <x:c r="F68" s="19" t="str">
        <x:v>保留原128条并新增8条；压缩种子控制少15.438%/16.065%，SoftGNN16.775%/17.062%；原GNN质量7/8日期</x:v>
      </x:c>
      <x:c r="G68" s="19" t="str">
        <x:v>工程修复后的历史配对</x:v>
      </x:c>
      <x:c r="H68" s="19" t="str">
        <x:v>D:/Codex/GRL研究/outputs/grid55b/GRID55B_report.md</x:v>
      </x:c>
    </x:row>
    <x:row r="69" ht="67.5" customHeight="1">
      <x:c r="A69" s="19" t="str">
        <x:v>GRID56</x:v>
      </x:c>
      <x:c r="B69" s="19" t="str">
        <x:v>数据与复核</x:v>
      </x:c>
      <x:c r="C69" s="19" t="str">
        <x:v>旧新版本最终证据收口</x:v>
      </x:c>
      <x:c r="D69" s="19" t="str">
        <x:v>GRID55B、原冻结判据、成本与种子</x:v>
      </x:c>
      <x:c r="E69" s="19" t="str">
        <x:v>区分质量选型、速度与训练成本</x:v>
      </x:c>
      <x:c r="F69" s="19" t="str">
        <x:v>压缩GNN质量通过且平均控制少15.752%；不比PPO/SoftGNN更快；保留全部旧版</x:v>
      </x:c>
      <x:c r="G69" s="19" t="str">
        <x:v>历史阶段归档，不算新独立实验</x:v>
      </x:c>
      <x:c r="H69" s="19" t="str">
        <x:v>D:/Codex/GRL研究/outputs/grid56/GRID56_report.md</x:v>
      </x:c>
    </x:row>
    <x:row r="70" ht="67.5" customHeight="1">
      <x:c r="A70" s="19" t="str">
        <x:v>GRID57</x:v>
      </x:c>
      <x:c r="B70" s="19" t="str">
        <x:v>早期GNN排序</x:v>
      </x:c>
      <x:c r="C70" s="19" t="str">
        <x:v>最终GNN静态消融</x:v>
      </x:c>
      <x:c r="D70" s="19" t="str">
        <x:v>压缩GNN与STATIC_ID</x:v>
      </x:c>
      <x:c r="E70" s="19" t="str">
        <x:v>检验最终GNN相对免费顺序的必要性</x:v>
      </x:c>
      <x:c r="F70" s="19" t="str">
        <x:v>静态质量8/8；GNN平均查询仅少1.897%，正向4/8，裁决MIXED</x:v>
      </x:c>
      <x:c r="G70" s="19" t="str">
        <x:v>GNN不作核心创新的关键证据</x:v>
      </x:c>
      <x:c r="H70" s="19" t="str">
        <x:v>D:/Codex/GRL研究/outputs/grid57/GRID57_report.md</x:v>
      </x:c>
    </x:row>
    <x:row r="71" ht="67.5" customHeight="1">
      <x:c r="A71" s="19" t="str">
        <x:v>GRID58</x:v>
      </x:c>
      <x:c r="B71" s="19" t="str">
        <x:v>早期GNN排序</x:v>
      </x:c>
      <x:c r="C71" s="19" t="str">
        <x:v>频次先验GNN拟合与离线资格</x:v>
      </x:c>
      <x:c r="D71" s="19" t="str">
        <x:v>两个频次GNN与STATIC_ID</x:v>
      </x:c>
      <x:c r="E71" s="19" t="str">
        <x:v>检验简化先验是否仍需学习</x:v>
      </x:c>
      <x:c r="F71" s="19" t="str">
        <x:v>两拟合完成；26状态查询7457/7520，静态7879；未建立闭环收益</x:v>
      </x:c>
      <x:c r="G71" s="19" t="str">
        <x:v>后续有界试点准备</x:v>
      </x:c>
      <x:c r="H71" s="19" t="str">
        <x:v>D:/Codex/GRL研究/outputs/grid58/RUN_STATE.md
D:/Codex/GRL研究/outputs/grid58/qualification.json
D:/Codex/GRL研究/outputs/grid58/RUN_STATE.md</x:v>
      </x:c>
    </x:row>
    <x:row r="72" ht="67.5" customHeight="1">
      <x:c r="A72" s="19" t="str">
        <x:v>GRID59</x:v>
      </x:c>
      <x:c r="B72" s="19" t="str">
        <x:v>早期GNN排序</x:v>
      </x:c>
      <x:c r="C72" s="19" t="str">
        <x:v>频次GNN闭环</x:v>
      </x:c>
      <x:c r="D72" s="19" t="str">
        <x:v>STATIC_ID、FREQUENCY_GNN0/1、FULL</x:v>
      </x:c>
      <x:c r="E72" s="19" t="str">
        <x:v>检验学习能否优于原频次顺序</x:v>
      </x:c>
      <x:c r="F72" s="19" t="str">
        <x:v>质量均4/4；GNN较静态查询少3.127%/2.675%，控制反而慢0.635%/0.506%</x:v>
      </x:c>
      <x:c r="G72" s="19" t="str">
        <x:v>支持聚焦非学习搜索机制</x:v>
      </x:c>
      <x:c r="H72" s="19" t="str">
        <x:v>D:/Codex/GRL研究/outputs/grid59/GRID59_report.md</x:v>
      </x:c>
    </x:row>
    <x:row r="73" ht="67.5" customHeight="1">
      <x:c r="A73" s="19" t="str">
        <x:v>GRID60</x:v>
      </x:c>
      <x:c r="B73" s="19" t="str">
        <x:v>深度与结构机制</x:v>
      </x:c>
      <x:c r="C73" s="19" t="str">
        <x:v>原框架离线机制资格</x:v>
      </x:c>
      <x:c r="D73" s="19" t="str">
        <x:v>FULL、FIRST_SAFE_BEST、NO_LOCAL、FRAME</x:v>
      </x:c>
      <x:c r="E73" s="19" t="str">
        <x:v>检查分批查询与同站补查是否改变选择</x:v>
      </x:c>
      <x:c r="F73" s="19" t="str">
        <x:v>26状态同FULL选择26/18/18/21；FRAME查询7879，NO_LOCAL7041；90次实际调用中补查改动作12次</x:v>
      </x:c>
      <x:c r="G73" s="19" t="str">
        <x:v>早期机制证据</x:v>
      </x:c>
      <x:c r="H73" s="19" t="str">
        <x:v>D:/Codex/GRL研究/outputs/grid60/GRID60_report.md</x:v>
      </x:c>
    </x:row>
    <x:row r="74" ht="67.5" customHeight="1">
      <x:c r="A74" s="19" t="str">
        <x:v>GRID61</x:v>
      </x:c>
      <x:c r="B74" s="19" t="str">
        <x:v>深度与结构机制</x:v>
      </x:c>
      <x:c r="C74" s="19" t="str">
        <x:v>原FRAME同排序消融</x:v>
      </x:c>
      <x:c r="D74" s="19" t="str">
        <x:v>FULL、FIRST_SAFE_BEST、NO_LOCAL、FRAME</x:v>
      </x:c>
      <x:c r="E74" s="19" t="str">
        <x:v>检查补查是否改善闭环质量</x:v>
      </x:c>
      <x:c r="F74" s="19" t="str">
        <x:v>4日期×2重复；FRAME质量8/8、NO_LOCAL6/8、首安全4/8；最坏成本+0.372%/+4.810%/+3.952%</x:v>
      </x:c>
      <x:c r="G74" s="19" t="str">
        <x:v>旧版核心消融</x:v>
      </x:c>
      <x:c r="H74" s="19" t="str">
        <x:v>D:/Codex/GRL研究/outputs/grid61/GRID61_report.md</x:v>
      </x:c>
    </x:row>
    <x:row r="75" ht="67.5" customHeight="1">
      <x:c r="A75" s="19" t="str">
        <x:v>GRID62</x:v>
      </x:c>
      <x:c r="B75" s="19" t="str">
        <x:v>场景验证</x:v>
      </x:c>
      <x:c r="C75" s="19" t="str">
        <x:v>原FRAME三个剩余日期确认</x:v>
      </x:c>
      <x:c r="D75" s="19" t="str">
        <x:v>同四臂</x:v>
      </x:c>
      <x:c r="E75" s="19" t="str">
        <x:v>检验原框架在剩余未用于结果的日期上表现</x:v>
      </x:c>
      <x:c r="F75" s="19" t="str">
        <x:v>均质量3/3、完成2/3；FRAME控制少6.086%，NO_LOCAL9.384%；FRAME成本最坏+0.014%</x:v>
      </x:c>
      <x:c r="G75" s="19" t="str">
        <x:v>新日期上的补查增量很小</x:v>
      </x:c>
      <x:c r="H75" s="19" t="str">
        <x:v>D:/Codex/GRL研究/outputs/grid62/GRID62_report.md</x:v>
      </x:c>
    </x:row>
    <x:row r="76" ht="67.5" customHeight="1">
      <x:c r="A76" s="19" t="str">
        <x:v>GRID63</x:v>
      </x:c>
      <x:c r="B76" s="19" t="str">
        <x:v>深度与结构机制</x:v>
      </x:c>
      <x:c r="C76" s="19" t="str">
        <x:v>原FRAME等预算全局扩展</x:v>
      </x:c>
      <x:c r="D76" s="19" t="str">
        <x:v>FRAME、GLOBAL_MATCH、FULL</x:v>
      </x:c>
      <x:c r="E76" s="19" t="str">
        <x:v>区分同站选择与单纯多查询</x:v>
      </x:c>
      <x:c r="F76" s="19" t="str">
        <x:v>7日期两策略均质量7/7且查询节省均74.092%；控制少14.016%/13.721%；未建立实质结构优势</x:v>
      </x:c>
      <x:c r="G76" s="19" t="str">
        <x:v>旧版结果，不能替代最终版证据</x:v>
      </x:c>
      <x:c r="H76" s="19" t="str">
        <x:v>D:/Codex/GRL研究/outputs/grid63/GRID63_report.md</x:v>
      </x:c>
    </x:row>
    <x:row r="77" ht="67.5" customHeight="1">
      <x:c r="A77" s="19" t="str">
        <x:v>GRID64</x:v>
      </x:c>
      <x:c r="B77" s="19" t="str">
        <x:v>会议方法适配</x:v>
      </x:c>
      <x:c r="C77" s="19" t="str">
        <x:v>停止限定META训练资格</x:v>
      </x:c>
      <x:c r="D77" s="19" t="str">
        <x:v>DoubleDQN停止适配2种子×3费用</x:v>
      </x:c>
      <x:c r="E77" s="19" t="str">
        <x:v>建立原会议内核的受控适配</x:v>
      </x:c>
      <x:c r="F77" s="19" t="str">
        <x:v>6次拟合；训练/评价家庭无重叠；校准选费用0.0025且匹配通过；未做闭环</x:v>
      </x:c>
      <x:c r="G77" s="19" t="str">
        <x:v>旧接口，不混同后续CONTEXT</x:v>
      </x:c>
      <x:c r="H77" s="19" t="str">
        <x:v>D:/Codex/GRL研究/outputs/grid64/RUN_STATE.md
D:/Codex/GRL研究/outputs/grid64/RUN_STATE.md</x:v>
      </x:c>
    </x:row>
    <x:row r="78" ht="67.5" customHeight="1">
      <x:c r="A78" s="19" t="str">
        <x:v>GRID65</x:v>
      </x:c>
      <x:c r="B78" s="19" t="str">
        <x:v>会议方法适配</x:v>
      </x:c>
      <x:c r="C78" s="19" t="str">
        <x:v>停止限定META闭环</x:v>
      </x:c>
      <x:c r="D78" s="19" t="str">
        <x:v>原FRAME、GLOBAL、META_DQN0/1、FULL</x:v>
      </x:c>
      <x:c r="E78" s="19" t="str">
        <x:v>比较规则搜索与论文来源停止策略</x:v>
      </x:c>
      <x:c r="F78" s="19" t="str">
        <x:v>7日期：FRAME7/7质量，META6/7及5/7；FRAME控制较FULL少13.583%；不是全方法同质量</x:v>
      </x:c>
      <x:c r="G78" s="19" t="str">
        <x:v>早期受限接口适配</x:v>
      </x:c>
      <x:c r="H78" s="19" t="str">
        <x:v>D:/Codex/GRL研究/outputs/grid65/GRID65_report.md</x:v>
      </x:c>
    </x:row>
    <x:row r="79" ht="67.5" customHeight="1">
      <x:c r="A79" s="19" t="str">
        <x:v>GRID66</x:v>
      </x:c>
      <x:c r="B79" s="19" t="str">
        <x:v>数据与复核</x:v>
      </x:c>
      <x:c r="C79" s="19" t="str">
        <x:v>日期暴露与计量复核</x:v>
      </x:c>
      <x:c r="D79" s="19" t="str">
        <x:v>历史运行和剩余日期名单</x:v>
      </x:c>
      <x:c r="E79" s="19" t="str">
        <x:v>确认后续可用评价日期及统计边界</x:v>
      </x:c>
      <x:c r="F79" s="19" t="str">
        <x:v>完成历史指标和六个本地未用结果日期资格检查，无新控制成绩</x:v>
      </x:c>
      <x:c r="G79" s="19" t="str">
        <x:v>场景划分与证据口径</x:v>
      </x:c>
      <x:c r="H79" s="19" t="str">
        <x:v>D:/Codex/GRL研究/outputs/grid66/RUN_STATE.md
D:/Codex/GRL研究/outputs/grid66/RUN_STATE.md</x:v>
      </x:c>
    </x:row>
    <x:row r="80" ht="67.5" customHeight="1">
      <x:c r="A80" s="19" t="str">
        <x:v>GRID67</x:v>
      </x:c>
      <x:c r="B80" s="19" t="str">
        <x:v>适用条件</x:v>
      </x:c>
      <x:c r="C80" s="19" t="str">
        <x:v>原FRAME参数敏感性</x:v>
      </x:c>
      <x:c r="D80" s="19" t="str">
        <x:v>prefix64/128/256、patience1/2/3</x:v>
      </x:c>
      <x:c r="E80" s="19" t="str">
        <x:v>检验旧版本是否依赖固定参数</x:v>
      </x:c>
      <x:c r="F80" s="19" t="str">
        <x:v>4开发日期；默认4/4，P64为3/4；改变参数未用于重新选择默认</x:v>
      </x:c>
      <x:c r="G80" s="19" t="str">
        <x:v>旧版参数结果，与GRID89分开</x:v>
      </x:c>
      <x:c r="H80" s="19" t="str">
        <x:v>D:/Codex/GRL研究/outputs/grid67/GRID67_report.md</x:v>
      </x:c>
    </x:row>
    <x:row r="81" ht="67.5" customHeight="1">
      <x:c r="A81" s="19" t="str">
        <x:v>GRID68</x:v>
      </x:c>
      <x:c r="B81" s="19" t="str">
        <x:v>场景验证</x:v>
      </x:c>
      <x:c r="C81" s="19" t="str">
        <x:v>原FRAME六日期扩展</x:v>
      </x:c>
      <x:c r="D81" s="19" t="str">
        <x:v>原FRAME、GLOBAL_MATCH、FULL</x:v>
      </x:c>
      <x:c r="E81" s="19" t="str">
        <x:v>检查旧框架在新评价日期的质量</x:v>
      </x:c>
      <x:c r="F81" s="19" t="str">
        <x:v>原FRAME质量4/6、完成5/6，最坏完整周成本+0.641%；FULL完成6/6</x:v>
      </x:c>
      <x:c r="G81" s="19" t="str">
        <x:v>暴露提前返回弱点</x:v>
      </x:c>
      <x:c r="H81" s="19" t="str">
        <x:v>D:/Codex/GRL研究/outputs/grid68/GRID68_report.md</x:v>
      </x:c>
    </x:row>
    <x:row r="82" ht="67.5" customHeight="1">
      <x:c r="A82" s="19" t="str">
        <x:v>GRID69</x:v>
      </x:c>
      <x:c r="B82" s="19" t="str">
        <x:v>深度与结构机制</x:v>
      </x:c>
      <x:c r="C82" s="19" t="str">
        <x:v>提前返回第一版修复</x:v>
      </x:c>
      <x:c r="D82" s="19" t="str">
        <x:v>原FRAME与统一核查/补查</x:v>
      </x:c>
      <x:c r="E82" s="19" t="str">
        <x:v>检验增加核查能否恢复原版退化</x:v>
      </x:c>
      <x:c r="F82" s="19" t="str">
        <x:v>6条试点；七月恢复整周，十二月改善，但三月成本+1.374%；未扩大该版</x:v>
      </x:c>
      <x:c r="G82" s="19" t="str">
        <x:v>修复的失败版本保留</x:v>
      </x:c>
      <x:c r="H82" s="19" t="str">
        <x:v>D:/Codex/GRL研究/outputs/grid69/修复与论文处理说明.md
D:/Codex/GRL研究/outputs/grid69/RUN_STATE.md
D:/Codex/GRL研究/outputs/grid69/RUN_STATE.md</x:v>
      </x:c>
    </x:row>
    <x:row r="83" ht="67.5" customHeight="1">
      <x:c r="A83" s="19" t="str">
        <x:v>GRID70</x:v>
      </x:c>
      <x:c r="B83" s="19" t="str">
        <x:v>深度与结构机制</x:v>
      </x:c>
      <x:c r="C83" s="19" t="str">
        <x:v>最终固定核查FRAME_GUARD</x:v>
      </x:c>
      <x:c r="D83" s="19" t="str">
        <x:v>原FRAME、FULL及第二版修复</x:v>
      </x:c>
      <x:c r="E83" s="19" t="str">
        <x:v>检验条件核查与条件补查能否保持质量</x:v>
      </x:c>
      <x:c r="F83" s="19" t="str">
        <x:v>全部13日期质量13/13，完整11/13同FULL；活跃匹配日期查询少61.999%，最坏成本+0.372%</x:v>
      </x:c>
      <x:c r="G83" s="19" t="str">
        <x:v>当前方法的实现锚点</x:v>
      </x:c>
      <x:c r="H83" s="19" t="str">
        <x:v>D:/Codex/GRL研究/outputs/grid70/GRID70_report.md</x:v>
      </x:c>
    </x:row>
    <x:row r="84" ht="67.5" customHeight="1">
      <x:c r="A84" s="19" t="str">
        <x:v>GRID71</x:v>
      </x:c>
      <x:c r="B84" s="19" t="str">
        <x:v>文献与设计</x:v>
      </x:c>
      <x:c r="C84" s="19" t="str">
        <x:v>创新性与对照方案</x:v>
      </x:c>
      <x:c r="D84" s="19" t="str">
        <x:v>ICAPS2022、AAAI2024及电网相关工作</x:v>
      </x:c>
      <x:c r="E84" s="19" t="str">
        <x:v>明确新意与公平对照需要什么</x:v>
      </x:c>
      <x:c r="F84" s="19" t="str">
        <x:v>文献核对与技术假设，未训练、未冻结新回放</x:v>
      </x:c>
      <x:c r="G84" s="19" t="str">
        <x:v>设计材料，不计科学效果样本</x:v>
      </x:c>
      <x:c r="H84" s="19" t="str">
        <x:v>D:/Codex/GRL研究/outputs/grid71_contribution_design/创新性与会议对照强化方案.md</x:v>
      </x:c>
    </x:row>
    <x:row r="85" ht="67.5" customHeight="1">
      <x:c r="A85" s="19" t="str">
        <x:v>GRID72</x:v>
      </x:c>
      <x:c r="B85" s="19" t="str">
        <x:v>学习门控消融</x:v>
      </x:c>
      <x:c r="C85" s="19" t="str">
        <x:v>条件核查随机森林V1</x:v>
      </x:c>
      <x:c r="D85" s="19" t="str">
        <x:v>普通输入与结构输入</x:v>
      </x:c>
      <x:c r="E85" s="19" t="str">
        <x:v>检验学习门控能否省去不必要核查</x:v>
      </x:c>
      <x:c r="F85" s="19" t="str">
        <x:v>14校准状态；省查询2.934%/5.868%，均未达10%门槛；未启动闭环</x:v>
      </x:c>
      <x:c r="G85" s="19" t="str">
        <x:v>门控未通过</x:v>
      </x:c>
      <x:c r="H85" s="19" t="str">
        <x:v>D:/Codex/GRL研究/outputs/grid72/GRID72_report.md</x:v>
      </x:c>
    </x:row>
    <x:row r="86" ht="67.5" customHeight="1">
      <x:c r="A86" s="19" t="str">
        <x:v>GRID73</x:v>
      </x:c>
      <x:c r="B86" s="19" t="str">
        <x:v>学习门控消融</x:v>
      </x:c>
      <x:c r="C86" s="19" t="str">
        <x:v>分区校准小决策树</x:v>
      </x:c>
      <x:c r="D86" s="19" t="str">
        <x:v>普通树与结构树</x:v>
      </x:c>
      <x:c r="E86" s="19" t="str">
        <x:v>检验更简单分区是否改善门控</x:v>
      </x:c>
      <x:c r="F86" s="19" t="str">
        <x:v>省查询0%/2.934%，均未达资格；无闭环</x:v>
      </x:c>
      <x:c r="G86" s="19" t="str">
        <x:v>否定本次小树方案</x:v>
      </x:c>
      <x:c r="H86" s="19" t="str">
        <x:v>D:/Codex/GRL研究/outputs/grid73/GRID73_report.md</x:v>
      </x:c>
    </x:row>
    <x:row r="87" ht="67.5" customHeight="1">
      <x:c r="A87" s="19" t="str">
        <x:v>GRID74</x:v>
      </x:c>
      <x:c r="B87" s="19" t="str">
        <x:v>学习门控消融</x:v>
      </x:c>
      <x:c r="C87" s="19" t="str">
        <x:v>64候选探针后门控</x:v>
      </x:c>
      <x:c r="D87" s="19" t="str">
        <x:v>普通输入与结构输入</x:v>
      </x:c>
      <x:c r="E87" s="19" t="str">
        <x:v>检验先获得少量反馈再跳过核查</x:v>
      </x:c>
      <x:c r="F87" s="19" t="str">
        <x:v>普通省5.868%、结构1.467%，均未达10%门槛</x:v>
      </x:c>
      <x:c r="G87" s="19" t="str">
        <x:v>结构计数无稳定增量</x:v>
      </x:c>
      <x:c r="H87" s="19" t="str">
        <x:v>D:/Codex/GRL研究/outputs/grid74/GRID74_report.md</x:v>
      </x:c>
    </x:row>
    <x:row r="88" ht="67.5" customHeight="1">
      <x:c r="A88" s="19" t="str">
        <x:v>GRID75</x:v>
      </x:c>
      <x:c r="B88" s="19" t="str">
        <x:v>学习门控消融</x:v>
      </x:c>
      <x:c r="C88" s="19" t="str">
        <x:v>电网上下文增强资格</x:v>
      </x:c>
      <x:c r="D88" s="19" t="str">
        <x:v>普通24维与结构输入</x:v>
      </x:c>
      <x:c r="E88" s="19" t="str">
        <x:v>检验真实状态上下文是否帮助门控</x:v>
      </x:c>
      <x:c r="F88" s="19" t="str">
        <x:v>普通省11.735%通过，结构5.868%未通过；只进入普通门控闭环资格</x:v>
      </x:c>
      <x:c r="G88" s="19" t="str">
        <x:v>未证明结构学习必要</x:v>
      </x:c>
      <x:c r="H88" s="19" t="str">
        <x:v>D:/Codex/GRL研究/outputs/grid75/GRID75_report.md</x:v>
      </x:c>
    </x:row>
    <x:row r="89" ht="67.5" customHeight="1">
      <x:c r="A89" s="19" t="str">
        <x:v>GRID76</x:v>
      </x:c>
      <x:c r="B89" s="19" t="str">
        <x:v>学习门控消融</x:v>
      </x:c>
      <x:c r="C89" s="19" t="str">
        <x:v>普通上下文门控13日期</x:v>
      </x:c>
      <x:c r="D89" s="19" t="str">
        <x:v>CONTEXT_GATE、FRAME_GUARD及历史FULL</x:v>
      </x:c>
      <x:c r="E89" s="19" t="str">
        <x:v>检验可跳过部分核查的闭环效果</x:v>
      </x:c>
      <x:c r="F89" s="19" t="str">
        <x:v>质量13/13、完整11/13；查询宏平均少66.468%；单次新计时不与旧批计时拼提速</x:v>
      </x:c>
      <x:c r="G89" s="19" t="str">
        <x:v>开发门控，非当前最终版</x:v>
      </x:c>
      <x:c r="H89" s="19" t="str">
        <x:v>D:/Codex/GRL研究/outputs/grid76/GRID76_report.md</x:v>
      </x:c>
    </x:row>
    <x:row r="90" ht="67.5" customHeight="1">
      <x:c r="A90" s="19" t="str">
        <x:v>GRID77</x:v>
      </x:c>
      <x:c r="B90" s="19" t="str">
        <x:v>会议方法适配</x:v>
      </x:c>
      <x:c r="C90" s="19" t="str">
        <x:v>相同上下文与FRAME委托META</x:v>
      </x:c>
      <x:c r="D90" s="19" t="str">
        <x:v>2种子×3费用，25维状态/3种元动作</x:v>
      </x:c>
      <x:c r="E90" s="19" t="str">
        <x:v>补齐对手的信息与核查权限</x:v>
      </x:c>
      <x:c r="F90" s="19" t="str">
        <x:v>6拟合；共同校准质量匹配False，按原规则固定费用0；全部模型保留</x:v>
      </x:c>
      <x:c r="G90" s="19" t="str">
        <x:v>后续META配置锚点</x:v>
      </x:c>
      <x:c r="H90" s="19" t="str">
        <x:v>D:/Codex/GRL研究/outputs/grid77/GRID77_report.md</x:v>
      </x:c>
    </x:row>
    <x:row r="91" ht="67.5" customHeight="1">
      <x:c r="A91" s="19" t="str">
        <x:v>GRID78</x:v>
      </x:c>
      <x:c r="B91" s="19" t="str">
        <x:v>会议方法适配</x:v>
      </x:c>
      <x:c r="C91" s="19" t="str">
        <x:v>共同权限META闭环</x:v>
      </x:c>
      <x:c r="D91" s="19" t="str">
        <x:v>CONTEXT_GATE、META_CONTEXT0/1及历史FULL</x:v>
      </x:c>
      <x:c r="E91" s="19" t="str">
        <x:v>检查更公平接口下的质量与查询</x:v>
      </x:c>
      <x:c r="F91" s="19" t="str">
        <x:v>14条；META两种子质量均6/7；查询15937/11361，门控10171</x:v>
      </x:c>
      <x:c r="G91" s="19" t="str">
        <x:v>不称全场景同质量胜出</x:v>
      </x:c>
      <x:c r="H91" s="19" t="str">
        <x:v>D:/Codex/GRL研究/outputs/grid78/GRID78_report.md</x:v>
      </x:c>
    </x:row>
    <x:row r="92" ht="67.5" customHeight="1">
      <x:c r="A92" s="19" t="str">
        <x:v>GRID79</x:v>
      </x:c>
      <x:c r="B92" s="19" t="str">
        <x:v>会议方法适配</x:v>
      </x:c>
      <x:c r="C92" s="19" t="str">
        <x:v>共同权限同批反向计时</x:v>
      </x:c>
      <x:c r="D92" s="19" t="str">
        <x:v>FULL、上下文门控、META0/1</x:v>
      </x:c>
      <x:c r="E92" s="19" t="str">
        <x:v>核实开发七日期实际控制速度与波动</x:v>
      </x:c>
      <x:c r="F92" s="19" t="str">
        <x:v>56条；门控质量7/7，META均6/7；门控较FULL时间少12.056%，较META少7.241%/2.976%</x:v>
      </x:c>
      <x:c r="G92" s="19" t="str">
        <x:v>旧门控计时，不冒充最终FRAME</x:v>
      </x:c>
      <x:c r="H92" s="19" t="str">
        <x:v>D:/Codex/GRL研究/outputs/grid79/GRID79_report.md</x:v>
      </x:c>
    </x:row>
    <x:row r="93" ht="67.5" customHeight="1">
      <x:c r="A93" s="19" t="str">
        <x:v>GRID80</x:v>
      </x:c>
      <x:c r="B93" s="19" t="str">
        <x:v>场景验证</x:v>
      </x:c>
      <x:c r="C93" s="19" t="str">
        <x:v>2036生成时序资格</x:v>
      </x:c>
      <x:c r="D93" s="19" t="str">
        <x:v>官方生成器、固定主种子20261016</x:v>
      </x:c>
      <x:c r="E93" s="19" t="str">
        <x:v>准备相同电网下新的随机运行场景</x:v>
      </x:c>
      <x:c r="F93" s="19" t="str">
        <x:v>六个预定日历日期生成与资格通过；原中断和续跑收据保留</x:v>
      </x:c>
      <x:c r="G93" s="19" t="str">
        <x:v>数据生成，不是方法效果实验</x:v>
      </x:c>
      <x:c r="H93" s="19" t="str">
        <x:v>D:/Codex/GRL研究/outputs/grid80/RUN_STATE.md
D:/Codex/GRL研究/outputs/grid80/qualification.json
D:/Codex/GRL研究/outputs/grid80/RUN_STATE.md</x:v>
      </x:c>
    </x:row>
    <x:row r="94" ht="67.5" customHeight="1">
      <x:c r="A94" s="19" t="str">
        <x:v>GRID81</x:v>
      </x:c>
      <x:c r="B94" s="19" t="str">
        <x:v>学习门控消融</x:v>
      </x:c>
      <x:c r="C94" s="19" t="str">
        <x:v>G1新场景与门控消融</x:v>
      </x:c>
      <x:c r="D94" s="19" t="str">
        <x:v>FULL、CONTEXT_GATE、FRAME_GUARD、随机门控0/1</x:v>
      </x:c>
      <x:c r="E94" s="19" t="str">
        <x:v>检验框架和学习门控各自的作用</x:v>
      </x:c>
      <x:c r="F94" s="19" t="str">
        <x:v>全部质量6/6、完整4/6；FRAME对FULL查询少65.10%、控制少14.98%；学习门控较固定核查快−0.040%，随机增量筛查False</x:v>
      </x:c>
      <x:c r="G94" s="19" t="str">
        <x:v>框架有效，学习门控无清楚必要性</x:v>
      </x:c>
      <x:c r="H94" s="19" t="str">
        <x:v>D:/Codex/GRL研究/outputs/grid81/GRID81_report.md</x:v>
      </x:c>
    </x:row>
    <x:row r="95" ht="67.5" customHeight="1">
      <x:c r="A95" s="19" t="str">
        <x:v>GRID82</x:v>
      </x:c>
      <x:c r="B95" s="19" t="str">
        <x:v>会议方法适配</x:v>
      </x:c>
      <x:c r="C95" s="19" t="str">
        <x:v>G1最终FRAME与两META种子</x:v>
      </x:c>
      <x:c r="D95" s="19" t="str">
        <x:v>FRAME_GUARD、META_CONTEXT0/1</x:v>
      </x:c>
      <x:c r="E95" s="19" t="str">
        <x:v>最终固定规则与同权限会议适配同批比较</x:v>
      </x:c>
      <x:c r="F95" s="19" t="str">
        <x:v>36条；均质量6/6、完整4/6；FRAME对种子0/1时间少6.435%/0.017%，后一混合且很小</x:v>
      </x:c>
      <x:c r="G95" s="19" t="str">
        <x:v>两种子结果，保留区别</x:v>
      </x:c>
      <x:c r="H95" s="19" t="str">
        <x:v>D:/Codex/GRL研究/outputs/grid82/GRID82_report.md</x:v>
      </x:c>
    </x:row>
    <x:row r="96" ht="67.5" customHeight="1">
      <x:c r="A96" s="19" t="str">
        <x:v>GRID83</x:v>
      </x:c>
      <x:c r="B96" s="19" t="str">
        <x:v>文献与设计</x:v>
      </x:c>
      <x:c r="C96" s="19" t="str">
        <x:v>原文/代码与委托行为归因</x:v>
      </x:c>
      <x:c r="D96" s="19" t="str">
        <x:v>ICAPS2022及GRID82元动作记录</x:v>
      </x:c>
      <x:c r="E96" s="19" t="str">
        <x:v>查清适配范围、委托FRAME及创新定位</x:v>
      </x:c>
      <x:c r="F96" s="19" t="str">
        <x:v>种子0/1分别4/32、27/30首决策委托FRAME；非原论文A*/RRT*任务完整复现</x:v>
      </x:c>
      <x:c r="G96" s="19" t="str">
        <x:v>适配解释，不是新增胜负实验</x:v>
      </x:c>
      <x:c r="H96" s="19" t="str">
        <x:v>D:/Codex/GRL研究/outputs/grid83_alignment/ICAPS2022对标与贡献重写方案.md
D:/Codex/GRL研究/outputs/grid83_alignment/中文论证替换段落_供用户审改.md</x:v>
      </x:c>
    </x:row>
    <x:row r="97" ht="67.5" customHeight="1">
      <x:c r="A97" s="19" t="str">
        <x:v>GRID84</x:v>
      </x:c>
      <x:c r="B97" s="19" t="str">
        <x:v>会议方法适配</x:v>
      </x:c>
      <x:c r="C97" s="19" t="str">
        <x:v>G1五训练种子同批比较</x:v>
      </x:c>
      <x:c r="D97" s="19" t="str">
        <x:v>FRAME_GUARD、META_CONTEXT0–4，费用0</x:v>
      </x:c>
      <x:c r="E97" s="19" t="str">
        <x:v>检验小幅速度优势对训练随机性的稳定性</x:v>
      </x:c>
      <x:c r="F97" s="19" t="str">
        <x:v>各方法质量6/6、完整4/6；FRAME五种子平均时间少2.228%，范围−0.296%～7.550%；强提速判据仅1/5</x:v>
      </x:c>
      <x:c r="G97" s="19" t="str">
        <x:v>小幅平均优势，整体加强判据False</x:v>
      </x:c>
      <x:c r="H97" s="19" t="str">
        <x:v>D:/Codex/GRL研究/outputs/grid84/GRID84_report.md</x:v>
      </x:c>
    </x:row>
    <x:row r="98" ht="67.5" customHeight="1">
      <x:c r="A98" s="19" t="str">
        <x:v>GRID85</x:v>
      </x:c>
      <x:c r="B98" s="19" t="str">
        <x:v>深度与结构机制</x:v>
      </x:c>
      <x:c r="C98" s="19" t="str">
        <x:v>既有反馈机制重算</x:v>
      </x:c>
      <x:c r="D98" s="19" t="str">
        <x:v>最终FRAME、NO_LOCAL、GLOBAL、固定预算</x:v>
      </x:c>
      <x:c r="E98" s="19" t="str">
        <x:v>解释核查为什么改变动作、同站位置是否有用</x:v>
      </x:c>
      <x:c r="F98" s="19" t="str">
        <x:v>137 FULL状态、131实际调用；早期rho&lt;0.9后仍改动作12/39和2/12；同站等预算旧14胜0负，新3胜1负</x:v>
      </x:c>
      <x:c r="G98" s="19" t="str">
        <x:v>同状态机制证据，非新闭环</x:v>
      </x:c>
      <x:c r="H98" s="19" t="str">
        <x:v>D:/Codex/GRL研究/outputs/grid85_mechanism/GRID85_report.md</x:v>
      </x:c>
    </x:row>
    <x:row r="99" ht="67.5" customHeight="1">
      <x:c r="A99" s="19" t="str">
        <x:v>GRID86</x:v>
      </x:c>
      <x:c r="B99" s="19" t="str">
        <x:v>深度与结构机制</x:v>
      </x:c>
      <x:c r="C99" s="19" t="str">
        <x:v>G1最终FRAME对固定预算</x:v>
      </x:c>
      <x:c r="D99" s="19" t="str">
        <x:v>FRAME_GUARD、FIXED256、FIXED512</x:v>
      </x:c>
      <x:c r="E99" s="19" t="str">
        <x:v>检验反馈深度是否优于统一预算</x:v>
      </x:c>
      <x:c r="F99" s="19" t="str">
        <x:v>均质量6/6；FRAME对512查询少40.893%、时间少7.099%；对256查询更多、时间慢2.021%</x:v>
      </x:c>
      <x:c r="G99" s="19" t="str">
        <x:v>固定256在G1具有竞争力</x:v>
      </x:c>
      <x:c r="H99" s="19" t="str">
        <x:v>D:/Codex/GRL研究/outputs/grid86/GRID86_report.md</x:v>
      </x:c>
    </x:row>
    <x:row r="100" ht="67.5" customHeight="1">
      <x:c r="A100" s="19" t="str">
        <x:v>GRID87</x:v>
      </x:c>
      <x:c r="B100" s="19" t="str">
        <x:v>深度与结构机制</x:v>
      </x:c>
      <x:c r="C100" s="19" t="str">
        <x:v>D组固定256质量回归</x:v>
      </x:c>
      <x:c r="D100" s="19" t="str">
        <x:v>FIXED256与冻结FULL/GUARD质量</x:v>
      </x:c>
      <x:c r="E100" s="19" t="str">
        <x:v>检验低预算的便宜结果能否覆盖旧13日期</x:v>
      </x:c>
      <x:c r="F100" s="19" t="str">
        <x:v>固定256质量9/13、FRAME13/13；均完整11/13；固定版最坏完整周成本+4.424%</x:v>
      </x:c>
      <x:c r="G100" s="19" t="str">
        <x:v>低预算质量边界，无同批提速</x:v>
      </x:c>
      <x:c r="H100" s="19" t="str">
        <x:v>D:/Codex/GRL研究/outputs/grid87/GRID87_report.md</x:v>
      </x:c>
    </x:row>
    <x:row r="101" ht="67.5" customHeight="1">
      <x:c r="A101" s="19" t="str">
        <x:v>GRID88</x:v>
      </x:c>
      <x:c r="B101" s="19" t="str">
        <x:v>深度与结构机制</x:v>
      </x:c>
      <x:c r="C101" s="19" t="str">
        <x:v>D组固定512同批计时</x:v>
      </x:c>
      <x:c r="D101" s="19" t="str">
        <x:v>FRAME_GUARD、FIXED512</x:v>
      </x:c>
      <x:c r="E101" s="19" t="str">
        <x:v>检验统一增大预算能否兼顾质量和计算</x:v>
      </x:c>
      <x:c r="F101" s="19" t="str">
        <x:v>质量13/13对11/13，均完整11/13；FRAME查询少33.573%、时间少3.883%；未过同质量5%筛查</x:v>
      </x:c>
      <x:c r="G101" s="19" t="str">
        <x:v>支持质量—计算组合，非显著同质量加速</x:v>
      </x:c>
      <x:c r="H101" s="19" t="str">
        <x:v>D:/Codex/GRL研究/outputs/grid88/GRID88_report.md</x:v>
      </x:c>
    </x:row>
    <x:row r="102" ht="67.5" customHeight="1">
      <x:c r="A102" s="19" t="str">
        <x:v>GRID89</x:v>
      </x:c>
      <x:c r="B102" s="19" t="str">
        <x:v>综合补强</x:v>
      </x:c>
      <x:c r="C102" s="19" t="str">
        <x:v>G2确认、顺序、参数与非零META</x:v>
      </x:c>
      <x:c r="D102" s="19" t="str">
        <x:v>独立种子FULL/固定512/等预算；多顺序、多参数、多META种子</x:v>
      </x:c>
      <x:c r="E102" s="19" t="str">
        <x:v>检查当前FRAME的实际计算、深度与位置及适用边界</x:v>
      </x:c>
      <x:c r="F102" s="19" t="str">
        <x:v>246条完成；G2 FRAME质量6/6、完整5/6，查询少60.728%、控制少14.301%；固定512和GLOBAL各质量5/6；换序/参数/META不利结果另列</x:v>
      </x:c>
      <x:c r="G102" s="19" t="str">
        <x:v>当前主结果；各子实验在贡献总表拆开</x:v>
      </x:c>
      <x:c r="H102" s="19" t="str">
        <x:v>D:/Codex/GRL研究/outputs/grid89_review/GRID89_report.md</x:v>
      </x:c>
    </x:row>
  </x:sheetData>
  <x:pageMargins left="0.7" right="0.7" top="0.75" bottom="0.75" header="0.3" footer="0.3"/>
  <x:tableParts count="1">
    <x:tablePart xmlns:r="http://schemas.openxmlformats.org/officeDocument/2006/relationships" r:id="Re4fe950ae1f44ee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.5" hidden="0" customWidth="1"/>
    <x:col min="2" max="2" width="37.5" hidden="0" customWidth="1"/>
    <x:col min="3" max="3" width="52.5" hidden="0" customWidth="1"/>
    <x:col min="4" max="4" width="62.5" hidden="0" customWidth="1"/>
    <x:col min="5" max="5" width="46.25" hidden="0" customWidth="1"/>
    <x:col min="6" max="6" width="56.25" hidden="0" customWidth="1"/>
    <x:col min="7" max="7" width="18.75" hidden="0" customWidth="1"/>
    <x:col min="8" max="8" width="87.5" hidden="0" customWidth="1"/>
  </x:cols>
  <x:sheetData>
    <x:row r="2" ht="30" customHeight="1">
      <x:c r="A2" s="1" t="str">
        <x:v>各报告原表指标</x:v>
      </x:c>
    </x:row>
    <x:row r="4" ht="22.5" customHeight="1">
      <x:c r="A4" s="2" t="str">
        <x:v>4710个原表单元逐项保留。原列名、计数单位与源版本不改；同一轮不同报告或两次计时不是新的独立实验。</x:v>
      </x:c>
    </x:row>
    <x:row r="6" ht="33" customHeight="1">
      <x:c r="A6" s="8" t="str">
        <x:v>编号</x:v>
      </x:c>
      <x:c r="B6" s="8" t="str">
        <x:v>报告文件</x:v>
      </x:c>
      <x:c r="C6" s="8" t="str">
        <x:v>原表与章节</x:v>
      </x:c>
      <x:c r="D6" s="8" t="str">
        <x:v>原行上下文</x:v>
      </x:c>
      <x:c r="E6" s="8" t="str">
        <x:v>原指标/列名</x:v>
      </x:c>
      <x:c r="F6" s="8" t="str">
        <x:v>原值</x:v>
      </x:c>
      <x:c r="G6" s="8" t="str">
        <x:v>指标类别</x:v>
      </x:c>
      <x:c r="H6" s="8" t="str">
        <x:v>来源路径</x:v>
      </x:c>
    </x:row>
    <x:row r="7" ht="42.75" customHeight="1">
      <x:c r="A7" s="19" t="str">
        <x:v>GRID00</x:v>
      </x:c>
      <x:c r="B7" s="19" t="str">
        <x:v>GRID00_report.md</x:v>
      </x:c>
      <x:c r="C7" s="19" t="str">
        <x:v>1. 2. 已运行的范围与结果</x:v>
      </x:c>
      <x:c r="D7" s="19" t="str">
        <x:v>项目=隔离环境；实测结果=Python 3.12.14；Grid2Op 1.12.5；LightSim2Grid 1.1.0；PandaPower 3.5.6</x:v>
      </x:c>
      <x:c r="E7" s="19" t="str">
        <x:v>实测结果</x:v>
      </x:c>
      <x:c r="F7" s="19" t="str">
        <x:v>Python 3.12.14；Grid2Op 1.12.5；LightSim2Grid 1.1.0；PandaPower 3.5.6</x:v>
      </x:c>
      <x:c r="G7" s="19" t="str">
        <x:v>其他/配置</x:v>
      </x:c>
      <x:c r="H7" s="19" t="str">
        <x:v>D:/Codex/GRL研究/outputs/grid00/GRID00_report.md</x:v>
      </x:c>
    </x:row>
    <x:row r="8" ht="36" customHeight="1">
      <x:c r="A8" s="19" t="str">
        <x:v>GRID00</x:v>
      </x:c>
      <x:c r="B8" s="19" t="str">
        <x:v>GRID00_report.md</x:v>
      </x:c>
      <x:c r="C8" s="19" t="str">
        <x:v>1. 2. 已运行的范围与结果</x:v>
      </x:c>
      <x:c r="D8" s="19" t="str">
        <x:v>项目=电网；实测结果=118 变电站、186 线路、62 发电机、99 负荷、7 储能</x:v>
      </x:c>
      <x:c r="E8" s="19" t="str">
        <x:v>实测结果</x:v>
      </x:c>
      <x:c r="F8" s="19" t="str">
        <x:v>118 变电站、186 线路、62 发电机、99 负荷、7 储能</x:v>
      </x:c>
      <x:c r="G8" s="19" t="str">
        <x:v>其他/配置</x:v>
      </x:c>
      <x:c r="H8" s="19" t="str">
        <x:v>D:/Codex/GRL研究/outputs/grid00/GRID00_report.md</x:v>
      </x:c>
    </x:row>
    <x:row r="9" ht="42.75" customHeight="1">
      <x:c r="A9" s="19" t="str">
        <x:v>GRID00</x:v>
      </x:c>
      <x:c r="B9" s="19" t="str">
        <x:v>GRID00_report.md</x:v>
      </x:c>
      <x:c r="C9" s="19" t="str">
        <x:v>1. 2. 已运行的范围与结果</x:v>
      </x:c>
      <x:c r="D9" s="19" t="str">
        <x:v>项目=随包数据；实测结果=2 个测试场景，完整文件哈希已保存；实际只执行 `2035-01-15_0`</x:v>
      </x:c>
      <x:c r="E9" s="19" t="str">
        <x:v>实测结果</x:v>
      </x:c>
      <x:c r="F9" s="19" t="str">
        <x:v>2 个测试场景，完整文件哈希已保存；实际只执行 `2035-01-15_0`</x:v>
      </x:c>
      <x:c r="G9" s="19" t="str">
        <x:v>其他/配置</x:v>
      </x:c>
      <x:c r="H9" s="19" t="str">
        <x:v>D:/Codex/GRL研究/outputs/grid00/GRID00_report.md</x:v>
      </x:c>
    </x:row>
    <x:row r="10" ht="42.75" customHeight="1">
      <x:c r="A10" s="19" t="str">
        <x:v>GRID00</x:v>
      </x:c>
      <x:c r="B10" s="19" t="str">
        <x:v>GRID00_report.md</x:v>
      </x:c>
      <x:c r="C10" s="19" t="str">
        <x:v>1. 2. 已运行的范围与结果</x:v>
      </x:c>
      <x:c r="D10" s="19" t="str">
        <x:v>项目=接口控制；实测结果=DoNothing、RecoPowerline 各重复两次，共 4 条×24 步＝96 个实际步</x:v>
      </x:c>
      <x:c r="E10" s="19" t="str">
        <x:v>实测结果</x:v>
      </x:c>
      <x:c r="F10" s="19" t="str">
        <x:v>DoNothing、RecoPowerline 各重复两次，共 4 条×24 步＝96 个实际步</x:v>
      </x:c>
      <x:c r="G10" s="19" t="str">
        <x:v>其他/配置</x:v>
      </x:c>
      <x:c r="H10" s="19" t="str">
        <x:v>D:/Codex/GRL研究/outputs/grid00/GRID00_report.md</x:v>
      </x:c>
    </x:row>
    <x:row r="11" ht="42.75" customHeight="1">
      <x:c r="A11" s="19" t="str">
        <x:v>GRID00</x:v>
      </x:c>
      <x:c r="B11" s="19" t="str">
        <x:v>GRID00_report.md</x:v>
      </x:c>
      <x:c r="C11" s="19" t="str">
        <x:v>1. 2. 已运行的范围与结果</x:v>
      </x:c>
      <x:c r="D11" s="19" t="str">
        <x:v>项目=复现；实测结果=各方法两次运行的全部观测、动作、奖励、终止和错误标志完全一致</x:v>
      </x:c>
      <x:c r="E11" s="19" t="str">
        <x:v>实测结果</x:v>
      </x:c>
      <x:c r="F11" s="19" t="str">
        <x:v>各方法两次运行的全部观测、动作、奖励、终止和错误标志完全一致</x:v>
      </x:c>
      <x:c r="G11" s="19" t="str">
        <x:v>其他/配置</x:v>
      </x:c>
      <x:c r="H11" s="19" t="str">
        <x:v>D:/Codex/GRL研究/outputs/grid00/GRID00_report.md</x:v>
      </x:c>
    </x:row>
    <x:row r="12" ht="42.75" customHeight="1">
      <x:c r="A12" s="19" t="str">
        <x:v>GRID00</x:v>
      </x:c>
      <x:c r="B12" s="19" t="str">
        <x:v>GRID00_report.md</x:v>
      </x:c>
      <x:c r="C12" s="19" t="str">
        <x:v>1. 2. 已运行的范围与结果</x:v>
      </x:c>
      <x:c r="D12" s="19" t="str">
        <x:v>项目=原生判定；实测结果=96 步中 illegal 0、ambiguous 0、异常步骤 0，均未终止</x:v>
      </x:c>
      <x:c r="E12" s="19" t="str">
        <x:v>实测结果</x:v>
      </x:c>
      <x:c r="F12" s="19" t="str">
        <x:v>96 步中 illegal 0、ambiguous 0、异常步骤 0，均未终止</x:v>
      </x:c>
      <x:c r="G12" s="19" t="str">
        <x:v>其他/配置</x:v>
      </x:c>
      <x:c r="H12" s="19" t="str">
        <x:v>D:/Codex/GRL研究/outputs/grid00/GRID00_report.md</x:v>
      </x:c>
    </x:row>
    <x:row r="13" ht="42.75" customHeight="1">
      <x:c r="A13" s="19" t="str">
        <x:v>GRID00</x:v>
      </x:c>
      <x:c r="B13" s="19" t="str">
        <x:v>GRID00_report.md</x:v>
      </x:c>
      <x:c r="C13" s="19" t="str">
        <x:v>1. 2. 已运行的范围与结果</x:v>
      </x:c>
      <x:c r="D13" s="19" t="str">
        <x:v>项目=预测调用；实测结果=初始状态分别调用 horizon=1、12，均返回有效结果；没有测试所有中间时距</x:v>
      </x:c>
      <x:c r="E13" s="19" t="str">
        <x:v>实测结果</x:v>
      </x:c>
      <x:c r="F13" s="19" t="str">
        <x:v>初始状态分别调用 horizon=1、12，均返回有效结果；没有测试所有中间时距</x:v>
      </x:c>
      <x:c r="G13" s="19" t="str">
        <x:v>其他/配置</x:v>
      </x:c>
      <x:c r="H13" s="19" t="str">
        <x:v>D:/Codex/GRL研究/outputs/grid00/GRID00_report.md</x:v>
      </x:c>
    </x:row>
    <x:row r="14" ht="42.75" customHeight="1">
      <x:c r="A14" s="19" t="str">
        <x:v>GRID00</x:v>
      </x:c>
      <x:c r="B14" s="19" t="str">
        <x:v>GRID00_report.md</x:v>
      </x:c>
      <x:c r="C14" s="19" t="str">
        <x:v>1. 2. 已运行的范围与结果</x:v>
      </x:c>
      <x:c r="D14" s="19" t="str">
        <x:v>项目=状态隔离；实测结果=初始状态、do-nothing、horizon 1/12 两次调用后，当前观测、线路起点信息数组与实际步号均不变；高精度模拟计数依次 0→1→2</x:v>
      </x:c>
      <x:c r="E14" s="19" t="str">
        <x:v>实测结果</x:v>
      </x:c>
      <x:c r="F14" s="19" t="str">
        <x:v>初始状态、do-nothing、horizon 1/12 两次调用后，当前观测、线路起点信息数组与实际步号均不变；高精度模拟计数依次 0→1→2</x:v>
      </x:c>
      <x:c r="G14" s="19" t="str">
        <x:v>其他/配置</x:v>
      </x:c>
      <x:c r="H14" s="19" t="str">
        <x:v>D:/Codex/GRL研究/outputs/grid00/GRID00_report.md</x:v>
      </x:c>
    </x:row>
    <x:row r="15" ht="42.75" customHeight="1">
      <x:c r="A15" s="19" t="str">
        <x:v>GRID00</x:v>
      </x:c>
      <x:c r="B15" s="19" t="str">
        <x:v>GRID00_report.md</x:v>
      </x:c>
      <x:c r="C15" s="19" t="str">
        <x:v>1. 2. 已运行的范围与结果</x:v>
      </x:c>
      <x:c r="D15" s="19" t="str">
        <x:v>项目=时间；实测结果=首次导入 8.116 秒；建环境 1.225 秒；导入后直到收尾错误共 3.667 秒；父进程总计约 12.25 秒</x:v>
      </x:c>
      <x:c r="E15" s="19" t="str">
        <x:v>实测结果</x:v>
      </x:c>
      <x:c r="F15" s="19" t="str">
        <x:v>首次导入 8.116 秒；建环境 1.225 秒；导入后直到收尾错误共 3.667 秒；父进程总计约 12.25 秒</x:v>
      </x:c>
      <x:c r="G15" s="19" t="str">
        <x:v>其他/配置</x:v>
      </x:c>
      <x:c r="H15" s="19" t="str">
        <x:v>D:/Codex/GRL研究/outputs/grid00/GRID00_report.md</x:v>
      </x:c>
    </x:row>
    <x:row r="16" ht="42.75" customHeight="1">
      <x:c r="A16" s="19" t="str">
        <x:v>GRID00</x:v>
      </x:c>
      <x:c r="B16" s="19" t="str">
        <x:v>GRID00_report.md</x:v>
      </x:c>
      <x:c r="C16" s="19" t="str">
        <x:v>2. 3. 强基线检查：已定位，但未运行通过</x:v>
      </x:c>
      <x:c r="D16" s="19" t="str">
        <x:v>项目=电网/动作资产匹配；当前结论=作者明确指定 IDF 2023；未下载动作或模型资产，未核对动作向量维度</x:v>
      </x:c>
      <x:c r="E16" s="19" t="str">
        <x:v>当前结论</x:v>
      </x:c>
      <x:c r="F16" s="19" t="str">
        <x:v>作者明确指定 IDF 2023；未下载动作或模型资产，未核对动作向量维度</x:v>
      </x:c>
      <x:c r="G16" s="19" t="str">
        <x:v>其他/配置</x:v>
      </x:c>
      <x:c r="H16" s="19" t="str">
        <x:v>D:/Codex/GRL研究/outputs/grid00/GRID00_report.md</x:v>
      </x:c>
    </x:row>
    <x:row r="17" ht="42.75" customHeight="1">
      <x:c r="A17" s="19" t="str">
        <x:v>GRID00</x:v>
      </x:c>
      <x:c r="B17" s="19" t="str">
        <x:v>GRID00_report.md</x:v>
      </x:c>
      <x:c r="C17" s="19" t="str">
        <x:v>2. 3. 强基线检查：已定位，但未运行通过</x:v>
      </x:c>
      <x:c r="D17" s="19" t="str">
        <x:v>项目=搜索组成；当前结论=拓扑候选搜索、重连、恢复拓扑、连续优化组合；存在 NN Top-k 版本</x:v>
      </x:c>
      <x:c r="E17" s="19" t="str">
        <x:v>当前结论</x:v>
      </x:c>
      <x:c r="F17" s="19" t="str">
        <x:v>拓扑候选搜索、重连、恢复拓扑、连续优化组合；存在 NN Top-k 版本</x:v>
      </x:c>
      <x:c r="G17" s="19" t="str">
        <x:v>其他/配置</x:v>
      </x:c>
      <x:c r="H17" s="19" t="str">
        <x:v>D:/Codex/GRL研究/outputs/grid00/GRID00_report.md</x:v>
      </x:c>
    </x:row>
    <x:row r="18" ht="42.75" customHeight="1">
      <x:c r="A18" s="19" t="str">
        <x:v>GRID00</x:v>
      </x:c>
      <x:c r="B18" s="19" t="str">
        <x:v>GRID00_report.md</x:v>
      </x:c>
      <x:c r="C18" s="19" t="str">
        <x:v>2. 3. 强基线检查：已定位，但未运行通过</x:v>
      </x:c>
      <x:c r="D18" s="19" t="str">
        <x:v>项目=信息权限；当前结论=读取区域映射及后端静态线路/变压器参数，公平对照应拥有相同权限</x:v>
      </x:c>
      <x:c r="E18" s="19" t="str">
        <x:v>当前结论</x:v>
      </x:c>
      <x:c r="F18" s="19" t="str">
        <x:v>读取区域映射及后端静态线路/变压器参数，公平对照应拥有相同权限</x:v>
      </x:c>
      <x:c r="G18" s="19" t="str">
        <x:v>其他/配置</x:v>
      </x:c>
      <x:c r="H18" s="19" t="str">
        <x:v>D:/Codex/GRL研究/outputs/grid00/GRID00_report.md</x:v>
      </x:c>
    </x:row>
    <x:row r="19" ht="42.75" customHeight="1">
      <x:c r="A19" s="19" t="str">
        <x:v>GRID00</x:v>
      </x:c>
      <x:c r="B19" s="19" t="str">
        <x:v>GRID00_report.md</x:v>
      </x:c>
      <x:c r="C19" s="19" t="str">
        <x:v>2. 3. 强基线检查：已定位，但未运行通过</x:v>
      </x:c>
      <x:c r="D19" s="19" t="str">
        <x:v>项目=搜索奖励；当前结论=按模拟奖励排序；复现须使用作者指定奖励，最终评价另行明确</x:v>
      </x:c>
      <x:c r="E19" s="19" t="str">
        <x:v>当前结论</x:v>
      </x:c>
      <x:c r="F19" s="19" t="str">
        <x:v>按模拟奖励排序；复现须使用作者指定奖励，最终评价另行明确</x:v>
      </x:c>
      <x:c r="G19" s="19" t="str">
        <x:v>其他/配置</x:v>
      </x:c>
      <x:c r="H19" s="19" t="str">
        <x:v>D:/Codex/GRL研究/outputs/grid00/GRID00_report.md</x:v>
      </x:c>
    </x:row>
    <x:row r="20" ht="42.75" customHeight="1">
      <x:c r="A20" s="19" t="str">
        <x:v>GRID00</x:v>
      </x:c>
      <x:c r="B20" s="19" t="str">
        <x:v>GRID00_report.md</x:v>
      </x:c>
      <x:c r="C20" s="19" t="str">
        <x:v>2. 3. 强基线检查：已定位，但未运行通过</x:v>
      </x:c>
      <x:c r="D20" s="19" t="str">
        <x:v>项目=计算成本；当前结论=一次 `act` 可能触发很多次模拟，必须计入动作构建、预测、优化和模拟总成本</x:v>
      </x:c>
      <x:c r="E20" s="19" t="str">
        <x:v>当前结论</x:v>
      </x:c>
      <x:c r="F20" s="19" t="str">
        <x:v>一次 `act` 可能触发很多次模拟，必须计入动作构建、预测、优化和模拟总成本</x:v>
      </x:c>
      <x:c r="G20" s="19" t="str">
        <x:v>其他/配置</x:v>
      </x:c>
      <x:c r="H20" s="19" t="str">
        <x:v>D:/Codex/GRL研究/outputs/grid00/GRID00_report.md</x:v>
      </x:c>
    </x:row>
    <x:row r="21" ht="42.75" customHeight="1">
      <x:c r="A21" s="19" t="str">
        <x:v>GRID00</x:v>
      </x:c>
      <x:c r="B21" s="19" t="str">
        <x:v>GRID00_report.md</x:v>
      </x:c>
      <x:c r="C21" s="19" t="str">
        <x:v>2. 3. 强基线检查：已定位，但未运行通过</x:v>
      </x:c>
      <x:c r="D21" s="19" t="str">
        <x:v>项目=兼容性；当前结论=`np.NaN` 在当前 NumPy 2.4.6 已移除；源码构造函数仍使用。原版不能直接标为可运行</x:v>
      </x:c>
      <x:c r="E21" s="19" t="str">
        <x:v>当前结论</x:v>
      </x:c>
      <x:c r="F21" s="19" t="str">
        <x:v>`np.NaN` 在当前 NumPy 2.4.6 已移除；源码构造函数仍使用。原版不能直接标为可运行</x:v>
      </x:c>
      <x:c r="G21" s="19" t="str">
        <x:v>其他/配置</x:v>
      </x:c>
      <x:c r="H21" s="19" t="str">
        <x:v>D:/Codex/GRL研究/outputs/grid00/GRID00_report.md</x:v>
      </x:c>
    </x:row>
    <x:row r="22" ht="42.75" customHeight="1">
      <x:c r="A22" s="19" t="str">
        <x:v>GRID00</x:v>
      </x:c>
      <x:c r="B22" s="19" t="str">
        <x:v>GRID00_report.md</x:v>
      </x:c>
      <x:c r="C22" s="19" t="str">
        <x:v>2. 3. 强基线检查：已定位，但未运行通过</x:v>
      </x:c>
      <x:c r="D22" s="19" t="str">
        <x:v>项目=发布入口；当前结论=`evaluate.py` 的构造参数次序与 `LJNAgent` 签名相反；需要核对推荐工厂入口，不能盲跑</x:v>
      </x:c>
      <x:c r="E22" s="19" t="str">
        <x:v>当前结论</x:v>
      </x:c>
      <x:c r="F22" s="19" t="str">
        <x:v>`evaluate.py` 的构造参数次序与 `LJNAgent` 签名相反；需要核对推荐工厂入口，不能盲跑</x:v>
      </x:c>
      <x:c r="G22" s="19" t="str">
        <x:v>其他/配置</x:v>
      </x:c>
      <x:c r="H22" s="19" t="str">
        <x:v>D:/Codex/GRL研究/outputs/grid00/GRID00_report.md</x:v>
      </x:c>
    </x:row>
    <x:row r="23" ht="36" customHeight="1">
      <x:c r="A23" s="19" t="str">
        <x:v>GRID01</x:v>
      </x:c>
      <x:c r="B23" s="19" t="str">
        <x:v>GRID01_report.md</x:v>
      </x:c>
      <x:c r="C23" s="19" t="str">
        <x:v>1. 2. 有效批次结果</x:v>
      </x:c>
      <x:c r="D23" s="19" t="str">
        <x:v>场景索引=0；主诊断步数=258</x:v>
      </x:c>
      <x:c r="E23" s="19" t="str">
        <x:v>主诊断步数</x:v>
      </x:c>
      <x:c r="F23" s="19" t="str">
        <x:v>258</x:v>
      </x:c>
      <x:c r="G23" s="19" t="str">
        <x:v>质量/成本</x:v>
      </x:c>
      <x:c r="H23" s="19" t="str">
        <x:v>D:/Codex/GRL研究/outputs/grid01/GRID01_report.md</x:v>
      </x:c>
    </x:row>
    <x:row r="24" ht="36" customHeight="1">
      <x:c r="A24" s="19" t="str">
        <x:v>GRID01</x:v>
      </x:c>
      <x:c r="B24" s="19" t="str">
        <x:v>GRID01_report.md</x:v>
      </x:c>
      <x:c r="C24" s="19" t="str">
        <x:v>1. 2. 有效批次结果</x:v>
      </x:c>
      <x:c r="D24" s="19" t="str">
        <x:v>场景索引=0；主诊断步数=258</x:v>
      </x:c>
      <x:c r="E24" s="19" t="str">
        <x:v>非零动作步</x:v>
      </x:c>
      <x:c r="F24" s="19" t="str">
        <x:v>22</x:v>
      </x:c>
      <x:c r="G24" s="19" t="str">
        <x:v>其他/配置</x:v>
      </x:c>
      <x:c r="H24" s="19" t="str">
        <x:v>D:/Codex/GRL研究/outputs/grid01/GRID01_report.md</x:v>
      </x:c>
    </x:row>
    <x:row r="25" ht="36" customHeight="1">
      <x:c r="A25" s="19" t="str">
        <x:v>GRID01</x:v>
      </x:c>
      <x:c r="B25" s="19" t="str">
        <x:v>GRID01_report.md</x:v>
      </x:c>
      <x:c r="C25" s="19" t="str">
        <x:v>1. 2. 有效批次结果</x:v>
      </x:c>
      <x:c r="D25" s="19" t="str">
        <x:v>场景索引=0；主诊断步数=258</x:v>
      </x:c>
      <x:c r="E25" s="19" t="str">
        <x:v>预测模拟次数</x:v>
      </x:c>
      <x:c r="F25" s="19" t="str">
        <x:v>4805</x:v>
      </x:c>
      <x:c r="G25" s="19" t="str">
        <x:v>速度/计算</x:v>
      </x:c>
      <x:c r="H25" s="19" t="str">
        <x:v>D:/Codex/GRL研究/outputs/grid01/GRID01_report.md</x:v>
      </x:c>
    </x:row>
    <x:row r="26" ht="36" customHeight="1">
      <x:c r="A26" s="19" t="str">
        <x:v>GRID01</x:v>
      </x:c>
      <x:c r="B26" s="19" t="str">
        <x:v>GRID01_report.md</x:v>
      </x:c>
      <x:c r="C26" s="19" t="str">
        <x:v>1. 2. 有效批次结果</x:v>
      </x:c>
      <x:c r="D26" s="19" t="str">
        <x:v>场景索引=0；主诊断步数=258</x:v>
      </x:c>
      <x:c r="E26" s="19" t="str">
        <x:v>act p95（ms）</x:v>
      </x:c>
      <x:c r="F26" s="19" t="str">
        <x:v>14.81</x:v>
      </x:c>
      <x:c r="G26" s="19" t="str">
        <x:v>速度/计算</x:v>
      </x:c>
      <x:c r="H26" s="19" t="str">
        <x:v>D:/Codex/GRL研究/outputs/grid01/GRID01_report.md</x:v>
      </x:c>
    </x:row>
    <x:row r="27" ht="36" customHeight="1">
      <x:c r="A27" s="19" t="str">
        <x:v>GRID01</x:v>
      </x:c>
      <x:c r="B27" s="19" t="str">
        <x:v>GRID01_report.md</x:v>
      </x:c>
      <x:c r="C27" s="19" t="str">
        <x:v>1. 2. 有效批次结果</x:v>
      </x:c>
      <x:c r="D27" s="19" t="str">
        <x:v>场景索引=0；主诊断步数=258</x:v>
      </x:c>
      <x:c r="E27" s="19" t="str">
        <x:v>act 最大（s）</x:v>
      </x:c>
      <x:c r="F27" s="19" t="str">
        <x:v>4.074</x:v>
      </x:c>
      <x:c r="G27" s="19" t="str">
        <x:v>其他/配置</x:v>
      </x:c>
      <x:c r="H27" s="19" t="str">
        <x:v>D:/Codex/GRL研究/outputs/grid01/GRID01_report.md</x:v>
      </x:c>
    </x:row>
    <x:row r="28" ht="36" customHeight="1">
      <x:c r="A28" s="19" t="str">
        <x:v>GRID01</x:v>
      </x:c>
      <x:c r="B28" s="19" t="str">
        <x:v>GRID01_report.md</x:v>
      </x:c>
      <x:c r="C28" s="19" t="str">
        <x:v>1. 2. 有效批次结果</x:v>
      </x:c>
      <x:c r="D28" s="19" t="str">
        <x:v>场景索引=0；主诊断步数=258</x:v>
      </x:c>
      <x:c r="E28" s="19" t="str">
        <x:v>实际最大 rho</x:v>
      </x:c>
      <x:c r="F28" s="19" t="str">
        <x:v>1.0476</x:v>
      </x:c>
      <x:c r="G28" s="19" t="str">
        <x:v>质量/成本</x:v>
      </x:c>
      <x:c r="H28" s="19" t="str">
        <x:v>D:/Codex/GRL研究/outputs/grid01/GRID01_report.md</x:v>
      </x:c>
    </x:row>
    <x:row r="29" ht="36" customHeight="1">
      <x:c r="A29" s="19" t="str">
        <x:v>GRID01</x:v>
      </x:c>
      <x:c r="B29" s="19" t="str">
        <x:v>GRID01_report.md</x:v>
      </x:c>
      <x:c r="C29" s="19" t="str">
        <x:v>1. 2. 有效批次结果</x:v>
      </x:c>
      <x:c r="D29" s="19" t="str">
        <x:v>场景索引=1；主诊断步数=258</x:v>
      </x:c>
      <x:c r="E29" s="19" t="str">
        <x:v>主诊断步数</x:v>
      </x:c>
      <x:c r="F29" s="19" t="str">
        <x:v>258</x:v>
      </x:c>
      <x:c r="G29" s="19" t="str">
        <x:v>质量/成本</x:v>
      </x:c>
      <x:c r="H29" s="19" t="str">
        <x:v>D:/Codex/GRL研究/outputs/grid01/GRID01_report.md</x:v>
      </x:c>
    </x:row>
    <x:row r="30" ht="36" customHeight="1">
      <x:c r="A30" s="19" t="str">
        <x:v>GRID01</x:v>
      </x:c>
      <x:c r="B30" s="19" t="str">
        <x:v>GRID01_report.md</x:v>
      </x:c>
      <x:c r="C30" s="19" t="str">
        <x:v>1. 2. 有效批次结果</x:v>
      </x:c>
      <x:c r="D30" s="19" t="str">
        <x:v>场景索引=1；主诊断步数=258</x:v>
      </x:c>
      <x:c r="E30" s="19" t="str">
        <x:v>非零动作步</x:v>
      </x:c>
      <x:c r="F30" s="19" t="str">
        <x:v>18</x:v>
      </x:c>
      <x:c r="G30" s="19" t="str">
        <x:v>其他/配置</x:v>
      </x:c>
      <x:c r="H30" s="19" t="str">
        <x:v>D:/Codex/GRL研究/outputs/grid01/GRID01_report.md</x:v>
      </x:c>
    </x:row>
    <x:row r="31" ht="36" customHeight="1">
      <x:c r="A31" s="19" t="str">
        <x:v>GRID01</x:v>
      </x:c>
      <x:c r="B31" s="19" t="str">
        <x:v>GRID01_report.md</x:v>
      </x:c>
      <x:c r="C31" s="19" t="str">
        <x:v>1. 2. 有效批次结果</x:v>
      </x:c>
      <x:c r="D31" s="19" t="str">
        <x:v>场景索引=1；主诊断步数=258</x:v>
      </x:c>
      <x:c r="E31" s="19" t="str">
        <x:v>预测模拟次数</x:v>
      </x:c>
      <x:c r="F31" s="19" t="str">
        <x:v>3072</x:v>
      </x:c>
      <x:c r="G31" s="19" t="str">
        <x:v>速度/计算</x:v>
      </x:c>
      <x:c r="H31" s="19" t="str">
        <x:v>D:/Codex/GRL研究/outputs/grid01/GRID01_report.md</x:v>
      </x:c>
    </x:row>
    <x:row r="32" ht="36" customHeight="1">
      <x:c r="A32" s="19" t="str">
        <x:v>GRID01</x:v>
      </x:c>
      <x:c r="B32" s="19" t="str">
        <x:v>GRID01_report.md</x:v>
      </x:c>
      <x:c r="C32" s="19" t="str">
        <x:v>1. 2. 有效批次结果</x:v>
      </x:c>
      <x:c r="D32" s="19" t="str">
        <x:v>场景索引=1；主诊断步数=258</x:v>
      </x:c>
      <x:c r="E32" s="19" t="str">
        <x:v>act p95（ms）</x:v>
      </x:c>
      <x:c r="F32" s="19" t="str">
        <x:v>16.25</x:v>
      </x:c>
      <x:c r="G32" s="19" t="str">
        <x:v>速度/计算</x:v>
      </x:c>
      <x:c r="H32" s="19" t="str">
        <x:v>D:/Codex/GRL研究/outputs/grid01/GRID01_report.md</x:v>
      </x:c>
    </x:row>
    <x:row r="33" ht="36" customHeight="1">
      <x:c r="A33" s="19" t="str">
        <x:v>GRID01</x:v>
      </x:c>
      <x:c r="B33" s="19" t="str">
        <x:v>GRID01_report.md</x:v>
      </x:c>
      <x:c r="C33" s="19" t="str">
        <x:v>1. 2. 有效批次结果</x:v>
      </x:c>
      <x:c r="D33" s="19" t="str">
        <x:v>场景索引=1；主诊断步数=258</x:v>
      </x:c>
      <x:c r="E33" s="19" t="str">
        <x:v>act 最大（s）</x:v>
      </x:c>
      <x:c r="F33" s="19" t="str">
        <x:v>2.898</x:v>
      </x:c>
      <x:c r="G33" s="19" t="str">
        <x:v>其他/配置</x:v>
      </x:c>
      <x:c r="H33" s="19" t="str">
        <x:v>D:/Codex/GRL研究/outputs/grid01/GRID01_report.md</x:v>
      </x:c>
    </x:row>
    <x:row r="34" ht="36" customHeight="1">
      <x:c r="A34" s="19" t="str">
        <x:v>GRID01</x:v>
      </x:c>
      <x:c r="B34" s="19" t="str">
        <x:v>GRID01_report.md</x:v>
      </x:c>
      <x:c r="C34" s="19" t="str">
        <x:v>1. 2. 有效批次结果</x:v>
      </x:c>
      <x:c r="D34" s="19" t="str">
        <x:v>场景索引=1；主诊断步数=258</x:v>
      </x:c>
      <x:c r="E34" s="19" t="str">
        <x:v>实际最大 rho</x:v>
      </x:c>
      <x:c r="F34" s="19" t="str">
        <x:v>1.0332</x:v>
      </x:c>
      <x:c r="G34" s="19" t="str">
        <x:v>质量/成本</x:v>
      </x:c>
      <x:c r="H34" s="19" t="str">
        <x:v>D:/Codex/GRL研究/outputs/grid01/GRID01_report.md</x:v>
      </x:c>
    </x:row>
    <x:row r="35" ht="36" customHeight="1">
      <x:c r="A35" s="19" t="str">
        <x:v>GRID01</x:v>
      </x:c>
      <x:c r="B35" s="19" t="str">
        <x:v>GRID01_report.md</x:v>
      </x:c>
      <x:c r="C35" s="19" t="str">
        <x:v>2. 3. 哪些模块实际触发</x:v>
      </x:c>
      <x:c r="D35" s="19" t="str">
        <x:v>模块=reconnect；调用数=516</x:v>
      </x:c>
      <x:c r="E35" s="19" t="str">
        <x:v>调用数</x:v>
      </x:c>
      <x:c r="F35" s="19" t="str">
        <x:v>516</x:v>
      </x:c>
      <x:c r="G35" s="19" t="str">
        <x:v>速度/计算</x:v>
      </x:c>
      <x:c r="H35" s="19" t="str">
        <x:v>D:/Codex/GRL研究/outputs/grid01/GRID01_report.md</x:v>
      </x:c>
    </x:row>
    <x:row r="36" ht="36" customHeight="1">
      <x:c r="A36" s="19" t="str">
        <x:v>GRID01</x:v>
      </x:c>
      <x:c r="B36" s="19" t="str">
        <x:v>GRID01_report.md</x:v>
      </x:c>
      <x:c r="C36" s="19" t="str">
        <x:v>2. 3. 哪些模块实际触发</x:v>
      </x:c>
      <x:c r="D36" s="19" t="str">
        <x:v>模块=reconnect；调用数=516</x:v>
      </x:c>
      <x:c r="E36" s="19" t="str">
        <x:v>返回非 None</x:v>
      </x:c>
      <x:c r="F36" s="19" t="str">
        <x:v>516</x:v>
      </x:c>
      <x:c r="G36" s="19" t="str">
        <x:v>其他/配置</x:v>
      </x:c>
      <x:c r="H36" s="19" t="str">
        <x:v>D:/Codex/GRL研究/outputs/grid01/GRID01_report.md</x:v>
      </x:c>
    </x:row>
    <x:row r="37" ht="36" customHeight="1">
      <x:c r="A37" s="19" t="str">
        <x:v>GRID01</x:v>
      </x:c>
      <x:c r="B37" s="19" t="str">
        <x:v>GRID01_report.md</x:v>
      </x:c>
      <x:c r="C37" s="19" t="str">
        <x:v>2. 3. 哪些模块实际触发</x:v>
      </x:c>
      <x:c r="D37" s="19" t="str">
        <x:v>模块=reconnect；调用数=516</x:v>
      </x:c>
      <x:c r="E37" s="19" t="str">
        <x:v>模块内模拟数</x:v>
      </x:c>
      <x:c r="F37" s="19" t="str">
        <x:v>22</x:v>
      </x:c>
      <x:c r="G37" s="19" t="str">
        <x:v>其他/配置</x:v>
      </x:c>
      <x:c r="H37" s="19" t="str">
        <x:v>D:/Codex/GRL研究/outputs/grid01/GRID01_report.md</x:v>
      </x:c>
    </x:row>
    <x:row r="38" ht="36" customHeight="1">
      <x:c r="A38" s="19" t="str">
        <x:v>GRID01</x:v>
      </x:c>
      <x:c r="B38" s="19" t="str">
        <x:v>GRID01_report.md</x:v>
      </x:c>
      <x:c r="C38" s="19" t="str">
        <x:v>2. 3. 哪些模块实际触发</x:v>
      </x:c>
      <x:c r="D38" s="19" t="str">
        <x:v>模块=reconnect；调用数=516</x:v>
      </x:c>
      <x:c r="E38" s="19" t="str">
        <x:v>模块累计墙钟（s）</x:v>
      </x:c>
      <x:c r="F38" s="19" t="str">
        <x:v>0.096</x:v>
      </x:c>
      <x:c r="G38" s="19" t="str">
        <x:v>其他/配置</x:v>
      </x:c>
      <x:c r="H38" s="19" t="str">
        <x:v>D:/Codex/GRL研究/outputs/grid01/GRID01_report.md</x:v>
      </x:c>
    </x:row>
    <x:row r="39" ht="36" customHeight="1">
      <x:c r="A39" s="19" t="str">
        <x:v>GRID01</x:v>
      </x:c>
      <x:c r="B39" s="19" t="str">
        <x:v>GRID01_report.md</x:v>
      </x:c>
      <x:c r="C39" s="19" t="str">
        <x:v>2. 3. 哪些模块实际触发</x:v>
      </x:c>
      <x:c r="D39" s="19" t="str">
        <x:v>模块=recover_topo；调用数=313</x:v>
      </x:c>
      <x:c r="E39" s="19" t="str">
        <x:v>调用数</x:v>
      </x:c>
      <x:c r="F39" s="19" t="str">
        <x:v>313</x:v>
      </x:c>
      <x:c r="G39" s="19" t="str">
        <x:v>速度/计算</x:v>
      </x:c>
      <x:c r="H39" s="19" t="str">
        <x:v>D:/Codex/GRL研究/outputs/grid01/GRID01_report.md</x:v>
      </x:c>
    </x:row>
    <x:row r="40" ht="36" customHeight="1">
      <x:c r="A40" s="19" t="str">
        <x:v>GRID01</x:v>
      </x:c>
      <x:c r="B40" s="19" t="str">
        <x:v>GRID01_report.md</x:v>
      </x:c>
      <x:c r="C40" s="19" t="str">
        <x:v>2. 3. 哪些模块实际触发</x:v>
      </x:c>
      <x:c r="D40" s="19" t="str">
        <x:v>模块=recover_topo；调用数=313</x:v>
      </x:c>
      <x:c r="E40" s="19" t="str">
        <x:v>返回非 None</x:v>
      </x:c>
      <x:c r="F40" s="19" t="str">
        <x:v>8</x:v>
      </x:c>
      <x:c r="G40" s="19" t="str">
        <x:v>其他/配置</x:v>
      </x:c>
      <x:c r="H40" s="19" t="str">
        <x:v>D:/Codex/GRL研究/outputs/grid01/GRID01_report.md</x:v>
      </x:c>
    </x:row>
    <x:row r="41" ht="36" customHeight="1">
      <x:c r="A41" s="19" t="str">
        <x:v>GRID01</x:v>
      </x:c>
      <x:c r="B41" s="19" t="str">
        <x:v>GRID01_report.md</x:v>
      </x:c>
      <x:c r="C41" s="19" t="str">
        <x:v>2. 3. 哪些模块实际触发</x:v>
      </x:c>
      <x:c r="D41" s="19" t="str">
        <x:v>模块=recover_topo；调用数=313</x:v>
      </x:c>
      <x:c r="E41" s="19" t="str">
        <x:v>模块内模拟数</x:v>
      </x:c>
      <x:c r="F41" s="19" t="str">
        <x:v>364</x:v>
      </x:c>
      <x:c r="G41" s="19" t="str">
        <x:v>其他/配置</x:v>
      </x:c>
      <x:c r="H41" s="19" t="str">
        <x:v>D:/Codex/GRL研究/outputs/grid01/GRID01_report.md</x:v>
      </x:c>
    </x:row>
    <x:row r="42" ht="36" customHeight="1">
      <x:c r="A42" s="19" t="str">
        <x:v>GRID01</x:v>
      </x:c>
      <x:c r="B42" s="19" t="str">
        <x:v>GRID01_report.md</x:v>
      </x:c>
      <x:c r="C42" s="19" t="str">
        <x:v>2. 3. 哪些模块实际触发</x:v>
      </x:c>
      <x:c r="D42" s="19" t="str">
        <x:v>模块=recover_topo；调用数=313</x:v>
      </x:c>
      <x:c r="E42" s="19" t="str">
        <x:v>模块累计墙钟（s）</x:v>
      </x:c>
      <x:c r="F42" s="19" t="str">
        <x:v>1.279</x:v>
      </x:c>
      <x:c r="G42" s="19" t="str">
        <x:v>其他/配置</x:v>
      </x:c>
      <x:c r="H42" s="19" t="str">
        <x:v>D:/Codex/GRL研究/outputs/grid01/GRID01_report.md</x:v>
      </x:c>
    </x:row>
    <x:row r="43" ht="36" customHeight="1">
      <x:c r="A43" s="19" t="str">
        <x:v>GRID01</x:v>
      </x:c>
      <x:c r="B43" s="19" t="str">
        <x:v>GRID01_report.md</x:v>
      </x:c>
      <x:c r="C43" s="19" t="str">
        <x:v>2. 3. 哪些模块实际触发</x:v>
      </x:c>
      <x:c r="D43" s="19" t="str">
        <x:v>模块=topo_12_unsafe；调用数=8</x:v>
      </x:c>
      <x:c r="E43" s="19" t="str">
        <x:v>调用数</x:v>
      </x:c>
      <x:c r="F43" s="19" t="str">
        <x:v>8</x:v>
      </x:c>
      <x:c r="G43" s="19" t="str">
        <x:v>速度/计算</x:v>
      </x:c>
      <x:c r="H43" s="19" t="str">
        <x:v>D:/Codex/GRL研究/outputs/grid01/GRID01_report.md</x:v>
      </x:c>
    </x:row>
    <x:row r="44" ht="36" customHeight="1">
      <x:c r="A44" s="19" t="str">
        <x:v>GRID01</x:v>
      </x:c>
      <x:c r="B44" s="19" t="str">
        <x:v>GRID01_report.md</x:v>
      </x:c>
      <x:c r="C44" s="19" t="str">
        <x:v>2. 3. 哪些模块实际触发</x:v>
      </x:c>
      <x:c r="D44" s="19" t="str">
        <x:v>模块=topo_12_unsafe；调用数=8</x:v>
      </x:c>
      <x:c r="E44" s="19" t="str">
        <x:v>返回非 None</x:v>
      </x:c>
      <x:c r="F44" s="19" t="str">
        <x:v>8</x:v>
      </x:c>
      <x:c r="G44" s="19" t="str">
        <x:v>其他/配置</x:v>
      </x:c>
      <x:c r="H44" s="19" t="str">
        <x:v>D:/Codex/GRL研究/outputs/grid01/GRID01_report.md</x:v>
      </x:c>
    </x:row>
    <x:row r="45" ht="36" customHeight="1">
      <x:c r="A45" s="19" t="str">
        <x:v>GRID01</x:v>
      </x:c>
      <x:c r="B45" s="19" t="str">
        <x:v>GRID01_report.md</x:v>
      </x:c>
      <x:c r="C45" s="19" t="str">
        <x:v>2. 3. 哪些模块实际触发</x:v>
      </x:c>
      <x:c r="D45" s="19" t="str">
        <x:v>模块=topo_12_unsafe；调用数=8</x:v>
      </x:c>
      <x:c r="E45" s="19" t="str">
        <x:v>模块内模拟数</x:v>
      </x:c>
      <x:c r="F45" s="19" t="str">
        <x:v>3354</x:v>
      </x:c>
      <x:c r="G45" s="19" t="str">
        <x:v>其他/配置</x:v>
      </x:c>
      <x:c r="H45" s="19" t="str">
        <x:v>D:/Codex/GRL研究/outputs/grid01/GRID01_report.md</x:v>
      </x:c>
    </x:row>
    <x:row r="46" ht="36" customHeight="1">
      <x:c r="A46" s="19" t="str">
        <x:v>GRID01</x:v>
      </x:c>
      <x:c r="B46" s="19" t="str">
        <x:v>GRID01_report.md</x:v>
      </x:c>
      <x:c r="C46" s="19" t="str">
        <x:v>2. 3. 哪些模块实际触发</x:v>
      </x:c>
      <x:c r="D46" s="19" t="str">
        <x:v>模块=topo_12_unsafe；调用数=8</x:v>
      </x:c>
      <x:c r="E46" s="19" t="str">
        <x:v>模块累计墙钟（s）</x:v>
      </x:c>
      <x:c r="F46" s="19" t="str">
        <x:v>10.323</x:v>
      </x:c>
      <x:c r="G46" s="19" t="str">
        <x:v>其他/配置</x:v>
      </x:c>
      <x:c r="H46" s="19" t="str">
        <x:v>D:/Codex/GRL研究/outputs/grid01/GRID01_report.md</x:v>
      </x:c>
    </x:row>
    <x:row r="47" ht="36" customHeight="1">
      <x:c r="A47" s="19" t="str">
        <x:v>GRID01</x:v>
      </x:c>
      <x:c r="B47" s="19" t="str">
        <x:v>GRID01_report.md</x:v>
      </x:c>
      <x:c r="C47" s="19" t="str">
        <x:v>2. 3. 哪些模块实际触发</x:v>
      </x:c>
      <x:c r="D47" s="19" t="str">
        <x:v>模块=topo_n1_unsafe；调用数=4</x:v>
      </x:c>
      <x:c r="E47" s="19" t="str">
        <x:v>调用数</x:v>
      </x:c>
      <x:c r="F47" s="19" t="str">
        <x:v>4</x:v>
      </x:c>
      <x:c r="G47" s="19" t="str">
        <x:v>速度/计算</x:v>
      </x:c>
      <x:c r="H47" s="19" t="str">
        <x:v>D:/Codex/GRL研究/outputs/grid01/GRID01_report.md</x:v>
      </x:c>
    </x:row>
    <x:row r="48" ht="36" customHeight="1">
      <x:c r="A48" s="19" t="str">
        <x:v>GRID01</x:v>
      </x:c>
      <x:c r="B48" s="19" t="str">
        <x:v>GRID01_report.md</x:v>
      </x:c>
      <x:c r="C48" s="19" t="str">
        <x:v>2. 3. 哪些模块实际触发</x:v>
      </x:c>
      <x:c r="D48" s="19" t="str">
        <x:v>模块=topo_n1_unsafe；调用数=4</x:v>
      </x:c>
      <x:c r="E48" s="19" t="str">
        <x:v>返回非 None</x:v>
      </x:c>
      <x:c r="F48" s="19" t="str">
        <x:v>4</x:v>
      </x:c>
      <x:c r="G48" s="19" t="str">
        <x:v>其他/配置</x:v>
      </x:c>
      <x:c r="H48" s="19" t="str">
        <x:v>D:/Codex/GRL研究/outputs/grid01/GRID01_report.md</x:v>
      </x:c>
    </x:row>
    <x:row r="49" ht="36" customHeight="1">
      <x:c r="A49" s="19" t="str">
        <x:v>GRID01</x:v>
      </x:c>
      <x:c r="B49" s="19" t="str">
        <x:v>GRID01_report.md</x:v>
      </x:c>
      <x:c r="C49" s="19" t="str">
        <x:v>2. 3. 哪些模块实际触发</x:v>
      </x:c>
      <x:c r="D49" s="19" t="str">
        <x:v>模块=topo_n1_unsafe；调用数=4</x:v>
      </x:c>
      <x:c r="E49" s="19" t="str">
        <x:v>模块内模拟数</x:v>
      </x:c>
      <x:c r="F49" s="19" t="str">
        <x:v>3587</x:v>
      </x:c>
      <x:c r="G49" s="19" t="str">
        <x:v>其他/配置</x:v>
      </x:c>
      <x:c r="H49" s="19" t="str">
        <x:v>D:/Codex/GRL研究/outputs/grid01/GRID01_report.md</x:v>
      </x:c>
    </x:row>
    <x:row r="50" ht="36" customHeight="1">
      <x:c r="A50" s="19" t="str">
        <x:v>GRID01</x:v>
      </x:c>
      <x:c r="B50" s="19" t="str">
        <x:v>GRID01_report.md</x:v>
      </x:c>
      <x:c r="C50" s="19" t="str">
        <x:v>2. 3. 哪些模块实际触发</x:v>
      </x:c>
      <x:c r="D50" s="19" t="str">
        <x:v>模块=topo_n1_unsafe；调用数=4</x:v>
      </x:c>
      <x:c r="E50" s="19" t="str">
        <x:v>模块累计墙钟（s）</x:v>
      </x:c>
      <x:c r="F50" s="19" t="str">
        <x:v>11.410</x:v>
      </x:c>
      <x:c r="G50" s="19" t="str">
        <x:v>其他/配置</x:v>
      </x:c>
      <x:c r="H50" s="19" t="str">
        <x:v>D:/Codex/GRL研究/outputs/grid01/GRID01_report.md</x:v>
      </x:c>
    </x:row>
    <x:row r="51" ht="36" customHeight="1">
      <x:c r="A51" s="19" t="str">
        <x:v>GRID01</x:v>
      </x:c>
      <x:c r="B51" s="19" t="str">
        <x:v>GRID01_report.md</x:v>
      </x:c>
      <x:c r="C51" s="19" t="str">
        <x:v>2. 3. 哪些模块实际触发</x:v>
      </x:c>
      <x:c r="D51" s="19" t="str">
        <x:v>模块=optim；调用数=14</x:v>
      </x:c>
      <x:c r="E51" s="19" t="str">
        <x:v>调用数</x:v>
      </x:c>
      <x:c r="F51" s="19" t="str">
        <x:v>14</x:v>
      </x:c>
      <x:c r="G51" s="19" t="str">
        <x:v>速度/计算</x:v>
      </x:c>
      <x:c r="H51" s="19" t="str">
        <x:v>D:/Codex/GRL研究/outputs/grid01/GRID01_report.md</x:v>
      </x:c>
    </x:row>
    <x:row r="52" ht="36" customHeight="1">
      <x:c r="A52" s="19" t="str">
        <x:v>GRID01</x:v>
      </x:c>
      <x:c r="B52" s="19" t="str">
        <x:v>GRID01_report.md</x:v>
      </x:c>
      <x:c r="C52" s="19" t="str">
        <x:v>2. 3. 哪些模块实际触发</x:v>
      </x:c>
      <x:c r="D52" s="19" t="str">
        <x:v>模块=optim；调用数=14</x:v>
      </x:c>
      <x:c r="E52" s="19" t="str">
        <x:v>返回非 None</x:v>
      </x:c>
      <x:c r="F52" s="19" t="str">
        <x:v>14</x:v>
      </x:c>
      <x:c r="G52" s="19" t="str">
        <x:v>其他/配置</x:v>
      </x:c>
      <x:c r="H52" s="19" t="str">
        <x:v>D:/Codex/GRL研究/outputs/grid01/GRID01_report.md</x:v>
      </x:c>
    </x:row>
    <x:row r="53" ht="36" customHeight="1">
      <x:c r="A53" s="19" t="str">
        <x:v>GRID01</x:v>
      </x:c>
      <x:c r="B53" s="19" t="str">
        <x:v>GRID01_report.md</x:v>
      </x:c>
      <x:c r="C53" s="19" t="str">
        <x:v>2. 3. 哪些模块实际触发</x:v>
      </x:c>
      <x:c r="D53" s="19" t="str">
        <x:v>模块=optim；调用数=14</x:v>
      </x:c>
      <x:c r="E53" s="19" t="str">
        <x:v>模块内模拟数</x:v>
      </x:c>
      <x:c r="F53" s="19" t="str">
        <x:v>14</x:v>
      </x:c>
      <x:c r="G53" s="19" t="str">
        <x:v>其他/配置</x:v>
      </x:c>
      <x:c r="H53" s="19" t="str">
        <x:v>D:/Codex/GRL研究/outputs/grid01/GRID01_report.md</x:v>
      </x:c>
    </x:row>
    <x:row r="54" ht="36" customHeight="1">
      <x:c r="A54" s="19" t="str">
        <x:v>GRID01</x:v>
      </x:c>
      <x:c r="B54" s="19" t="str">
        <x:v>GRID01_report.md</x:v>
      </x:c>
      <x:c r="C54" s="19" t="str">
        <x:v>2. 3. 哪些模块实际触发</x:v>
      </x:c>
      <x:c r="D54" s="19" t="str">
        <x:v>模块=optim；调用数=14</x:v>
      </x:c>
      <x:c r="E54" s="19" t="str">
        <x:v>模块累计墙钟（s）</x:v>
      </x:c>
      <x:c r="F54" s="19" t="str">
        <x:v>20.092</x:v>
      </x:c>
      <x:c r="G54" s="19" t="str">
        <x:v>其他/配置</x:v>
      </x:c>
      <x:c r="H54" s="19" t="str">
        <x:v>D:/Codex/GRL研究/outputs/grid01/GRID01_report.md</x:v>
      </x:c>
    </x:row>
    <x:row r="55" ht="36" customHeight="1">
      <x:c r="A55" s="19" t="str">
        <x:v>GRID02</x:v>
      </x:c>
      <x:c r="B55" s="19" t="str">
        <x:v>GRID02_report.md</x:v>
      </x:c>
      <x:c r="C55" s="19" t="str">
        <x:v>1. 1. 三臂是什么</x:v>
      </x:c>
      <x:c r="D55" s="19" t="str">
        <x:v>配置=FULL；全连通拓扑分支=作者非NN方案，421项资产，冷却过滤后搜索</x:v>
      </x:c>
      <x:c r="E55" s="19" t="str">
        <x:v>全连通拓扑分支</x:v>
      </x:c>
      <x:c r="F55" s="19" t="str">
        <x:v>作者非NN方案，421项资产，冷却过滤后搜索</x:v>
      </x:c>
      <x:c r="G55" s="19" t="str">
        <x:v>其他/配置</x:v>
      </x:c>
      <x:c r="H55" s="19" t="str">
        <x:v>D:/Codex/GRL研究/outputs/grid02/GRID02_report.md</x:v>
      </x:c>
    </x:row>
    <x:row r="56" ht="36" customHeight="1">
      <x:c r="A56" s="19" t="str">
        <x:v>GRID02</x:v>
      </x:c>
      <x:c r="B56" s="19" t="str">
        <x:v>GRID02_report.md</x:v>
      </x:c>
      <x:c r="C56" s="19" t="str">
        <x:v>1. 1. 三臂是什么</x:v>
      </x:c>
      <x:c r="D56" s="19" t="str">
        <x:v>配置=FULL；全连通拓扑分支=作者非NN方案，421项资产，冷却过滤后搜索</x:v>
      </x:c>
      <x:c r="E56" s="19" t="str">
        <x:v>其余控制</x:v>
      </x:c>
      <x:c r="F56" s="19" t="str">
        <x:v>作者重连、恢复、N−1的909项搜索、连续优化</x:v>
      </x:c>
      <x:c r="G56" s="19" t="str">
        <x:v>速度/计算</x:v>
      </x:c>
      <x:c r="H56" s="19" t="str">
        <x:v>D:/Codex/GRL研究/outputs/grid02/GRID02_report.md</x:v>
      </x:c>
    </x:row>
    <x:row r="57" ht="42.75" customHeight="1">
      <x:c r="A57" s="19" t="str">
        <x:v>GRID02</x:v>
      </x:c>
      <x:c r="B57" s="19" t="str">
        <x:v>GRID02_report.md</x:v>
      </x:c>
      <x:c r="C57" s="19" t="str">
        <x:v>1. 1. 三臂是什么</x:v>
      </x:c>
      <x:c r="D57" s="19" t="str">
        <x:v>配置=NN20；全连通拓扑分支=作者 `make_agent_topoNN`，原模型从352项映射中排Top-20后模拟</x:v>
      </x:c>
      <x:c r="E57" s="19" t="str">
        <x:v>全连通拓扑分支</x:v>
      </x:c>
      <x:c r="F57" s="19" t="str">
        <x:v>作者 `make_agent_topoNN`，原模型从352项映射中排Top-20后模拟</x:v>
      </x:c>
      <x:c r="G57" s="19" t="str">
        <x:v>其他/配置</x:v>
      </x:c>
      <x:c r="H57" s="19" t="str">
        <x:v>D:/Codex/GRL研究/outputs/grid02/GRID02_report.md</x:v>
      </x:c>
    </x:row>
    <x:row r="58" ht="42.75" customHeight="1">
      <x:c r="A58" s="19" t="str">
        <x:v>GRID02</x:v>
      </x:c>
      <x:c r="B58" s="19" t="str">
        <x:v>GRID02_report.md</x:v>
      </x:c>
      <x:c r="C58" s="19" t="str">
        <x:v>1. 1. 三臂是什么</x:v>
      </x:c>
      <x:c r="D58" s="19" t="str">
        <x:v>配置=NN20；全连通拓扑分支=作者 `make_agent_topoNN`，原模型从352项映射中排Top-20后模拟</x:v>
      </x:c>
      <x:c r="E58" s="19" t="str">
        <x:v>其余控制</x:v>
      </x:c>
      <x:c r="F58" s="19" t="str">
        <x:v>同作者NN混合方案，其N−1仍完整搜索</x:v>
      </x:c>
      <x:c r="G58" s="19" t="str">
        <x:v>速度/计算</x:v>
      </x:c>
      <x:c r="H58" s="19" t="str">
        <x:v>D:/Codex/GRL研究/outputs/grid02/GRID02_report.md</x:v>
      </x:c>
    </x:row>
    <x:row r="59" ht="42.75" customHeight="1">
      <x:c r="A59" s="19" t="str">
        <x:v>GRID02</x:v>
      </x:c>
      <x:c r="B59" s="19" t="str">
        <x:v>GRID02_report.md</x:v>
      </x:c>
      <x:c r="C59" s="19" t="str">
        <x:v>1. 1. 三臂是什么</x:v>
      </x:c>
      <x:c r="D59" s="19" t="str">
        <x:v>配置=NN352；全连通拓扑分支=同NN20模型、映射和类，仅 `top_k=352` 扫描全部映射项</x:v>
      </x:c>
      <x:c r="E59" s="19" t="str">
        <x:v>全连通拓扑分支</x:v>
      </x:c>
      <x:c r="F59" s="19" t="str">
        <x:v>同NN20模型、映射和类，仅 `top_k=352` 扫描全部映射项</x:v>
      </x:c>
      <x:c r="G59" s="19" t="str">
        <x:v>其他/配置</x:v>
      </x:c>
      <x:c r="H59" s="19" t="str">
        <x:v>D:/Codex/GRL研究/outputs/grid02/GRID02_report.md</x:v>
      </x:c>
    </x:row>
    <x:row r="60" ht="42.75" customHeight="1">
      <x:c r="A60" s="19" t="str">
        <x:v>GRID02</x:v>
      </x:c>
      <x:c r="B60" s="19" t="str">
        <x:v>GRID02_report.md</x:v>
      </x:c>
      <x:c r="C60" s="19" t="str">
        <x:v>1. 1. 三臂是什么</x:v>
      </x:c>
      <x:c r="D60" s="19" t="str">
        <x:v>配置=NN352；全连通拓扑分支=同NN20模型、映射和类，仅 `top_k=352` 扫描全部映射项</x:v>
      </x:c>
      <x:c r="E60" s="19" t="str">
        <x:v>其余控制</x:v>
      </x:c>
      <x:c r="F60" s="19" t="str">
        <x:v>与NN20相同</x:v>
      </x:c>
      <x:c r="G60" s="19" t="str">
        <x:v>速度/计算</x:v>
      </x:c>
      <x:c r="H60" s="19" t="str">
        <x:v>D:/Codex/GRL研究/outputs/grid02/GRID02_report.md</x:v>
      </x:c>
    </x:row>
    <x:row r="61" ht="36" customHeight="1">
      <x:c r="A61" s="19" t="str">
        <x:v>GRID02</x:v>
      </x:c>
      <x:c r="B61" s="19" t="str">
        <x:v>GRID02_report.md</x:v>
      </x:c>
      <x:c r="C61" s="19" t="str">
        <x:v>2. 2. 执行与结果</x:v>
      </x:c>
      <x:c r="D61" s="19" t="str">
        <x:v>配置=FULL；主运行步数=1150</x:v>
      </x:c>
      <x:c r="E61" s="19" t="str">
        <x:v>主运行步数</x:v>
      </x:c>
      <x:c r="F61" s="19" t="str">
        <x:v>1150</x:v>
      </x:c>
      <x:c r="G61" s="19" t="str">
        <x:v>质量/成本</x:v>
      </x:c>
      <x:c r="H61" s="19" t="str">
        <x:v>D:/Codex/GRL研究/outputs/grid02/GRID02_report.md</x:v>
      </x:c>
    </x:row>
    <x:row r="62" ht="36" customHeight="1">
      <x:c r="A62" s="19" t="str">
        <x:v>GRID02</x:v>
      </x:c>
      <x:c r="B62" s="19" t="str">
        <x:v>GRID02_report.md</x:v>
      </x:c>
      <x:c r="C62" s="19" t="str">
        <x:v>2. 2. 执行与结果</x:v>
      </x:c>
      <x:c r="D62" s="19" t="str">
        <x:v>配置=FULL；主运行步数=1150</x:v>
      </x:c>
      <x:c r="E62" s="19" t="str">
        <x:v>模拟调用</x:v>
      </x:c>
      <x:c r="F62" s="19" t="str">
        <x:v>12,893</x:v>
      </x:c>
      <x:c r="G62" s="19" t="str">
        <x:v>速度/计算</x:v>
      </x:c>
      <x:c r="H62" s="19" t="str">
        <x:v>D:/Codex/GRL研究/outputs/grid02/GRID02_report.md</x:v>
      </x:c>
    </x:row>
    <x:row r="63" ht="36" customHeight="1">
      <x:c r="A63" s="19" t="str">
        <x:v>GRID02</x:v>
      </x:c>
      <x:c r="B63" s="19" t="str">
        <x:v>GRID02_report.md</x:v>
      </x:c>
      <x:c r="C63" s="19" t="str">
        <x:v>2. 2. 执行与结果</x:v>
      </x:c>
      <x:c r="D63" s="19" t="str">
        <x:v>配置=FULL；主运行步数=1150</x:v>
      </x:c>
      <x:c r="E63" s="19" t="str">
        <x:v>act累计秒</x:v>
      </x:c>
      <x:c r="F63" s="19" t="str">
        <x:v>63.446</x:v>
      </x:c>
      <x:c r="G63" s="19" t="str">
        <x:v>速度/计算</x:v>
      </x:c>
      <x:c r="H63" s="19" t="str">
        <x:v>D:/Codex/GRL研究/outputs/grid02/GRID02_report.md</x:v>
      </x:c>
    </x:row>
    <x:row r="64" ht="36" customHeight="1">
      <x:c r="A64" s="19" t="str">
        <x:v>GRID02</x:v>
      </x:c>
      <x:c r="B64" s="19" t="str">
        <x:v>GRID02_report.md</x:v>
      </x:c>
      <x:c r="C64" s="19" t="str">
        <x:v>2. 2. 执行与结果</x:v>
      </x:c>
      <x:c r="D64" s="19" t="str">
        <x:v>配置=FULL；主运行步数=1150</x:v>
      </x:c>
      <x:c r="E64" s="19" t="str">
        <x:v>act p95毫秒</x:v>
      </x:c>
      <x:c r="F64" s="19" t="str">
        <x:v>12.95</x:v>
      </x:c>
      <x:c r="G64" s="19" t="str">
        <x:v>速度/计算</x:v>
      </x:c>
      <x:c r="H64" s="19" t="str">
        <x:v>D:/Codex/GRL研究/outputs/grid02/GRID02_report.md</x:v>
      </x:c>
    </x:row>
    <x:row r="65" ht="36" customHeight="1">
      <x:c r="A65" s="19" t="str">
        <x:v>GRID02</x:v>
      </x:c>
      <x:c r="B65" s="19" t="str">
        <x:v>GRID02_report.md</x:v>
      </x:c>
      <x:c r="C65" s="19" t="str">
        <x:v>2. 2. 执行与结果</x:v>
      </x:c>
      <x:c r="D65" s="19" t="str">
        <x:v>配置=FULL；主运行步数=1150</x:v>
      </x:c>
      <x:c r="E65" s="19" t="str">
        <x:v>act最大秒</x:v>
      </x:c>
      <x:c r="F65" s="19" t="str">
        <x:v>5.873</x:v>
      </x:c>
      <x:c r="G65" s="19" t="str">
        <x:v>速度/计算</x:v>
      </x:c>
      <x:c r="H65" s="19" t="str">
        <x:v>D:/Codex/GRL研究/outputs/grid02/GRID02_report.md</x:v>
      </x:c>
    </x:row>
    <x:row r="66" ht="36" customHeight="1">
      <x:c r="A66" s="19" t="str">
        <x:v>GRID02</x:v>
      </x:c>
      <x:c r="B66" s="19" t="str">
        <x:v>GRID02_report.md</x:v>
      </x:c>
      <x:c r="C66" s="19" t="str">
        <x:v>2. 2. 执行与结果</x:v>
      </x:c>
      <x:c r="D66" s="19" t="str">
        <x:v>配置=NN20；主运行步数=1150</x:v>
      </x:c>
      <x:c r="E66" s="19" t="str">
        <x:v>主运行步数</x:v>
      </x:c>
      <x:c r="F66" s="19" t="str">
        <x:v>1150</x:v>
      </x:c>
      <x:c r="G66" s="19" t="str">
        <x:v>质量/成本</x:v>
      </x:c>
      <x:c r="H66" s="19" t="str">
        <x:v>D:/Codex/GRL研究/outputs/grid02/GRID02_report.md</x:v>
      </x:c>
    </x:row>
    <x:row r="67" ht="36" customHeight="1">
      <x:c r="A67" s="19" t="str">
        <x:v>GRID02</x:v>
      </x:c>
      <x:c r="B67" s="19" t="str">
        <x:v>GRID02_report.md</x:v>
      </x:c>
      <x:c r="C67" s="19" t="str">
        <x:v>2. 2. 执行与结果</x:v>
      </x:c>
      <x:c r="D67" s="19" t="str">
        <x:v>配置=NN20；主运行步数=1150</x:v>
      </x:c>
      <x:c r="E67" s="19" t="str">
        <x:v>模拟调用</x:v>
      </x:c>
      <x:c r="F67" s="19" t="str">
        <x:v>6,069</x:v>
      </x:c>
      <x:c r="G67" s="19" t="str">
        <x:v>速度/计算</x:v>
      </x:c>
      <x:c r="H67" s="19" t="str">
        <x:v>D:/Codex/GRL研究/outputs/grid02/GRID02_report.md</x:v>
      </x:c>
    </x:row>
    <x:row r="68" ht="36" customHeight="1">
      <x:c r="A68" s="19" t="str">
        <x:v>GRID02</x:v>
      </x:c>
      <x:c r="B68" s="19" t="str">
        <x:v>GRID02_report.md</x:v>
      </x:c>
      <x:c r="C68" s="19" t="str">
        <x:v>2. 2. 执行与结果</x:v>
      </x:c>
      <x:c r="D68" s="19" t="str">
        <x:v>配置=NN20；主运行步数=1150</x:v>
      </x:c>
      <x:c r="E68" s="19" t="str">
        <x:v>act累计秒</x:v>
      </x:c>
      <x:c r="F68" s="19" t="str">
        <x:v>44.202</x:v>
      </x:c>
      <x:c r="G68" s="19" t="str">
        <x:v>速度/计算</x:v>
      </x:c>
      <x:c r="H68" s="19" t="str">
        <x:v>D:/Codex/GRL研究/outputs/grid02/GRID02_report.md</x:v>
      </x:c>
    </x:row>
    <x:row r="69" ht="36" customHeight="1">
      <x:c r="A69" s="19" t="str">
        <x:v>GRID02</x:v>
      </x:c>
      <x:c r="B69" s="19" t="str">
        <x:v>GRID02_report.md</x:v>
      </x:c>
      <x:c r="C69" s="19" t="str">
        <x:v>2. 2. 执行与结果</x:v>
      </x:c>
      <x:c r="D69" s="19" t="str">
        <x:v>配置=NN20；主运行步数=1150</x:v>
      </x:c>
      <x:c r="E69" s="19" t="str">
        <x:v>act p95毫秒</x:v>
      </x:c>
      <x:c r="F69" s="19" t="str">
        <x:v>12.91</x:v>
      </x:c>
      <x:c r="G69" s="19" t="str">
        <x:v>速度/计算</x:v>
      </x:c>
      <x:c r="H69" s="19" t="str">
        <x:v>D:/Codex/GRL研究/outputs/grid02/GRID02_report.md</x:v>
      </x:c>
    </x:row>
    <x:row r="70" ht="36" customHeight="1">
      <x:c r="A70" s="19" t="str">
        <x:v>GRID02</x:v>
      </x:c>
      <x:c r="B70" s="19" t="str">
        <x:v>GRID02_report.md</x:v>
      </x:c>
      <x:c r="C70" s="19" t="str">
        <x:v>2. 2. 执行与结果</x:v>
      </x:c>
      <x:c r="D70" s="19" t="str">
        <x:v>配置=NN20；主运行步数=1150</x:v>
      </x:c>
      <x:c r="E70" s="19" t="str">
        <x:v>act最大秒</x:v>
      </x:c>
      <x:c r="F70" s="19" t="str">
        <x:v>4.089</x:v>
      </x:c>
      <x:c r="G70" s="19" t="str">
        <x:v>速度/计算</x:v>
      </x:c>
      <x:c r="H70" s="19" t="str">
        <x:v>D:/Codex/GRL研究/outputs/grid02/GRID02_report.md</x:v>
      </x:c>
    </x:row>
    <x:row r="71" ht="36" customHeight="1">
      <x:c r="A71" s="19" t="str">
        <x:v>GRID02</x:v>
      </x:c>
      <x:c r="B71" s="19" t="str">
        <x:v>GRID02_report.md</x:v>
      </x:c>
      <x:c r="C71" s="19" t="str">
        <x:v>2. 2. 执行与结果</x:v>
      </x:c>
      <x:c r="D71" s="19" t="str">
        <x:v>配置=NN352；主运行步数=1150</x:v>
      </x:c>
      <x:c r="E71" s="19" t="str">
        <x:v>主运行步数</x:v>
      </x:c>
      <x:c r="F71" s="19" t="str">
        <x:v>1150</x:v>
      </x:c>
      <x:c r="G71" s="19" t="str">
        <x:v>质量/成本</x:v>
      </x:c>
      <x:c r="H71" s="19" t="str">
        <x:v>D:/Codex/GRL研究/outputs/grid02/GRID02_report.md</x:v>
      </x:c>
    </x:row>
    <x:row r="72" ht="36" customHeight="1">
      <x:c r="A72" s="19" t="str">
        <x:v>GRID02</x:v>
      </x:c>
      <x:c r="B72" s="19" t="str">
        <x:v>GRID02_report.md</x:v>
      </x:c>
      <x:c r="C72" s="19" t="str">
        <x:v>2. 2. 执行与结果</x:v>
      </x:c>
      <x:c r="D72" s="19" t="str">
        <x:v>配置=NN352；主运行步数=1150</x:v>
      </x:c>
      <x:c r="E72" s="19" t="str">
        <x:v>模拟调用</x:v>
      </x:c>
      <x:c r="F72" s="19" t="str">
        <x:v>11,049</x:v>
      </x:c>
      <x:c r="G72" s="19" t="str">
        <x:v>速度/计算</x:v>
      </x:c>
      <x:c r="H72" s="19" t="str">
        <x:v>D:/Codex/GRL研究/outputs/grid02/GRID02_report.md</x:v>
      </x:c>
    </x:row>
    <x:row r="73" ht="36" customHeight="1">
      <x:c r="A73" s="19" t="str">
        <x:v>GRID02</x:v>
      </x:c>
      <x:c r="B73" s="19" t="str">
        <x:v>GRID02_report.md</x:v>
      </x:c>
      <x:c r="C73" s="19" t="str">
        <x:v>2. 2. 执行与结果</x:v>
      </x:c>
      <x:c r="D73" s="19" t="str">
        <x:v>配置=NN352；主运行步数=1150</x:v>
      </x:c>
      <x:c r="E73" s="19" t="str">
        <x:v>act累计秒</x:v>
      </x:c>
      <x:c r="F73" s="19" t="str">
        <x:v>57.502</x:v>
      </x:c>
      <x:c r="G73" s="19" t="str">
        <x:v>速度/计算</x:v>
      </x:c>
      <x:c r="H73" s="19" t="str">
        <x:v>D:/Codex/GRL研究/outputs/grid02/GRID02_report.md</x:v>
      </x:c>
    </x:row>
    <x:row r="74" ht="36" customHeight="1">
      <x:c r="A74" s="19" t="str">
        <x:v>GRID02</x:v>
      </x:c>
      <x:c r="B74" s="19" t="str">
        <x:v>GRID02_report.md</x:v>
      </x:c>
      <x:c r="C74" s="19" t="str">
        <x:v>2. 2. 执行与结果</x:v>
      </x:c>
      <x:c r="D74" s="19" t="str">
        <x:v>配置=NN352；主运行步数=1150</x:v>
      </x:c>
      <x:c r="E74" s="19" t="str">
        <x:v>act p95毫秒</x:v>
      </x:c>
      <x:c r="F74" s="19" t="str">
        <x:v>13.00</x:v>
      </x:c>
      <x:c r="G74" s="19" t="str">
        <x:v>速度/计算</x:v>
      </x:c>
      <x:c r="H74" s="19" t="str">
        <x:v>D:/Codex/GRL研究/outputs/grid02/GRID02_report.md</x:v>
      </x:c>
    </x:row>
    <x:row r="75" ht="36" customHeight="1">
      <x:c r="A75" s="19" t="str">
        <x:v>GRID02</x:v>
      </x:c>
      <x:c r="B75" s="19" t="str">
        <x:v>GRID02_report.md</x:v>
      </x:c>
      <x:c r="C75" s="19" t="str">
        <x:v>2. 2. 执行与结果</x:v>
      </x:c>
      <x:c r="D75" s="19" t="str">
        <x:v>配置=NN352；主运行步数=1150</x:v>
      </x:c>
      <x:c r="E75" s="19" t="str">
        <x:v>act最大秒</x:v>
      </x:c>
      <x:c r="F75" s="19" t="str">
        <x:v>4.066</x:v>
      </x:c>
      <x:c r="G75" s="19" t="str">
        <x:v>速度/计算</x:v>
      </x:c>
      <x:c r="H75" s="19" t="str">
        <x:v>D:/Codex/GRL研究/outputs/grid02/GRID02_report.md</x:v>
      </x:c>
    </x:row>
    <x:row r="76" ht="36" customHeight="1">
      <x:c r="A76" s="19" t="str">
        <x:v>GRID02</x:v>
      </x:c>
      <x:c r="B76" s="19" t="str">
        <x:v>GRID02_report.md</x:v>
      </x:c>
      <x:c r="C76" s="19" t="str">
        <x:v>3. 3. 控制差异与可说的机制</x:v>
      </x:c>
      <x:c r="D76" s="19" t="str">
        <x:v>场景=0；FULL最大rho / 过载后步数=1.0649 / 6</x:v>
      </x:c>
      <x:c r="E76" s="19" t="str">
        <x:v>FULL最大rho / 过载后步数</x:v>
      </x:c>
      <x:c r="F76" s="19" t="str">
        <x:v>1.0649 / 6</x:v>
      </x:c>
      <x:c r="G76" s="19" t="str">
        <x:v>质量/成本</x:v>
      </x:c>
      <x:c r="H76" s="19" t="str">
        <x:v>D:/Codex/GRL研究/outputs/grid02/GRID02_report.md</x:v>
      </x:c>
    </x:row>
    <x:row r="77" ht="36" customHeight="1">
      <x:c r="A77" s="19" t="str">
        <x:v>GRID02</x:v>
      </x:c>
      <x:c r="B77" s="19" t="str">
        <x:v>GRID02_report.md</x:v>
      </x:c>
      <x:c r="C77" s="19" t="str">
        <x:v>3. 3. 控制差异与可说的机制</x:v>
      </x:c>
      <x:c r="D77" s="19" t="str">
        <x:v>场景=0；FULL最大rho / 过载后步数=1.0649 / 6</x:v>
      </x:c>
      <x:c r="E77" s="19" t="str">
        <x:v>NN20最大rho / 过载后步数</x:v>
      </x:c>
      <x:c r="F77" s="19" t="str">
        <x:v>1.7367 / 7</x:v>
      </x:c>
      <x:c r="G77" s="19" t="str">
        <x:v>质量/成本</x:v>
      </x:c>
      <x:c r="H77" s="19" t="str">
        <x:v>D:/Codex/GRL研究/outputs/grid02/GRID02_report.md</x:v>
      </x:c>
    </x:row>
    <x:row r="78" ht="36" customHeight="1">
      <x:c r="A78" s="19" t="str">
        <x:v>GRID02</x:v>
      </x:c>
      <x:c r="B78" s="19" t="str">
        <x:v>GRID02_report.md</x:v>
      </x:c>
      <x:c r="C78" s="19" t="str">
        <x:v>3. 3. 控制差异与可说的机制</x:v>
      </x:c>
      <x:c r="D78" s="19" t="str">
        <x:v>场景=0；FULL最大rho / 过载后步数=1.0649 / 6</x:v>
      </x:c>
      <x:c r="E78" s="19" t="str">
        <x:v>NN352</x:v>
      </x:c>
      <x:c r="F78" s="19" t="str">
        <x:v>与NN20相同</x:v>
      </x:c>
      <x:c r="G78" s="19" t="str">
        <x:v>其他/配置</x:v>
      </x:c>
      <x:c r="H78" s="19" t="str">
        <x:v>D:/Codex/GRL研究/outputs/grid02/GRID02_report.md</x:v>
      </x:c>
    </x:row>
    <x:row r="79" ht="36" customHeight="1">
      <x:c r="A79" s="19" t="str">
        <x:v>GRID02</x:v>
      </x:c>
      <x:c r="B79" s="19" t="str">
        <x:v>GRID02_report.md</x:v>
      </x:c>
      <x:c r="C79" s="19" t="str">
        <x:v>3. 3. 控制差异与可说的机制</x:v>
      </x:c>
      <x:c r="D79" s="19" t="str">
        <x:v>场景=1；FULL最大rho / 过载后步数=1.0332 / 4</x:v>
      </x:c>
      <x:c r="E79" s="19" t="str">
        <x:v>FULL最大rho / 过载后步数</x:v>
      </x:c>
      <x:c r="F79" s="19" t="str">
        <x:v>1.0332 / 4</x:v>
      </x:c>
      <x:c r="G79" s="19" t="str">
        <x:v>质量/成本</x:v>
      </x:c>
      <x:c r="H79" s="19" t="str">
        <x:v>D:/Codex/GRL研究/outputs/grid02/GRID02_report.md</x:v>
      </x:c>
    </x:row>
    <x:row r="80" ht="36" customHeight="1">
      <x:c r="A80" s="19" t="str">
        <x:v>GRID02</x:v>
      </x:c>
      <x:c r="B80" s="19" t="str">
        <x:v>GRID02_report.md</x:v>
      </x:c>
      <x:c r="C80" s="19" t="str">
        <x:v>3. 3. 控制差异与可说的机制</x:v>
      </x:c>
      <x:c r="D80" s="19" t="str">
        <x:v>场景=1；FULL最大rho / 过载后步数=1.0332 / 4</x:v>
      </x:c>
      <x:c r="E80" s="19" t="str">
        <x:v>NN20最大rho / 过载后步数</x:v>
      </x:c>
      <x:c r="F80" s="19" t="str">
        <x:v>1.0332 / 4</x:v>
      </x:c>
      <x:c r="G80" s="19" t="str">
        <x:v>质量/成本</x:v>
      </x:c>
      <x:c r="H80" s="19" t="str">
        <x:v>D:/Codex/GRL研究/outputs/grid02/GRID02_report.md</x:v>
      </x:c>
    </x:row>
    <x:row r="81" ht="36" customHeight="1">
      <x:c r="A81" s="19" t="str">
        <x:v>GRID02</x:v>
      </x:c>
      <x:c r="B81" s="19" t="str">
        <x:v>GRID02_report.md</x:v>
      </x:c>
      <x:c r="C81" s="19" t="str">
        <x:v>3. 3. 控制差异与可说的机制</x:v>
      </x:c>
      <x:c r="D81" s="19" t="str">
        <x:v>场景=1；FULL最大rho / 过载后步数=1.0332 / 4</x:v>
      </x:c>
      <x:c r="E81" s="19" t="str">
        <x:v>NN352</x:v>
      </x:c>
      <x:c r="F81" s="19" t="str">
        <x:v>与NN20相同</x:v>
      </x:c>
      <x:c r="G81" s="19" t="str">
        <x:v>其他/配置</x:v>
      </x:c>
      <x:c r="H81" s="19" t="str">
        <x:v>D:/Codex/GRL研究/outputs/grid02/GRID02_report.md</x:v>
      </x:c>
    </x:row>
    <x:row r="82" ht="36" customHeight="1">
      <x:c r="A82" s="19" t="str">
        <x:v>GRID03</x:v>
      </x:c>
      <x:c r="B82" s="19" t="str">
        <x:v>GRID03_report.md</x:v>
      </x:c>
      <x:c r="C82" s="19" t="str">
        <x:v>1. 冻结划分</x:v>
      </x:c>
      <x:c r="D82" s="19" t="str">
        <x:v>分组=development；整组后缀=0, 10, 15, 1, 2, 9, 4, 6, 11, 14</x:v>
      </x:c>
      <x:c r="E82" s="19" t="str">
        <x:v>整组后缀</x:v>
      </x:c>
      <x:c r="F82" s="19" t="str">
        <x:v>0, 10, 15, 1, 2, 9, 4, 6, 11, 14</x:v>
      </x:c>
      <x:c r="G82" s="19" t="str">
        <x:v>其他/配置</x:v>
      </x:c>
      <x:c r="H82" s="19" t="str">
        <x:v>D:/Codex/GRL研究/outputs/grid03/GRID03_report.md</x:v>
      </x:c>
    </x:row>
    <x:row r="83" ht="36" customHeight="1">
      <x:c r="A83" s="19" t="str">
        <x:v>GRID03</x:v>
      </x:c>
      <x:c r="B83" s="19" t="str">
        <x:v>GRID03_report.md</x:v>
      </x:c>
      <x:c r="C83" s="19" t="str">
        <x:v>1. 冻结划分</x:v>
      </x:c>
      <x:c r="D83" s="19" t="str">
        <x:v>分组=development；整组后缀=0, 10, 15, 1, 2, 9, 4, 6, 11, 14</x:v>
      </x:c>
      <x:c r="E83" s="19" t="str">
        <x:v>原包分组场景数</x:v>
      </x:c>
      <x:c r="F83" s="19" t="str">
        <x:v>520</x:v>
      </x:c>
      <x:c r="G83" s="19" t="str">
        <x:v>其他/配置</x:v>
      </x:c>
      <x:c r="H83" s="19" t="str">
        <x:v>D:/Codex/GRL研究/outputs/grid03/GRID03_report.md</x:v>
      </x:c>
    </x:row>
    <x:row r="84" ht="36" customHeight="1">
      <x:c r="A84" s="19" t="str">
        <x:v>GRID03</x:v>
      </x:c>
      <x:c r="B84" s="19" t="str">
        <x:v>GRID03_report.md</x:v>
      </x:c>
      <x:c r="C84" s="19" t="str">
        <x:v>1. 冻结划分</x:v>
      </x:c>
      <x:c r="D84" s="19" t="str">
        <x:v>分组=development；整组后缀=0, 10, 15, 1, 2, 9, 4, 6, 11, 14</x:v>
      </x:c>
      <x:c r="E84" s="19" t="str">
        <x:v>本轮解压数</x:v>
      </x:c>
      <x:c r="F84" s="19" t="str">
        <x:v>24</x:v>
      </x:c>
      <x:c r="G84" s="19" t="str">
        <x:v>其他/配置</x:v>
      </x:c>
      <x:c r="H84" s="19" t="str">
        <x:v>D:/Codex/GRL研究/outputs/grid03/GRID03_report.md</x:v>
      </x:c>
    </x:row>
    <x:row r="85" ht="36" customHeight="1">
      <x:c r="A85" s="19" t="str">
        <x:v>GRID03</x:v>
      </x:c>
      <x:c r="B85" s="19" t="str">
        <x:v>GRID03_report.md</x:v>
      </x:c>
      <x:c r="C85" s="19" t="str">
        <x:v>1. 冻结划分</x:v>
      </x:c>
      <x:c r="D85" s="19" t="str">
        <x:v>分组=validation；整组后缀=3, 5, 12</x:v>
      </x:c>
      <x:c r="E85" s="19" t="str">
        <x:v>整组后缀</x:v>
      </x:c>
      <x:c r="F85" s="19" t="str">
        <x:v>3, 5, 12</x:v>
      </x:c>
      <x:c r="G85" s="19" t="str">
        <x:v>其他/配置</x:v>
      </x:c>
      <x:c r="H85" s="19" t="str">
        <x:v>D:/Codex/GRL研究/outputs/grid03/GRID03_report.md</x:v>
      </x:c>
    </x:row>
    <x:row r="86" ht="36" customHeight="1">
      <x:c r="A86" s="19" t="str">
        <x:v>GRID03</x:v>
      </x:c>
      <x:c r="B86" s="19" t="str">
        <x:v>GRID03_report.md</x:v>
      </x:c>
      <x:c r="C86" s="19" t="str">
        <x:v>1. 冻结划分</x:v>
      </x:c>
      <x:c r="D86" s="19" t="str">
        <x:v>分组=validation；整组后缀=3, 5, 12</x:v>
      </x:c>
      <x:c r="E86" s="19" t="str">
        <x:v>原包分组场景数</x:v>
      </x:c>
      <x:c r="F86" s="19" t="str">
        <x:v>156</x:v>
      </x:c>
      <x:c r="G86" s="19" t="str">
        <x:v>其他/配置</x:v>
      </x:c>
      <x:c r="H86" s="19" t="str">
        <x:v>D:/Codex/GRL研究/outputs/grid03/GRID03_report.md</x:v>
      </x:c>
    </x:row>
    <x:row r="87" ht="36" customHeight="1">
      <x:c r="A87" s="19" t="str">
        <x:v>GRID03</x:v>
      </x:c>
      <x:c r="B87" s="19" t="str">
        <x:v>GRID03_report.md</x:v>
      </x:c>
      <x:c r="C87" s="19" t="str">
        <x:v>1. 冻结划分</x:v>
      </x:c>
      <x:c r="D87" s="19" t="str">
        <x:v>分组=validation；整组后缀=3, 5, 12</x:v>
      </x:c>
      <x:c r="E87" s="19" t="str">
        <x:v>本轮解压数</x:v>
      </x:c>
      <x:c r="F87" s="19" t="str">
        <x:v>12</x:v>
      </x:c>
      <x:c r="G87" s="19" t="str">
        <x:v>其他/配置</x:v>
      </x:c>
      <x:c r="H87" s="19" t="str">
        <x:v>D:/Codex/GRL研究/outputs/grid03/GRID03_report.md</x:v>
      </x:c>
    </x:row>
    <x:row r="88" ht="36" customHeight="1">
      <x:c r="A88" s="19" t="str">
        <x:v>GRID03</x:v>
      </x:c>
      <x:c r="B88" s="19" t="str">
        <x:v>GRID03_report.md</x:v>
      </x:c>
      <x:c r="C88" s="19" t="str">
        <x:v>1. 冻结划分</x:v>
      </x:c>
      <x:c r="D88" s="19" t="str">
        <x:v>分组=test；整组后缀=13, 8, 7</x:v>
      </x:c>
      <x:c r="E88" s="19" t="str">
        <x:v>整组后缀</x:v>
      </x:c>
      <x:c r="F88" s="19" t="str">
        <x:v>13, 8, 7</x:v>
      </x:c>
      <x:c r="G88" s="19" t="str">
        <x:v>其他/配置</x:v>
      </x:c>
      <x:c r="H88" s="19" t="str">
        <x:v>D:/Codex/GRL研究/outputs/grid03/GRID03_report.md</x:v>
      </x:c>
    </x:row>
    <x:row r="89" ht="36" customHeight="1">
      <x:c r="A89" s="19" t="str">
        <x:v>GRID03</x:v>
      </x:c>
      <x:c r="B89" s="19" t="str">
        <x:v>GRID03_report.md</x:v>
      </x:c>
      <x:c r="C89" s="19" t="str">
        <x:v>1. 冻结划分</x:v>
      </x:c>
      <x:c r="D89" s="19" t="str">
        <x:v>分组=test；整组后缀=13, 8, 7</x:v>
      </x:c>
      <x:c r="E89" s="19" t="str">
        <x:v>原包分组场景数</x:v>
      </x:c>
      <x:c r="F89" s="19" t="str">
        <x:v>156</x:v>
      </x:c>
      <x:c r="G89" s="19" t="str">
        <x:v>其他/配置</x:v>
      </x:c>
      <x:c r="H89" s="19" t="str">
        <x:v>D:/Codex/GRL研究/outputs/grid03/GRID03_report.md</x:v>
      </x:c>
    </x:row>
    <x:row r="90" ht="36" customHeight="1">
      <x:c r="A90" s="19" t="str">
        <x:v>GRID03</x:v>
      </x:c>
      <x:c r="B90" s="19" t="str">
        <x:v>GRID03_report.md</x:v>
      </x:c>
      <x:c r="C90" s="19" t="str">
        <x:v>1. 冻结划分</x:v>
      </x:c>
      <x:c r="D90" s="19" t="str">
        <x:v>分组=test；整组后缀=13, 8, 7</x:v>
      </x:c>
      <x:c r="E90" s="19" t="str">
        <x:v>本轮解压数</x:v>
      </x:c>
      <x:c r="F90" s="19" t="str">
        <x:v>12</x:v>
      </x:c>
      <x:c r="G90" s="19" t="str">
        <x:v>其他/配置</x:v>
      </x:c>
      <x:c r="H90" s="19" t="str">
        <x:v>D:/Codex/GRL研究/outputs/grid03/GRID03_report.md</x:v>
      </x:c>
    </x:row>
    <x:row r="91" ht="36" customHeight="1">
      <x:c r="A91" s="19" t="str">
        <x:v>GRID04</x:v>
      </x:c>
      <x:c r="B91" s="19" t="str">
        <x:v>GRID04_report.md</x:v>
      </x:c>
      <x:c r="C91" s="19" t="str">
        <x:v>1. 汇总与逐周结果</x:v>
      </x:c>
      <x:c r="D91" s="19" t="str">
        <x:v>周=2035-01-29_4；FULL=1719</x:v>
      </x:c>
      <x:c r="E91" s="19" t="str">
        <x:v>FULL</x:v>
      </x:c>
      <x:c r="F91" s="19" t="str">
        <x:v>1719</x:v>
      </x:c>
      <x:c r="G91" s="19" t="str">
        <x:v>其他/配置</x:v>
      </x:c>
      <x:c r="H91" s="19" t="str">
        <x:v>D:/Codex/GRL研究/outputs/grid04/GRID04_report.md</x:v>
      </x:c>
    </x:row>
    <x:row r="92" ht="36" customHeight="1">
      <x:c r="A92" s="19" t="str">
        <x:v>GRID04</x:v>
      </x:c>
      <x:c r="B92" s="19" t="str">
        <x:v>GRID04_report.md</x:v>
      </x:c>
      <x:c r="C92" s="19" t="str">
        <x:v>1. 汇总与逐周结果</x:v>
      </x:c>
      <x:c r="D92" s="19" t="str">
        <x:v>周=2035-01-29_4；FULL=1719</x:v>
      </x:c>
      <x:c r="E92" s="19" t="str">
        <x:v>NN20</x:v>
      </x:c>
      <x:c r="F92" s="19" t="str">
        <x:v>462</x:v>
      </x:c>
      <x:c r="G92" s="19" t="str">
        <x:v>其他/配置</x:v>
      </x:c>
      <x:c r="H92" s="19" t="str">
        <x:v>D:/Codex/GRL研究/outputs/grid04/GRID04_report.md</x:v>
      </x:c>
    </x:row>
    <x:row r="93" ht="36" customHeight="1">
      <x:c r="A93" s="19" t="str">
        <x:v>GRID04</x:v>
      </x:c>
      <x:c r="B93" s="19" t="str">
        <x:v>GRID04_report.md</x:v>
      </x:c>
      <x:c r="C93" s="19" t="str">
        <x:v>1. 汇总与逐周结果</x:v>
      </x:c>
      <x:c r="D93" s="19" t="str">
        <x:v>周=2035-01-29_4；FULL=1719</x:v>
      </x:c>
      <x:c r="E93" s="19" t="str">
        <x:v>NN352</x:v>
      </x:c>
      <x:c r="F93" s="19" t="str">
        <x:v>1719</x:v>
      </x:c>
      <x:c r="G93" s="19" t="str">
        <x:v>其他/配置</x:v>
      </x:c>
      <x:c r="H93" s="19" t="str">
        <x:v>D:/Codex/GRL研究/outputs/grid04/GRID04_report.md</x:v>
      </x:c>
    </x:row>
    <x:row r="94" ht="36" customHeight="1">
      <x:c r="A94" s="19" t="str">
        <x:v>GRID04</x:v>
      </x:c>
      <x:c r="B94" s="19" t="str">
        <x:v>GRID04_report.md</x:v>
      </x:c>
      <x:c r="C94" s="19" t="str">
        <x:v>1. 汇总与逐周结果</x:v>
      </x:c>
      <x:c r="D94" s="19" t="str">
        <x:v>周=2035-01-29_4；FULL=1719</x:v>
      </x:c>
      <x:c r="E94" s="19" t="str">
        <x:v>LOCAL20</x:v>
      </x:c>
      <x:c r="F94" s="19" t="str">
        <x:v>1719</x:v>
      </x:c>
      <x:c r="G94" s="19" t="str">
        <x:v>其他/配置</x:v>
      </x:c>
      <x:c r="H94" s="19" t="str">
        <x:v>D:/Codex/GRL研究/outputs/grid04/GRID04_report.md</x:v>
      </x:c>
    </x:row>
    <x:row r="95" ht="36" customHeight="1">
      <x:c r="A95" s="19" t="str">
        <x:v>GRID04</x:v>
      </x:c>
      <x:c r="B95" s="19" t="str">
        <x:v>GRID04_report.md</x:v>
      </x:c>
      <x:c r="C95" s="19" t="str">
        <x:v>1. 汇总与逐周结果</x:v>
      </x:c>
      <x:c r="D95" s="19" t="str">
        <x:v>周=2035-01-29_4；FULL=1719</x:v>
      </x:c>
      <x:c r="E95" s="19" t="str">
        <x:v>RANDOM20</x:v>
      </x:c>
      <x:c r="F95" s="19" t="str">
        <x:v>1486</x:v>
      </x:c>
      <x:c r="G95" s="19" t="str">
        <x:v>其他/配置</x:v>
      </x:c>
      <x:c r="H95" s="19" t="str">
        <x:v>D:/Codex/GRL研究/outputs/grid04/GRID04_report.md</x:v>
      </x:c>
    </x:row>
    <x:row r="96" ht="36" customHeight="1">
      <x:c r="A96" s="19" t="str">
        <x:v>GRID04</x:v>
      </x:c>
      <x:c r="B96" s="19" t="str">
        <x:v>GRID04_report.md</x:v>
      </x:c>
      <x:c r="C96" s="19" t="str">
        <x:v>1. 汇总与逐周结果</x:v>
      </x:c>
      <x:c r="D96" s="19" t="str">
        <x:v>周=2035-04-16_2；FULL=2017（完整）</x:v>
      </x:c>
      <x:c r="E96" s="19" t="str">
        <x:v>FULL</x:v>
      </x:c>
      <x:c r="F96" s="19" t="str">
        <x:v>2017（完整）</x:v>
      </x:c>
      <x:c r="G96" s="19" t="str">
        <x:v>其他/配置</x:v>
      </x:c>
      <x:c r="H96" s="19" t="str">
        <x:v>D:/Codex/GRL研究/outputs/grid04/GRID04_report.md</x:v>
      </x:c>
    </x:row>
    <x:row r="97" ht="36" customHeight="1">
      <x:c r="A97" s="19" t="str">
        <x:v>GRID04</x:v>
      </x:c>
      <x:c r="B97" s="19" t="str">
        <x:v>GRID04_report.md</x:v>
      </x:c>
      <x:c r="C97" s="19" t="str">
        <x:v>1. 汇总与逐周结果</x:v>
      </x:c>
      <x:c r="D97" s="19" t="str">
        <x:v>周=2035-04-16_2；FULL=2017（完整）</x:v>
      </x:c>
      <x:c r="E97" s="19" t="str">
        <x:v>NN20</x:v>
      </x:c>
      <x:c r="F97" s="19" t="str">
        <x:v>2017（完整）</x:v>
      </x:c>
      <x:c r="G97" s="19" t="str">
        <x:v>其他/配置</x:v>
      </x:c>
      <x:c r="H97" s="19" t="str">
        <x:v>D:/Codex/GRL研究/outputs/grid04/GRID04_report.md</x:v>
      </x:c>
    </x:row>
    <x:row r="98" ht="36" customHeight="1">
      <x:c r="A98" s="19" t="str">
        <x:v>GRID04</x:v>
      </x:c>
      <x:c r="B98" s="19" t="str">
        <x:v>GRID04_report.md</x:v>
      </x:c>
      <x:c r="C98" s="19" t="str">
        <x:v>1. 汇总与逐周结果</x:v>
      </x:c>
      <x:c r="D98" s="19" t="str">
        <x:v>周=2035-04-16_2；FULL=2017（完整）</x:v>
      </x:c>
      <x:c r="E98" s="19" t="str">
        <x:v>NN352</x:v>
      </x:c>
      <x:c r="F98" s="19" t="str">
        <x:v>2017（完整）</x:v>
      </x:c>
      <x:c r="G98" s="19" t="str">
        <x:v>其他/配置</x:v>
      </x:c>
      <x:c r="H98" s="19" t="str">
        <x:v>D:/Codex/GRL研究/outputs/grid04/GRID04_report.md</x:v>
      </x:c>
    </x:row>
    <x:row r="99" ht="36" customHeight="1">
      <x:c r="A99" s="19" t="str">
        <x:v>GRID04</x:v>
      </x:c>
      <x:c r="B99" s="19" t="str">
        <x:v>GRID04_report.md</x:v>
      </x:c>
      <x:c r="C99" s="19" t="str">
        <x:v>1. 汇总与逐周结果</x:v>
      </x:c>
      <x:c r="D99" s="19" t="str">
        <x:v>周=2035-04-16_2；FULL=2017（完整）</x:v>
      </x:c>
      <x:c r="E99" s="19" t="str">
        <x:v>LOCAL20</x:v>
      </x:c>
      <x:c r="F99" s="19" t="str">
        <x:v>2017（完整）</x:v>
      </x:c>
      <x:c r="G99" s="19" t="str">
        <x:v>其他/配置</x:v>
      </x:c>
      <x:c r="H99" s="19" t="str">
        <x:v>D:/Codex/GRL研究/outputs/grid04/GRID04_report.md</x:v>
      </x:c>
    </x:row>
    <x:row r="100" ht="36" customHeight="1">
      <x:c r="A100" s="19" t="str">
        <x:v>GRID04</x:v>
      </x:c>
      <x:c r="B100" s="19" t="str">
        <x:v>GRID04_report.md</x:v>
      </x:c>
      <x:c r="C100" s="19" t="str">
        <x:v>1. 汇总与逐周结果</x:v>
      </x:c>
      <x:c r="D100" s="19" t="str">
        <x:v>周=2035-04-16_2；FULL=2017（完整）</x:v>
      </x:c>
      <x:c r="E100" s="19" t="str">
        <x:v>RANDOM20</x:v>
      </x:c>
      <x:c r="F100" s="19" t="str">
        <x:v>1519</x:v>
      </x:c>
      <x:c r="G100" s="19" t="str">
        <x:v>其他/配置</x:v>
      </x:c>
      <x:c r="H100" s="19" t="str">
        <x:v>D:/Codex/GRL研究/outputs/grid04/GRID04_report.md</x:v>
      </x:c>
    </x:row>
    <x:row r="101" ht="36" customHeight="1">
      <x:c r="A101" s="19" t="str">
        <x:v>GRID04</x:v>
      </x:c>
      <x:c r="B101" s="19" t="str">
        <x:v>GRID04_report.md</x:v>
      </x:c>
      <x:c r="C101" s="19" t="str">
        <x:v>1. 汇总与逐周结果</x:v>
      </x:c>
      <x:c r="D101" s="19" t="str">
        <x:v>周=2035-07-23_10；FULL=2017（完整）</x:v>
      </x:c>
      <x:c r="E101" s="19" t="str">
        <x:v>FULL</x:v>
      </x:c>
      <x:c r="F101" s="19" t="str">
        <x:v>2017（完整）</x:v>
      </x:c>
      <x:c r="G101" s="19" t="str">
        <x:v>其他/配置</x:v>
      </x:c>
      <x:c r="H101" s="19" t="str">
        <x:v>D:/Codex/GRL研究/outputs/grid04/GRID04_report.md</x:v>
      </x:c>
    </x:row>
    <x:row r="102" ht="36" customHeight="1">
      <x:c r="A102" s="19" t="str">
        <x:v>GRID04</x:v>
      </x:c>
      <x:c r="B102" s="19" t="str">
        <x:v>GRID04_report.md</x:v>
      </x:c>
      <x:c r="C102" s="19" t="str">
        <x:v>1. 汇总与逐周结果</x:v>
      </x:c>
      <x:c r="D102" s="19" t="str">
        <x:v>周=2035-07-23_10；FULL=2017（完整）</x:v>
      </x:c>
      <x:c r="E102" s="19" t="str">
        <x:v>NN20</x:v>
      </x:c>
      <x:c r="F102" s="19" t="str">
        <x:v>2017（完整）</x:v>
      </x:c>
      <x:c r="G102" s="19" t="str">
        <x:v>其他/配置</x:v>
      </x:c>
      <x:c r="H102" s="19" t="str">
        <x:v>D:/Codex/GRL研究/outputs/grid04/GRID04_report.md</x:v>
      </x:c>
    </x:row>
    <x:row r="103" ht="36" customHeight="1">
      <x:c r="A103" s="19" t="str">
        <x:v>GRID04</x:v>
      </x:c>
      <x:c r="B103" s="19" t="str">
        <x:v>GRID04_report.md</x:v>
      </x:c>
      <x:c r="C103" s="19" t="str">
        <x:v>1. 汇总与逐周结果</x:v>
      </x:c>
      <x:c r="D103" s="19" t="str">
        <x:v>周=2035-07-23_10；FULL=2017（完整）</x:v>
      </x:c>
      <x:c r="E103" s="19" t="str">
        <x:v>NN352</x:v>
      </x:c>
      <x:c r="F103" s="19" t="str">
        <x:v>2017（完整）</x:v>
      </x:c>
      <x:c r="G103" s="19" t="str">
        <x:v>其他/配置</x:v>
      </x:c>
      <x:c r="H103" s="19" t="str">
        <x:v>D:/Codex/GRL研究/outputs/grid04/GRID04_report.md</x:v>
      </x:c>
    </x:row>
    <x:row r="104" ht="36" customHeight="1">
      <x:c r="A104" s="19" t="str">
        <x:v>GRID04</x:v>
      </x:c>
      <x:c r="B104" s="19" t="str">
        <x:v>GRID04_report.md</x:v>
      </x:c>
      <x:c r="C104" s="19" t="str">
        <x:v>1. 汇总与逐周结果</x:v>
      </x:c>
      <x:c r="D104" s="19" t="str">
        <x:v>周=2035-07-23_10；FULL=2017（完整）</x:v>
      </x:c>
      <x:c r="E104" s="19" t="str">
        <x:v>LOCAL20</x:v>
      </x:c>
      <x:c r="F104" s="19" t="str">
        <x:v>2017（完整）</x:v>
      </x:c>
      <x:c r="G104" s="19" t="str">
        <x:v>其他/配置</x:v>
      </x:c>
      <x:c r="H104" s="19" t="str">
        <x:v>D:/Codex/GRL研究/outputs/grid04/GRID04_report.md</x:v>
      </x:c>
    </x:row>
    <x:row r="105" ht="36" customHeight="1">
      <x:c r="A105" s="19" t="str">
        <x:v>GRID04</x:v>
      </x:c>
      <x:c r="B105" s="19" t="str">
        <x:v>GRID04_report.md</x:v>
      </x:c>
      <x:c r="C105" s="19" t="str">
        <x:v>1. 汇总与逐周结果</x:v>
      </x:c>
      <x:c r="D105" s="19" t="str">
        <x:v>周=2035-07-23_10；FULL=2017（完整）</x:v>
      </x:c>
      <x:c r="E105" s="19" t="str">
        <x:v>RANDOM20</x:v>
      </x:c>
      <x:c r="F105" s="19" t="str">
        <x:v>2017（完整）</x:v>
      </x:c>
      <x:c r="G105" s="19" t="str">
        <x:v>其他/配置</x:v>
      </x:c>
      <x:c r="H105" s="19" t="str">
        <x:v>D:/Codex/GRL研究/outputs/grid04/GRID04_report.md</x:v>
      </x:c>
    </x:row>
    <x:row r="106" ht="36" customHeight="1">
      <x:c r="A106" s="19" t="str">
        <x:v>GRID04</x:v>
      </x:c>
      <x:c r="B106" s="19" t="str">
        <x:v>GRID04_report.md</x:v>
      </x:c>
      <x:c r="C106" s="19" t="str">
        <x:v>1. 汇总与逐周结果</x:v>
      </x:c>
      <x:c r="D106" s="19" t="str">
        <x:v>周=2035-10-29_15；FULL=2017（完整）</x:v>
      </x:c>
      <x:c r="E106" s="19" t="str">
        <x:v>FULL</x:v>
      </x:c>
      <x:c r="F106" s="19" t="str">
        <x:v>2017（完整）</x:v>
      </x:c>
      <x:c r="G106" s="19" t="str">
        <x:v>其他/配置</x:v>
      </x:c>
      <x:c r="H106" s="19" t="str">
        <x:v>D:/Codex/GRL研究/outputs/grid04/GRID04_report.md</x:v>
      </x:c>
    </x:row>
    <x:row r="107" ht="36" customHeight="1">
      <x:c r="A107" s="19" t="str">
        <x:v>GRID04</x:v>
      </x:c>
      <x:c r="B107" s="19" t="str">
        <x:v>GRID04_report.md</x:v>
      </x:c>
      <x:c r="C107" s="19" t="str">
        <x:v>1. 汇总与逐周结果</x:v>
      </x:c>
      <x:c r="D107" s="19" t="str">
        <x:v>周=2035-10-29_15；FULL=2017（完整）</x:v>
      </x:c>
      <x:c r="E107" s="19" t="str">
        <x:v>NN20</x:v>
      </x:c>
      <x:c r="F107" s="19" t="str">
        <x:v>2017（完整）</x:v>
      </x:c>
      <x:c r="G107" s="19" t="str">
        <x:v>其他/配置</x:v>
      </x:c>
      <x:c r="H107" s="19" t="str">
        <x:v>D:/Codex/GRL研究/outputs/grid04/GRID04_report.md</x:v>
      </x:c>
    </x:row>
    <x:row r="108" ht="36" customHeight="1">
      <x:c r="A108" s="19" t="str">
        <x:v>GRID04</x:v>
      </x:c>
      <x:c r="B108" s="19" t="str">
        <x:v>GRID04_report.md</x:v>
      </x:c>
      <x:c r="C108" s="19" t="str">
        <x:v>1. 汇总与逐周结果</x:v>
      </x:c>
      <x:c r="D108" s="19" t="str">
        <x:v>周=2035-10-29_15；FULL=2017（完整）</x:v>
      </x:c>
      <x:c r="E108" s="19" t="str">
        <x:v>NN352</x:v>
      </x:c>
      <x:c r="F108" s="19" t="str">
        <x:v>2017（完整）</x:v>
      </x:c>
      <x:c r="G108" s="19" t="str">
        <x:v>其他/配置</x:v>
      </x:c>
      <x:c r="H108" s="19" t="str">
        <x:v>D:/Codex/GRL研究/outputs/grid04/GRID04_report.md</x:v>
      </x:c>
    </x:row>
    <x:row r="109" ht="36" customHeight="1">
      <x:c r="A109" s="19" t="str">
        <x:v>GRID04</x:v>
      </x:c>
      <x:c r="B109" s="19" t="str">
        <x:v>GRID04_report.md</x:v>
      </x:c>
      <x:c r="C109" s="19" t="str">
        <x:v>1. 汇总与逐周结果</x:v>
      </x:c>
      <x:c r="D109" s="19" t="str">
        <x:v>周=2035-10-29_15；FULL=2017（完整）</x:v>
      </x:c>
      <x:c r="E109" s="19" t="str">
        <x:v>LOCAL20</x:v>
      </x:c>
      <x:c r="F109" s="19" t="str">
        <x:v>102</x:v>
      </x:c>
      <x:c r="G109" s="19" t="str">
        <x:v>其他/配置</x:v>
      </x:c>
      <x:c r="H109" s="19" t="str">
        <x:v>D:/Codex/GRL研究/outputs/grid04/GRID04_report.md</x:v>
      </x:c>
    </x:row>
    <x:row r="110" ht="36" customHeight="1">
      <x:c r="A110" s="19" t="str">
        <x:v>GRID04</x:v>
      </x:c>
      <x:c r="B110" s="19" t="str">
        <x:v>GRID04_report.md</x:v>
      </x:c>
      <x:c r="C110" s="19" t="str">
        <x:v>1. 汇总与逐周结果</x:v>
      </x:c>
      <x:c r="D110" s="19" t="str">
        <x:v>周=2035-10-29_15；FULL=2017（完整）</x:v>
      </x:c>
      <x:c r="E110" s="19" t="str">
        <x:v>RANDOM20</x:v>
      </x:c>
      <x:c r="F110" s="19" t="str">
        <x:v>2017（完整）</x:v>
      </x:c>
      <x:c r="G110" s="19" t="str">
        <x:v>其他/配置</x:v>
      </x:c>
      <x:c r="H110" s="19" t="str">
        <x:v>D:/Codex/GRL研究/outputs/grid04/GRID04_report.md</x:v>
      </x:c>
    </x:row>
    <x:row r="111" ht="36" customHeight="1">
      <x:c r="A111" s="19" t="str">
        <x:v>GRID04</x:v>
      </x:c>
      <x:c r="B111" s="19" t="str">
        <x:v>GRID04_report.md</x:v>
      </x:c>
      <x:c r="C111" s="19" t="str">
        <x:v>2. 汇总与逐周结果</x:v>
      </x:c>
      <x:c r="D111" s="19" t="str">
        <x:v>配置=FULL；完整周=3/4</x:v>
      </x:c>
      <x:c r="E111" s="19" t="str">
        <x:v>完整周</x:v>
      </x:c>
      <x:c r="F111" s="19" t="str">
        <x:v>3/4</x:v>
      </x:c>
      <x:c r="G111" s="19" t="str">
        <x:v>质量/成本</x:v>
      </x:c>
      <x:c r="H111" s="19" t="str">
        <x:v>D:/Codex/GRL研究/outputs/grid04/GRID04_report.md</x:v>
      </x:c>
    </x:row>
    <x:row r="112" ht="36" customHeight="1">
      <x:c r="A112" s="19" t="str">
        <x:v>GRID04</x:v>
      </x:c>
      <x:c r="B112" s="19" t="str">
        <x:v>GRID04_report.md</x:v>
      </x:c>
      <x:c r="C112" s="19" t="str">
        <x:v>2. 汇总与逐周结果</x:v>
      </x:c>
      <x:c r="D112" s="19" t="str">
        <x:v>配置=FULL；完整周=3/4</x:v>
      </x:c>
      <x:c r="E112" s="19" t="str">
        <x:v>实际步数</x:v>
      </x:c>
      <x:c r="F112" s="19" t="str">
        <x:v>7770</x:v>
      </x:c>
      <x:c r="G112" s="19" t="str">
        <x:v>质量/成本</x:v>
      </x:c>
      <x:c r="H112" s="19" t="str">
        <x:v>D:/Codex/GRL研究/outputs/grid04/GRID04_report.md</x:v>
      </x:c>
    </x:row>
    <x:row r="113" ht="36" customHeight="1">
      <x:c r="A113" s="19" t="str">
        <x:v>GRID04</x:v>
      </x:c>
      <x:c r="B113" s="19" t="str">
        <x:v>GRID04_report.md</x:v>
      </x:c>
      <x:c r="C113" s="19" t="str">
        <x:v>2. 汇总与逐周结果</x:v>
      </x:c>
      <x:c r="D113" s="19" t="str">
        <x:v>配置=FULL；完整周=3/4</x:v>
      </x:c>
      <x:c r="E113" s="19" t="str">
        <x:v>模拟调用</x:v>
      </x:c>
      <x:c r="F113" s="19" t="str">
        <x:v>58,364</x:v>
      </x:c>
      <x:c r="G113" s="19" t="str">
        <x:v>速度/计算</x:v>
      </x:c>
      <x:c r="H113" s="19" t="str">
        <x:v>D:/Codex/GRL研究/outputs/grid04/GRID04_report.md</x:v>
      </x:c>
    </x:row>
    <x:row r="114" ht="36" customHeight="1">
      <x:c r="A114" s="19" t="str">
        <x:v>GRID04</x:v>
      </x:c>
      <x:c r="B114" s="19" t="str">
        <x:v>GRID04_report.md</x:v>
      </x:c>
      <x:c r="C114" s="19" t="str">
        <x:v>2. 汇总与逐周结果</x:v>
      </x:c>
      <x:c r="D114" s="19" t="str">
        <x:v>配置=FULL；完整周=3/4</x:v>
      </x:c>
      <x:c r="E114" s="19" t="str">
        <x:v>act累计秒</x:v>
      </x:c>
      <x:c r="F114" s="19" t="str">
        <x:v>263.13</x:v>
      </x:c>
      <x:c r="G114" s="19" t="str">
        <x:v>速度/计算</x:v>
      </x:c>
      <x:c r="H114" s="19" t="str">
        <x:v>D:/Codex/GRL研究/outputs/grid04/GRID04_report.md</x:v>
      </x:c>
    </x:row>
    <x:row r="115" ht="36" customHeight="1">
      <x:c r="A115" s="19" t="str">
        <x:v>GRID04</x:v>
      </x:c>
      <x:c r="B115" s="19" t="str">
        <x:v>GRID04_report.md</x:v>
      </x:c>
      <x:c r="C115" s="19" t="str">
        <x:v>2. 汇总与逐周结果</x:v>
      </x:c>
      <x:c r="D115" s="19" t="str">
        <x:v>配置=FULL；完整周=3/4</x:v>
      </x:c>
      <x:c r="E115" s="19" t="str">
        <x:v>四周原始成本均值</x:v>
      </x:c>
      <x:c r="F115" s="19" t="str">
        <x:v>不聚合</x:v>
      </x:c>
      <x:c r="G115" s="19" t="str">
        <x:v>质量/成本</x:v>
      </x:c>
      <x:c r="H115" s="19" t="str">
        <x:v>D:/Codex/GRL研究/outputs/grid04/GRID04_report.md</x:v>
      </x:c>
    </x:row>
    <x:row r="116" ht="36" customHeight="1">
      <x:c r="A116" s="19" t="str">
        <x:v>GRID04</x:v>
      </x:c>
      <x:c r="B116" s="19" t="str">
        <x:v>GRID04_report.md</x:v>
      </x:c>
      <x:c r="C116" s="19" t="str">
        <x:v>2. 汇总与逐周结果</x:v>
      </x:c>
      <x:c r="D116" s="19" t="str">
        <x:v>配置=NN20；完整周=3/4</x:v>
      </x:c>
      <x:c r="E116" s="19" t="str">
        <x:v>完整周</x:v>
      </x:c>
      <x:c r="F116" s="19" t="str">
        <x:v>3/4</x:v>
      </x:c>
      <x:c r="G116" s="19" t="str">
        <x:v>质量/成本</x:v>
      </x:c>
      <x:c r="H116" s="19" t="str">
        <x:v>D:/Codex/GRL研究/outputs/grid04/GRID04_report.md</x:v>
      </x:c>
    </x:row>
    <x:row r="117" ht="36" customHeight="1">
      <x:c r="A117" s="19" t="str">
        <x:v>GRID04</x:v>
      </x:c>
      <x:c r="B117" s="19" t="str">
        <x:v>GRID04_report.md</x:v>
      </x:c>
      <x:c r="C117" s="19" t="str">
        <x:v>2. 汇总与逐周结果</x:v>
      </x:c>
      <x:c r="D117" s="19" t="str">
        <x:v>配置=NN20；完整周=3/4</x:v>
      </x:c>
      <x:c r="E117" s="19" t="str">
        <x:v>实际步数</x:v>
      </x:c>
      <x:c r="F117" s="19" t="str">
        <x:v>6513</x:v>
      </x:c>
      <x:c r="G117" s="19" t="str">
        <x:v>质量/成本</x:v>
      </x:c>
      <x:c r="H117" s="19" t="str">
        <x:v>D:/Codex/GRL研究/outputs/grid04/GRID04_report.md</x:v>
      </x:c>
    </x:row>
    <x:row r="118" ht="36" customHeight="1">
      <x:c r="A118" s="19" t="str">
        <x:v>GRID04</x:v>
      </x:c>
      <x:c r="B118" s="19" t="str">
        <x:v>GRID04_report.md</x:v>
      </x:c>
      <x:c r="C118" s="19" t="str">
        <x:v>2. 汇总与逐周结果</x:v>
      </x:c>
      <x:c r="D118" s="19" t="str">
        <x:v>配置=NN20；完整周=3/4</x:v>
      </x:c>
      <x:c r="E118" s="19" t="str">
        <x:v>模拟调用</x:v>
      </x:c>
      <x:c r="F118" s="19" t="str">
        <x:v>30,260</x:v>
      </x:c>
      <x:c r="G118" s="19" t="str">
        <x:v>速度/计算</x:v>
      </x:c>
      <x:c r="H118" s="19" t="str">
        <x:v>D:/Codex/GRL研究/outputs/grid04/GRID04_report.md</x:v>
      </x:c>
    </x:row>
    <x:row r="119" ht="36" customHeight="1">
      <x:c r="A119" s="19" t="str">
        <x:v>GRID04</x:v>
      </x:c>
      <x:c r="B119" s="19" t="str">
        <x:v>GRID04_report.md</x:v>
      </x:c>
      <x:c r="C119" s="19" t="str">
        <x:v>2. 汇总与逐周结果</x:v>
      </x:c>
      <x:c r="D119" s="19" t="str">
        <x:v>配置=NN20；完整周=3/4</x:v>
      </x:c>
      <x:c r="E119" s="19" t="str">
        <x:v>act累计秒</x:v>
      </x:c>
      <x:c r="F119" s="19" t="str">
        <x:v>149.05</x:v>
      </x:c>
      <x:c r="G119" s="19" t="str">
        <x:v>速度/计算</x:v>
      </x:c>
      <x:c r="H119" s="19" t="str">
        <x:v>D:/Codex/GRL研究/outputs/grid04/GRID04_report.md</x:v>
      </x:c>
    </x:row>
    <x:row r="120" ht="36" customHeight="1">
      <x:c r="A120" s="19" t="str">
        <x:v>GRID04</x:v>
      </x:c>
      <x:c r="B120" s="19" t="str">
        <x:v>GRID04_report.md</x:v>
      </x:c>
      <x:c r="C120" s="19" t="str">
        <x:v>2. 汇总与逐周结果</x:v>
      </x:c>
      <x:c r="D120" s="19" t="str">
        <x:v>配置=NN20；完整周=3/4</x:v>
      </x:c>
      <x:c r="E120" s="19" t="str">
        <x:v>四周原始成本均值</x:v>
      </x:c>
      <x:c r="F120" s="19" t="str">
        <x:v>不聚合</x:v>
      </x:c>
      <x:c r="G120" s="19" t="str">
        <x:v>质量/成本</x:v>
      </x:c>
      <x:c r="H120" s="19" t="str">
        <x:v>D:/Codex/GRL研究/outputs/grid04/GRID04_report.md</x:v>
      </x:c>
    </x:row>
    <x:row r="121" ht="36" customHeight="1">
      <x:c r="A121" s="19" t="str">
        <x:v>GRID04</x:v>
      </x:c>
      <x:c r="B121" s="19" t="str">
        <x:v>GRID04_report.md</x:v>
      </x:c>
      <x:c r="C121" s="19" t="str">
        <x:v>2. 汇总与逐周结果</x:v>
      </x:c>
      <x:c r="D121" s="19" t="str">
        <x:v>配置=NN352；完整周=3/4</x:v>
      </x:c>
      <x:c r="E121" s="19" t="str">
        <x:v>完整周</x:v>
      </x:c>
      <x:c r="F121" s="19" t="str">
        <x:v>3/4</x:v>
      </x:c>
      <x:c r="G121" s="19" t="str">
        <x:v>质量/成本</x:v>
      </x:c>
      <x:c r="H121" s="19" t="str">
        <x:v>D:/Codex/GRL研究/outputs/grid04/GRID04_report.md</x:v>
      </x:c>
    </x:row>
    <x:row r="122" ht="36" customHeight="1">
      <x:c r="A122" s="19" t="str">
        <x:v>GRID04</x:v>
      </x:c>
      <x:c r="B122" s="19" t="str">
        <x:v>GRID04_report.md</x:v>
      </x:c>
      <x:c r="C122" s="19" t="str">
        <x:v>2. 汇总与逐周结果</x:v>
      </x:c>
      <x:c r="D122" s="19" t="str">
        <x:v>配置=NN352；完整周=3/4</x:v>
      </x:c>
      <x:c r="E122" s="19" t="str">
        <x:v>实际步数</x:v>
      </x:c>
      <x:c r="F122" s="19" t="str">
        <x:v>7770</x:v>
      </x:c>
      <x:c r="G122" s="19" t="str">
        <x:v>质量/成本</x:v>
      </x:c>
      <x:c r="H122" s="19" t="str">
        <x:v>D:/Codex/GRL研究/outputs/grid04/GRID04_report.md</x:v>
      </x:c>
    </x:row>
    <x:row r="123" ht="36" customHeight="1">
      <x:c r="A123" s="19" t="str">
        <x:v>GRID04</x:v>
      </x:c>
      <x:c r="B123" s="19" t="str">
        <x:v>GRID04_report.md</x:v>
      </x:c>
      <x:c r="C123" s="19" t="str">
        <x:v>2. 汇总与逐周结果</x:v>
      </x:c>
      <x:c r="D123" s="19" t="str">
        <x:v>配置=NN352；完整周=3/4</x:v>
      </x:c>
      <x:c r="E123" s="19" t="str">
        <x:v>模拟调用</x:v>
      </x:c>
      <x:c r="F123" s="19" t="str">
        <x:v>56,452</x:v>
      </x:c>
      <x:c r="G123" s="19" t="str">
        <x:v>速度/计算</x:v>
      </x:c>
      <x:c r="H123" s="19" t="str">
        <x:v>D:/Codex/GRL研究/outputs/grid04/GRID04_report.md</x:v>
      </x:c>
    </x:row>
    <x:row r="124" ht="36" customHeight="1">
      <x:c r="A124" s="19" t="str">
        <x:v>GRID04</x:v>
      </x:c>
      <x:c r="B124" s="19" t="str">
        <x:v>GRID04_report.md</x:v>
      </x:c>
      <x:c r="C124" s="19" t="str">
        <x:v>2. 汇总与逐周结果</x:v>
      </x:c>
      <x:c r="D124" s="19" t="str">
        <x:v>配置=NN352；完整周=3/4</x:v>
      </x:c>
      <x:c r="E124" s="19" t="str">
        <x:v>act累计秒</x:v>
      </x:c>
      <x:c r="F124" s="19" t="str">
        <x:v>253.92</x:v>
      </x:c>
      <x:c r="G124" s="19" t="str">
        <x:v>速度/计算</x:v>
      </x:c>
      <x:c r="H124" s="19" t="str">
        <x:v>D:/Codex/GRL研究/outputs/grid04/GRID04_report.md</x:v>
      </x:c>
    </x:row>
    <x:row r="125" ht="36" customHeight="1">
      <x:c r="A125" s="19" t="str">
        <x:v>GRID04</x:v>
      </x:c>
      <x:c r="B125" s="19" t="str">
        <x:v>GRID04_report.md</x:v>
      </x:c>
      <x:c r="C125" s="19" t="str">
        <x:v>2. 汇总与逐周结果</x:v>
      </x:c>
      <x:c r="D125" s="19" t="str">
        <x:v>配置=NN352；完整周=3/4</x:v>
      </x:c>
      <x:c r="E125" s="19" t="str">
        <x:v>四周原始成本均值</x:v>
      </x:c>
      <x:c r="F125" s="19" t="str">
        <x:v>不聚合</x:v>
      </x:c>
      <x:c r="G125" s="19" t="str">
        <x:v>质量/成本</x:v>
      </x:c>
      <x:c r="H125" s="19" t="str">
        <x:v>D:/Codex/GRL研究/outputs/grid04/GRID04_report.md</x:v>
      </x:c>
    </x:row>
    <x:row r="126" ht="36" customHeight="1">
      <x:c r="A126" s="19" t="str">
        <x:v>GRID04</x:v>
      </x:c>
      <x:c r="B126" s="19" t="str">
        <x:v>GRID04_report.md</x:v>
      </x:c>
      <x:c r="C126" s="19" t="str">
        <x:v>2. 汇总与逐周结果</x:v>
      </x:c>
      <x:c r="D126" s="19" t="str">
        <x:v>配置=LOCAL20；完整周=2/4</x:v>
      </x:c>
      <x:c r="E126" s="19" t="str">
        <x:v>完整周</x:v>
      </x:c>
      <x:c r="F126" s="19" t="str">
        <x:v>2/4</x:v>
      </x:c>
      <x:c r="G126" s="19" t="str">
        <x:v>质量/成本</x:v>
      </x:c>
      <x:c r="H126" s="19" t="str">
        <x:v>D:/Codex/GRL研究/outputs/grid04/GRID04_report.md</x:v>
      </x:c>
    </x:row>
    <x:row r="127" ht="36" customHeight="1">
      <x:c r="A127" s="19" t="str">
        <x:v>GRID04</x:v>
      </x:c>
      <x:c r="B127" s="19" t="str">
        <x:v>GRID04_report.md</x:v>
      </x:c>
      <x:c r="C127" s="19" t="str">
        <x:v>2. 汇总与逐周结果</x:v>
      </x:c>
      <x:c r="D127" s="19" t="str">
        <x:v>配置=LOCAL20；完整周=2/4</x:v>
      </x:c>
      <x:c r="E127" s="19" t="str">
        <x:v>实际步数</x:v>
      </x:c>
      <x:c r="F127" s="19" t="str">
        <x:v>5855</x:v>
      </x:c>
      <x:c r="G127" s="19" t="str">
        <x:v>质量/成本</x:v>
      </x:c>
      <x:c r="H127" s="19" t="str">
        <x:v>D:/Codex/GRL研究/outputs/grid04/GRID04_report.md</x:v>
      </x:c>
    </x:row>
    <x:row r="128" ht="36" customHeight="1">
      <x:c r="A128" s="19" t="str">
        <x:v>GRID04</x:v>
      </x:c>
      <x:c r="B128" s="19" t="str">
        <x:v>GRID04_report.md</x:v>
      </x:c>
      <x:c r="C128" s="19" t="str">
        <x:v>2. 汇总与逐周结果</x:v>
      </x:c>
      <x:c r="D128" s="19" t="str">
        <x:v>配置=LOCAL20；完整周=2/4</x:v>
      </x:c>
      <x:c r="E128" s="19" t="str">
        <x:v>模拟调用</x:v>
      </x:c>
      <x:c r="F128" s="19" t="str">
        <x:v>27,252</x:v>
      </x:c>
      <x:c r="G128" s="19" t="str">
        <x:v>速度/计算</x:v>
      </x:c>
      <x:c r="H128" s="19" t="str">
        <x:v>D:/Codex/GRL研究/outputs/grid04/GRID04_report.md</x:v>
      </x:c>
    </x:row>
    <x:row r="129" ht="36" customHeight="1">
      <x:c r="A129" s="19" t="str">
        <x:v>GRID04</x:v>
      </x:c>
      <x:c r="B129" s="19" t="str">
        <x:v>GRID04_report.md</x:v>
      </x:c>
      <x:c r="C129" s="19" t="str">
        <x:v>2. 汇总与逐周结果</x:v>
      </x:c>
      <x:c r="D129" s="19" t="str">
        <x:v>配置=LOCAL20；完整周=2/4</x:v>
      </x:c>
      <x:c r="E129" s="19" t="str">
        <x:v>act累计秒</x:v>
      </x:c>
      <x:c r="F129" s="19" t="str">
        <x:v>138.32</x:v>
      </x:c>
      <x:c r="G129" s="19" t="str">
        <x:v>速度/计算</x:v>
      </x:c>
      <x:c r="H129" s="19" t="str">
        <x:v>D:/Codex/GRL研究/outputs/grid04/GRID04_report.md</x:v>
      </x:c>
    </x:row>
    <x:row r="130" ht="36" customHeight="1">
      <x:c r="A130" s="19" t="str">
        <x:v>GRID04</x:v>
      </x:c>
      <x:c r="B130" s="19" t="str">
        <x:v>GRID04_report.md</x:v>
      </x:c>
      <x:c r="C130" s="19" t="str">
        <x:v>2. 汇总与逐周结果</x:v>
      </x:c>
      <x:c r="D130" s="19" t="str">
        <x:v>配置=LOCAL20；完整周=2/4</x:v>
      </x:c>
      <x:c r="E130" s="19" t="str">
        <x:v>四周原始成本均值</x:v>
      </x:c>
      <x:c r="F130" s="19" t="str">
        <x:v>不聚合</x:v>
      </x:c>
      <x:c r="G130" s="19" t="str">
        <x:v>质量/成本</x:v>
      </x:c>
      <x:c r="H130" s="19" t="str">
        <x:v>D:/Codex/GRL研究/outputs/grid04/GRID04_report.md</x:v>
      </x:c>
    </x:row>
    <x:row r="131" ht="36" customHeight="1">
      <x:c r="A131" s="19" t="str">
        <x:v>GRID04</x:v>
      </x:c>
      <x:c r="B131" s="19" t="str">
        <x:v>GRID04_report.md</x:v>
      </x:c>
      <x:c r="C131" s="19" t="str">
        <x:v>2. 汇总与逐周结果</x:v>
      </x:c>
      <x:c r="D131" s="19" t="str">
        <x:v>配置=RANDOM20；完整周=2/4</x:v>
      </x:c>
      <x:c r="E131" s="19" t="str">
        <x:v>完整周</x:v>
      </x:c>
      <x:c r="F131" s="19" t="str">
        <x:v>2/4</x:v>
      </x:c>
      <x:c r="G131" s="19" t="str">
        <x:v>质量/成本</x:v>
      </x:c>
      <x:c r="H131" s="19" t="str">
        <x:v>D:/Codex/GRL研究/outputs/grid04/GRID04_report.md</x:v>
      </x:c>
    </x:row>
    <x:row r="132" ht="36" customHeight="1">
      <x:c r="A132" s="19" t="str">
        <x:v>GRID04</x:v>
      </x:c>
      <x:c r="B132" s="19" t="str">
        <x:v>GRID04_report.md</x:v>
      </x:c>
      <x:c r="C132" s="19" t="str">
        <x:v>2. 汇总与逐周结果</x:v>
      </x:c>
      <x:c r="D132" s="19" t="str">
        <x:v>配置=RANDOM20；完整周=2/4</x:v>
      </x:c>
      <x:c r="E132" s="19" t="str">
        <x:v>实际步数</x:v>
      </x:c>
      <x:c r="F132" s="19" t="str">
        <x:v>7039</x:v>
      </x:c>
      <x:c r="G132" s="19" t="str">
        <x:v>质量/成本</x:v>
      </x:c>
      <x:c r="H132" s="19" t="str">
        <x:v>D:/Codex/GRL研究/outputs/grid04/GRID04_report.md</x:v>
      </x:c>
    </x:row>
    <x:row r="133" ht="36" customHeight="1">
      <x:c r="A133" s="19" t="str">
        <x:v>GRID04</x:v>
      </x:c>
      <x:c r="B133" s="19" t="str">
        <x:v>GRID04_report.md</x:v>
      </x:c>
      <x:c r="C133" s="19" t="str">
        <x:v>2. 汇总与逐周结果</x:v>
      </x:c>
      <x:c r="D133" s="19" t="str">
        <x:v>配置=RANDOM20；完整周=2/4</x:v>
      </x:c>
      <x:c r="E133" s="19" t="str">
        <x:v>模拟调用</x:v>
      </x:c>
      <x:c r="F133" s="19" t="str">
        <x:v>25,950</x:v>
      </x:c>
      <x:c r="G133" s="19" t="str">
        <x:v>速度/计算</x:v>
      </x:c>
      <x:c r="H133" s="19" t="str">
        <x:v>D:/Codex/GRL研究/outputs/grid04/GRID04_report.md</x:v>
      </x:c>
    </x:row>
    <x:row r="134" ht="36" customHeight="1">
      <x:c r="A134" s="19" t="str">
        <x:v>GRID04</x:v>
      </x:c>
      <x:c r="B134" s="19" t="str">
        <x:v>GRID04_report.md</x:v>
      </x:c>
      <x:c r="C134" s="19" t="str">
        <x:v>2. 汇总与逐周结果</x:v>
      </x:c>
      <x:c r="D134" s="19" t="str">
        <x:v>配置=RANDOM20；完整周=2/4</x:v>
      </x:c>
      <x:c r="E134" s="19" t="str">
        <x:v>act累计秒</x:v>
      </x:c>
      <x:c r="F134" s="19" t="str">
        <x:v>198.24</x:v>
      </x:c>
      <x:c r="G134" s="19" t="str">
        <x:v>速度/计算</x:v>
      </x:c>
      <x:c r="H134" s="19" t="str">
        <x:v>D:/Codex/GRL研究/outputs/grid04/GRID04_report.md</x:v>
      </x:c>
    </x:row>
    <x:row r="135" ht="36" customHeight="1">
      <x:c r="A135" s="19" t="str">
        <x:v>GRID04</x:v>
      </x:c>
      <x:c r="B135" s="19" t="str">
        <x:v>GRID04_report.md</x:v>
      </x:c>
      <x:c r="C135" s="19" t="str">
        <x:v>2. 汇总与逐周结果</x:v>
      </x:c>
      <x:c r="D135" s="19" t="str">
        <x:v>配置=RANDOM20；完整周=2/4</x:v>
      </x:c>
      <x:c r="E135" s="19" t="str">
        <x:v>四周原始成本均值</x:v>
      </x:c>
      <x:c r="F135" s="19" t="str">
        <x:v>不聚合</x:v>
      </x:c>
      <x:c r="G135" s="19" t="str">
        <x:v>质量/成本</x:v>
      </x:c>
      <x:c r="H135" s="19" t="str">
        <x:v>D:/Codex/GRL研究/outputs/grid04/GRID04_report.md</x:v>
      </x:c>
    </x:row>
    <x:row r="136" ht="36" customHeight="1">
      <x:c r="A136" s="19" t="str">
        <x:v>GRID04</x:v>
      </x:c>
      <x:c r="B136" s="19" t="str">
        <x:v>GRID04_report.md</x:v>
      </x:c>
      <x:c r="C136" s="19" t="str">
        <x:v>3. 汇总与逐周结果</x:v>
      </x:c>
      <x:c r="D136" s="19" t="str">
        <x:v>NN20 对照=NN352；完整周 NN20 vs 对照=3/4 vs 3/4</x:v>
      </x:c>
      <x:c r="E136" s="19" t="str">
        <x:v>完整周 NN20 vs 对照</x:v>
      </x:c>
      <x:c r="F136" s="19" t="str">
        <x:v>3/4 vs 3/4</x:v>
      </x:c>
      <x:c r="G136" s="19" t="str">
        <x:v>质量/成本</x:v>
      </x:c>
      <x:c r="H136" s="19" t="str">
        <x:v>D:/Codex/GRL研究/outputs/grid04/GRID04_report.md</x:v>
      </x:c>
    </x:row>
    <x:row r="137" ht="36" customHeight="1">
      <x:c r="A137" s="19" t="str">
        <x:v>GRID04</x:v>
      </x:c>
      <x:c r="B137" s="19" t="str">
        <x:v>GRID04_report.md</x:v>
      </x:c>
      <x:c r="C137" s="19" t="str">
        <x:v>3. 汇总与逐周结果</x:v>
      </x:c>
      <x:c r="D137" s="19" t="str">
        <x:v>NN20 对照=NN352；完整周 NN20 vs 对照=3/4 vs 3/4</x:v>
      </x:c>
      <x:c r="E137" s="19" t="str">
        <x:v>等权逐周相对成本改善</x:v>
      </x:c>
      <x:c r="F137" s="19" t="str">
        <x:v>不比较</x:v>
      </x:c>
      <x:c r="G137" s="19" t="str">
        <x:v>质量/成本</x:v>
      </x:c>
      <x:c r="H137" s="19" t="str">
        <x:v>D:/Codex/GRL研究/outputs/grid04/GRID04_report.md</x:v>
      </x:c>
    </x:row>
    <x:row r="138" ht="36" customHeight="1">
      <x:c r="A138" s="19" t="str">
        <x:v>GRID04</x:v>
      </x:c>
      <x:c r="B138" s="19" t="str">
        <x:v>GRID04_report.md</x:v>
      </x:c>
      <x:c r="C138" s="19" t="str">
        <x:v>3. 汇总与逐周结果</x:v>
      </x:c>
      <x:c r="D138" s="19" t="str">
        <x:v>NN20 对照=NN352；完整周 NN20 vs 对照=3/4 vs 3/4</x:v>
      </x:c>
      <x:c r="E138" s="19" t="str">
        <x:v>正向周</x:v>
      </x:c>
      <x:c r="F138" s="19" t="str">
        <x:v>—</x:v>
      </x:c>
      <x:c r="G138" s="19" t="str">
        <x:v>其他/配置</x:v>
      </x:c>
      <x:c r="H138" s="19" t="str">
        <x:v>D:/Codex/GRL研究/outputs/grid04/GRID04_report.md</x:v>
      </x:c>
    </x:row>
    <x:row r="139" ht="36" customHeight="1">
      <x:c r="A139" s="19" t="str">
        <x:v>GRID04</x:v>
      </x:c>
      <x:c r="B139" s="19" t="str">
        <x:v>GRID04_report.md</x:v>
      </x:c>
      <x:c r="C139" s="19" t="str">
        <x:v>3. 汇总与逐周结果</x:v>
      </x:c>
      <x:c r="D139" s="19" t="str">
        <x:v>NN20 对照=FULL；完整周 NN20 vs 对照=3/4 vs 3/4</x:v>
      </x:c>
      <x:c r="E139" s="19" t="str">
        <x:v>完整周 NN20 vs 对照</x:v>
      </x:c>
      <x:c r="F139" s="19" t="str">
        <x:v>3/4 vs 3/4</x:v>
      </x:c>
      <x:c r="G139" s="19" t="str">
        <x:v>质量/成本</x:v>
      </x:c>
      <x:c r="H139" s="19" t="str">
        <x:v>D:/Codex/GRL研究/outputs/grid04/GRID04_report.md</x:v>
      </x:c>
    </x:row>
    <x:row r="140" ht="36" customHeight="1">
      <x:c r="A140" s="19" t="str">
        <x:v>GRID04</x:v>
      </x:c>
      <x:c r="B140" s="19" t="str">
        <x:v>GRID04_report.md</x:v>
      </x:c>
      <x:c r="C140" s="19" t="str">
        <x:v>3. 汇总与逐周结果</x:v>
      </x:c>
      <x:c r="D140" s="19" t="str">
        <x:v>NN20 对照=FULL；完整周 NN20 vs 对照=3/4 vs 3/4</x:v>
      </x:c>
      <x:c r="E140" s="19" t="str">
        <x:v>等权逐周相对成本改善</x:v>
      </x:c>
      <x:c r="F140" s="19" t="str">
        <x:v>不比较</x:v>
      </x:c>
      <x:c r="G140" s="19" t="str">
        <x:v>质量/成本</x:v>
      </x:c>
      <x:c r="H140" s="19" t="str">
        <x:v>D:/Codex/GRL研究/outputs/grid04/GRID04_report.md</x:v>
      </x:c>
    </x:row>
    <x:row r="141" ht="36" customHeight="1">
      <x:c r="A141" s="19" t="str">
        <x:v>GRID04</x:v>
      </x:c>
      <x:c r="B141" s="19" t="str">
        <x:v>GRID04_report.md</x:v>
      </x:c>
      <x:c r="C141" s="19" t="str">
        <x:v>3. 汇总与逐周结果</x:v>
      </x:c>
      <x:c r="D141" s="19" t="str">
        <x:v>NN20 对照=FULL；完整周 NN20 vs 对照=3/4 vs 3/4</x:v>
      </x:c>
      <x:c r="E141" s="19" t="str">
        <x:v>正向周</x:v>
      </x:c>
      <x:c r="F141" s="19" t="str">
        <x:v>—</x:v>
      </x:c>
      <x:c r="G141" s="19" t="str">
        <x:v>其他/配置</x:v>
      </x:c>
      <x:c r="H141" s="19" t="str">
        <x:v>D:/Codex/GRL研究/outputs/grid04/GRID04_report.md</x:v>
      </x:c>
    </x:row>
    <x:row r="142" ht="36" customHeight="1">
      <x:c r="A142" s="19" t="str">
        <x:v>GRID04</x:v>
      </x:c>
      <x:c r="B142" s="19" t="str">
        <x:v>GRID04_report.md</x:v>
      </x:c>
      <x:c r="C142" s="19" t="str">
        <x:v>3. 汇总与逐周结果</x:v>
      </x:c>
      <x:c r="D142" s="19" t="str">
        <x:v>NN20 对照=LOCAL20；完整周 NN20 vs 对照=3/4 vs 2/4</x:v>
      </x:c>
      <x:c r="E142" s="19" t="str">
        <x:v>完整周 NN20 vs 对照</x:v>
      </x:c>
      <x:c r="F142" s="19" t="str">
        <x:v>3/4 vs 2/4</x:v>
      </x:c>
      <x:c r="G142" s="19" t="str">
        <x:v>质量/成本</x:v>
      </x:c>
      <x:c r="H142" s="19" t="str">
        <x:v>D:/Codex/GRL研究/outputs/grid04/GRID04_report.md</x:v>
      </x:c>
    </x:row>
    <x:row r="143" ht="36" customHeight="1">
      <x:c r="A143" s="19" t="str">
        <x:v>GRID04</x:v>
      </x:c>
      <x:c r="B143" s="19" t="str">
        <x:v>GRID04_report.md</x:v>
      </x:c>
      <x:c r="C143" s="19" t="str">
        <x:v>3. 汇总与逐周结果</x:v>
      </x:c>
      <x:c r="D143" s="19" t="str">
        <x:v>NN20 对照=LOCAL20；完整周 NN20 vs 对照=3/4 vs 2/4</x:v>
      </x:c>
      <x:c r="E143" s="19" t="str">
        <x:v>等权逐周相对成本改善</x:v>
      </x:c>
      <x:c r="F143" s="19" t="str">
        <x:v>不比较</x:v>
      </x:c>
      <x:c r="G143" s="19" t="str">
        <x:v>质量/成本</x:v>
      </x:c>
      <x:c r="H143" s="19" t="str">
        <x:v>D:/Codex/GRL研究/outputs/grid04/GRID04_report.md</x:v>
      </x:c>
    </x:row>
    <x:row r="144" ht="36" customHeight="1">
      <x:c r="A144" s="19" t="str">
        <x:v>GRID04</x:v>
      </x:c>
      <x:c r="B144" s="19" t="str">
        <x:v>GRID04_report.md</x:v>
      </x:c>
      <x:c r="C144" s="19" t="str">
        <x:v>3. 汇总与逐周结果</x:v>
      </x:c>
      <x:c r="D144" s="19" t="str">
        <x:v>NN20 对照=LOCAL20；完整周 NN20 vs 对照=3/4 vs 2/4</x:v>
      </x:c>
      <x:c r="E144" s="19" t="str">
        <x:v>正向周</x:v>
      </x:c>
      <x:c r="F144" s="19" t="str">
        <x:v>—</x:v>
      </x:c>
      <x:c r="G144" s="19" t="str">
        <x:v>其他/配置</x:v>
      </x:c>
      <x:c r="H144" s="19" t="str">
        <x:v>D:/Codex/GRL研究/outputs/grid04/GRID04_report.md</x:v>
      </x:c>
    </x:row>
    <x:row r="145" ht="36" customHeight="1">
      <x:c r="A145" s="19" t="str">
        <x:v>GRID04</x:v>
      </x:c>
      <x:c r="B145" s="19" t="str">
        <x:v>GRID04_report.md</x:v>
      </x:c>
      <x:c r="C145" s="19" t="str">
        <x:v>3. 汇总与逐周结果</x:v>
      </x:c>
      <x:c r="D145" s="19" t="str">
        <x:v>NN20 对照=RANDOM20；完整周 NN20 vs 对照=3/4 vs 2/4</x:v>
      </x:c>
      <x:c r="E145" s="19" t="str">
        <x:v>完整周 NN20 vs 对照</x:v>
      </x:c>
      <x:c r="F145" s="19" t="str">
        <x:v>3/4 vs 2/4</x:v>
      </x:c>
      <x:c r="G145" s="19" t="str">
        <x:v>质量/成本</x:v>
      </x:c>
      <x:c r="H145" s="19" t="str">
        <x:v>D:/Codex/GRL研究/outputs/grid04/GRID04_report.md</x:v>
      </x:c>
    </x:row>
    <x:row r="146" ht="36" customHeight="1">
      <x:c r="A146" s="19" t="str">
        <x:v>GRID04</x:v>
      </x:c>
      <x:c r="B146" s="19" t="str">
        <x:v>GRID04_report.md</x:v>
      </x:c>
      <x:c r="C146" s="19" t="str">
        <x:v>3. 汇总与逐周结果</x:v>
      </x:c>
      <x:c r="D146" s="19" t="str">
        <x:v>NN20 对照=RANDOM20；完整周 NN20 vs 对照=3/4 vs 2/4</x:v>
      </x:c>
      <x:c r="E146" s="19" t="str">
        <x:v>等权逐周相对成本改善</x:v>
      </x:c>
      <x:c r="F146" s="19" t="str">
        <x:v>不比较</x:v>
      </x:c>
      <x:c r="G146" s="19" t="str">
        <x:v>质量/成本</x:v>
      </x:c>
      <x:c r="H146" s="19" t="str">
        <x:v>D:/Codex/GRL研究/outputs/grid04/GRID04_report.md</x:v>
      </x:c>
    </x:row>
    <x:row r="147" ht="36" customHeight="1">
      <x:c r="A147" s="19" t="str">
        <x:v>GRID04</x:v>
      </x:c>
      <x:c r="B147" s="19" t="str">
        <x:v>GRID04_report.md</x:v>
      </x:c>
      <x:c r="C147" s="19" t="str">
        <x:v>3. 汇总与逐周结果</x:v>
      </x:c>
      <x:c r="D147" s="19" t="str">
        <x:v>NN20 对照=RANDOM20；完整周 NN20 vs 对照=3/4 vs 2/4</x:v>
      </x:c>
      <x:c r="E147" s="19" t="str">
        <x:v>正向周</x:v>
      </x:c>
      <x:c r="F147" s="19" t="str">
        <x:v>—</x:v>
      </x:c>
      <x:c r="G147" s="19" t="str">
        <x:v>其他/配置</x:v>
      </x:c>
      <x:c r="H147" s="19" t="str">
        <x:v>D:/Codex/GRL研究/outputs/grid04/GRID04_report.md</x:v>
      </x:c>
    </x:row>
    <x:row r="148" ht="36" customHeight="1">
      <x:c r="A148" s="19" t="str">
        <x:v>GRID04</x:v>
      </x:c>
      <x:c r="B148" s="19" t="str">
        <x:v>GRID04_report.md</x:v>
      </x:c>
      <x:c r="C148" s="19" t="str">
        <x:v>4. 汇总与逐周结果</x:v>
      </x:c>
      <x:c r="D148" s="19" t="str">
        <x:v>周=2035-01-29_4；配置=FULL</x:v>
      </x:c>
      <x:c r="E148" s="19" t="str">
        <x:v>配置</x:v>
      </x:c>
      <x:c r="F148" s="19" t="str">
        <x:v>FULL</x:v>
      </x:c>
      <x:c r="G148" s="19" t="str">
        <x:v>其他/配置</x:v>
      </x:c>
      <x:c r="H148" s="19" t="str">
        <x:v>D:/Codex/GRL研究/outputs/grid04/GRID04_report.md</x:v>
      </x:c>
    </x:row>
    <x:row r="149" ht="36" customHeight="1">
      <x:c r="A149" s="19" t="str">
        <x:v>GRID04</x:v>
      </x:c>
      <x:c r="B149" s="19" t="str">
        <x:v>GRID04_report.md</x:v>
      </x:c>
      <x:c r="C149" s="19" t="str">
        <x:v>4. 汇总与逐周结果</x:v>
      </x:c>
      <x:c r="D149" s="19" t="str">
        <x:v>周=2035-01-29_4；配置=FULL</x:v>
      </x:c>
      <x:c r="E149" s="19" t="str">
        <x:v>步数</x:v>
      </x:c>
      <x:c r="F149" s="19" t="str">
        <x:v>1719/2017</x:v>
      </x:c>
      <x:c r="G149" s="19" t="str">
        <x:v>质量/成本</x:v>
      </x:c>
      <x:c r="H149" s="19" t="str">
        <x:v>D:/Codex/GRL研究/outputs/grid04/GRID04_report.md</x:v>
      </x:c>
    </x:row>
    <x:row r="150" ht="36" customHeight="1">
      <x:c r="A150" s="19" t="str">
        <x:v>GRID04</x:v>
      </x:c>
      <x:c r="B150" s="19" t="str">
        <x:v>GRID04_report.md</x:v>
      </x:c>
      <x:c r="C150" s="19" t="str">
        <x:v>4. 汇总与逐周结果</x:v>
      </x:c>
      <x:c r="D150" s="19" t="str">
        <x:v>周=2035-01-29_4；配置=FULL</x:v>
      </x:c>
      <x:c r="E150" s="19" t="str">
        <x:v>结束</x:v>
      </x:c>
      <x:c r="F150" s="19" t="str">
        <x:v>提前终止</x:v>
      </x:c>
      <x:c r="G150" s="19" t="str">
        <x:v>其他/配置</x:v>
      </x:c>
      <x:c r="H150" s="19" t="str">
        <x:v>D:/Codex/GRL研究/outputs/grid04/GRID04_report.md</x:v>
      </x:c>
    </x:row>
    <x:row r="151" ht="36" customHeight="1">
      <x:c r="A151" s="19" t="str">
        <x:v>GRID04</x:v>
      </x:c>
      <x:c r="B151" s="19" t="str">
        <x:v>GRID04_report.md</x:v>
      </x:c>
      <x:c r="C151" s="19" t="str">
        <x:v>4. 汇总与逐周结果</x:v>
      </x:c>
      <x:c r="D151" s="19" t="str">
        <x:v>周=2035-01-29_4；配置=FULL</x:v>
      </x:c>
      <x:c r="E151" s="19" t="str">
        <x:v>原始成本</x:v>
      </x:c>
      <x:c r="F151" s="19" t="str">
        <x:v>5873727.560</x:v>
      </x:c>
      <x:c r="G151" s="19" t="str">
        <x:v>质量/成本</x:v>
      </x:c>
      <x:c r="H151" s="19" t="str">
        <x:v>D:/Codex/GRL研究/outputs/grid04/GRID04_report.md</x:v>
      </x:c>
    </x:row>
    <x:row r="152" ht="36" customHeight="1">
      <x:c r="A152" s="19" t="str">
        <x:v>GRID04</x:v>
      </x:c>
      <x:c r="B152" s="19" t="str">
        <x:v>GRID04_report.md</x:v>
      </x:c>
      <x:c r="C152" s="19" t="str">
        <x:v>4. 汇总与逐周结果</x:v>
      </x:c>
      <x:c r="D152" s="19" t="str">
        <x:v>周=2035-01-29_4；配置=FULL</x:v>
      </x:c>
      <x:c r="E152" s="19" t="str">
        <x:v>act秒</x:v>
      </x:c>
      <x:c r="F152" s="19" t="str">
        <x:v>90.16</x:v>
      </x:c>
      <x:c r="G152" s="19" t="str">
        <x:v>速度/计算</x:v>
      </x:c>
      <x:c r="H152" s="19" t="str">
        <x:v>D:/Codex/GRL研究/outputs/grid04/GRID04_report.md</x:v>
      </x:c>
    </x:row>
    <x:row r="153" ht="36" customHeight="1">
      <x:c r="A153" s="19" t="str">
        <x:v>GRID04</x:v>
      </x:c>
      <x:c r="B153" s="19" t="str">
        <x:v>GRID04_report.md</x:v>
      </x:c>
      <x:c r="C153" s="19" t="str">
        <x:v>4. 汇总与逐周结果</x:v>
      </x:c>
      <x:c r="D153" s="19" t="str">
        <x:v>周=2035-01-29_4；配置=FULL</x:v>
      </x:c>
      <x:c r="E153" s="19" t="str">
        <x:v>最大rho</x:v>
      </x:c>
      <x:c r="F153" s="19" t="str">
        <x:v>1.0446</x:v>
      </x:c>
      <x:c r="G153" s="19" t="str">
        <x:v>质量/成本</x:v>
      </x:c>
      <x:c r="H153" s="19" t="str">
        <x:v>D:/Codex/GRL研究/outputs/grid04/GRID04_report.md</x:v>
      </x:c>
    </x:row>
    <x:row r="154" ht="36" customHeight="1">
      <x:c r="A154" s="19" t="str">
        <x:v>GRID04</x:v>
      </x:c>
      <x:c r="B154" s="19" t="str">
        <x:v>GRID04_report.md</x:v>
      </x:c>
      <x:c r="C154" s="19" t="str">
        <x:v>4. 汇总与逐周结果</x:v>
      </x:c>
      <x:c r="D154" s="19" t="str">
        <x:v>周=2035-01-29_4；配置=NN20</x:v>
      </x:c>
      <x:c r="E154" s="19" t="str">
        <x:v>配置</x:v>
      </x:c>
      <x:c r="F154" s="19" t="str">
        <x:v>NN20</x:v>
      </x:c>
      <x:c r="G154" s="19" t="str">
        <x:v>其他/配置</x:v>
      </x:c>
      <x:c r="H154" s="19" t="str">
        <x:v>D:/Codex/GRL研究/outputs/grid04/GRID04_report.md</x:v>
      </x:c>
    </x:row>
    <x:row r="155" ht="36" customHeight="1">
      <x:c r="A155" s="19" t="str">
        <x:v>GRID04</x:v>
      </x:c>
      <x:c r="B155" s="19" t="str">
        <x:v>GRID04_report.md</x:v>
      </x:c>
      <x:c r="C155" s="19" t="str">
        <x:v>4. 汇总与逐周结果</x:v>
      </x:c>
      <x:c r="D155" s="19" t="str">
        <x:v>周=2035-01-29_4；配置=NN20</x:v>
      </x:c>
      <x:c r="E155" s="19" t="str">
        <x:v>步数</x:v>
      </x:c>
      <x:c r="F155" s="19" t="str">
        <x:v>462/2017</x:v>
      </x:c>
      <x:c r="G155" s="19" t="str">
        <x:v>质量/成本</x:v>
      </x:c>
      <x:c r="H155" s="19" t="str">
        <x:v>D:/Codex/GRL研究/outputs/grid04/GRID04_report.md</x:v>
      </x:c>
    </x:row>
    <x:row r="156" ht="36" customHeight="1">
      <x:c r="A156" s="19" t="str">
        <x:v>GRID04</x:v>
      </x:c>
      <x:c r="B156" s="19" t="str">
        <x:v>GRID04_report.md</x:v>
      </x:c>
      <x:c r="C156" s="19" t="str">
        <x:v>4. 汇总与逐周结果</x:v>
      </x:c>
      <x:c r="D156" s="19" t="str">
        <x:v>周=2035-01-29_4；配置=NN20</x:v>
      </x:c>
      <x:c r="E156" s="19" t="str">
        <x:v>结束</x:v>
      </x:c>
      <x:c r="F156" s="19" t="str">
        <x:v>提前终止</x:v>
      </x:c>
      <x:c r="G156" s="19" t="str">
        <x:v>其他/配置</x:v>
      </x:c>
      <x:c r="H156" s="19" t="str">
        <x:v>D:/Codex/GRL研究/outputs/grid04/GRID04_report.md</x:v>
      </x:c>
    </x:row>
    <x:row r="157" ht="36" customHeight="1">
      <x:c r="A157" s="19" t="str">
        <x:v>GRID04</x:v>
      </x:c>
      <x:c r="B157" s="19" t="str">
        <x:v>GRID04_report.md</x:v>
      </x:c>
      <x:c r="C157" s="19" t="str">
        <x:v>4. 汇总与逐周结果</x:v>
      </x:c>
      <x:c r="D157" s="19" t="str">
        <x:v>周=2035-01-29_4；配置=NN20</x:v>
      </x:c>
      <x:c r="E157" s="19" t="str">
        <x:v>原始成本</x:v>
      </x:c>
      <x:c r="F157" s="19" t="str">
        <x:v>1163678.399</x:v>
      </x:c>
      <x:c r="G157" s="19" t="str">
        <x:v>质量/成本</x:v>
      </x:c>
      <x:c r="H157" s="19" t="str">
        <x:v>D:/Codex/GRL研究/outputs/grid04/GRID04_report.md</x:v>
      </x:c>
    </x:row>
    <x:row r="158" ht="36" customHeight="1">
      <x:c r="A158" s="19" t="str">
        <x:v>GRID04</x:v>
      </x:c>
      <x:c r="B158" s="19" t="str">
        <x:v>GRID04_report.md</x:v>
      </x:c>
      <x:c r="C158" s="19" t="str">
        <x:v>4. 汇总与逐周结果</x:v>
      </x:c>
      <x:c r="D158" s="19" t="str">
        <x:v>周=2035-01-29_4；配置=NN20</x:v>
      </x:c>
      <x:c r="E158" s="19" t="str">
        <x:v>act秒</x:v>
      </x:c>
      <x:c r="F158" s="19" t="str">
        <x:v>18.30</x:v>
      </x:c>
      <x:c r="G158" s="19" t="str">
        <x:v>速度/计算</x:v>
      </x:c>
      <x:c r="H158" s="19" t="str">
        <x:v>D:/Codex/GRL研究/outputs/grid04/GRID04_report.md</x:v>
      </x:c>
    </x:row>
    <x:row r="159" ht="36" customHeight="1">
      <x:c r="A159" s="19" t="str">
        <x:v>GRID04</x:v>
      </x:c>
      <x:c r="B159" s="19" t="str">
        <x:v>GRID04_report.md</x:v>
      </x:c>
      <x:c r="C159" s="19" t="str">
        <x:v>4. 汇总与逐周结果</x:v>
      </x:c>
      <x:c r="D159" s="19" t="str">
        <x:v>周=2035-01-29_4；配置=NN20</x:v>
      </x:c>
      <x:c r="E159" s="19" t="str">
        <x:v>最大rho</x:v>
      </x:c>
      <x:c r="F159" s="19" t="str">
        <x:v>1.0466</x:v>
      </x:c>
      <x:c r="G159" s="19" t="str">
        <x:v>质量/成本</x:v>
      </x:c>
      <x:c r="H159" s="19" t="str">
        <x:v>D:/Codex/GRL研究/outputs/grid04/GRID04_report.md</x:v>
      </x:c>
    </x:row>
    <x:row r="160" ht="36" customHeight="1">
      <x:c r="A160" s="19" t="str">
        <x:v>GRID04</x:v>
      </x:c>
      <x:c r="B160" s="19" t="str">
        <x:v>GRID04_report.md</x:v>
      </x:c>
      <x:c r="C160" s="19" t="str">
        <x:v>4. 汇总与逐周结果</x:v>
      </x:c>
      <x:c r="D160" s="19" t="str">
        <x:v>周=2035-01-29_4；配置=NN352</x:v>
      </x:c>
      <x:c r="E160" s="19" t="str">
        <x:v>配置</x:v>
      </x:c>
      <x:c r="F160" s="19" t="str">
        <x:v>NN352</x:v>
      </x:c>
      <x:c r="G160" s="19" t="str">
        <x:v>其他/配置</x:v>
      </x:c>
      <x:c r="H160" s="19" t="str">
        <x:v>D:/Codex/GRL研究/outputs/grid04/GRID04_report.md</x:v>
      </x:c>
    </x:row>
    <x:row r="161" ht="36" customHeight="1">
      <x:c r="A161" s="19" t="str">
        <x:v>GRID04</x:v>
      </x:c>
      <x:c r="B161" s="19" t="str">
        <x:v>GRID04_report.md</x:v>
      </x:c>
      <x:c r="C161" s="19" t="str">
        <x:v>4. 汇总与逐周结果</x:v>
      </x:c>
      <x:c r="D161" s="19" t="str">
        <x:v>周=2035-01-29_4；配置=NN352</x:v>
      </x:c>
      <x:c r="E161" s="19" t="str">
        <x:v>步数</x:v>
      </x:c>
      <x:c r="F161" s="19" t="str">
        <x:v>1719/2017</x:v>
      </x:c>
      <x:c r="G161" s="19" t="str">
        <x:v>质量/成本</x:v>
      </x:c>
      <x:c r="H161" s="19" t="str">
        <x:v>D:/Codex/GRL研究/outputs/grid04/GRID04_report.md</x:v>
      </x:c>
    </x:row>
    <x:row r="162" ht="36" customHeight="1">
      <x:c r="A162" s="19" t="str">
        <x:v>GRID04</x:v>
      </x:c>
      <x:c r="B162" s="19" t="str">
        <x:v>GRID04_report.md</x:v>
      </x:c>
      <x:c r="C162" s="19" t="str">
        <x:v>4. 汇总与逐周结果</x:v>
      </x:c>
      <x:c r="D162" s="19" t="str">
        <x:v>周=2035-01-29_4；配置=NN352</x:v>
      </x:c>
      <x:c r="E162" s="19" t="str">
        <x:v>结束</x:v>
      </x:c>
      <x:c r="F162" s="19" t="str">
        <x:v>提前终止</x:v>
      </x:c>
      <x:c r="G162" s="19" t="str">
        <x:v>其他/配置</x:v>
      </x:c>
      <x:c r="H162" s="19" t="str">
        <x:v>D:/Codex/GRL研究/outputs/grid04/GRID04_report.md</x:v>
      </x:c>
    </x:row>
    <x:row r="163" ht="36" customHeight="1">
      <x:c r="A163" s="19" t="str">
        <x:v>GRID04</x:v>
      </x:c>
      <x:c r="B163" s="19" t="str">
        <x:v>GRID04_report.md</x:v>
      </x:c>
      <x:c r="C163" s="19" t="str">
        <x:v>4. 汇总与逐周结果</x:v>
      </x:c>
      <x:c r="D163" s="19" t="str">
        <x:v>周=2035-01-29_4；配置=NN352</x:v>
      </x:c>
      <x:c r="E163" s="19" t="str">
        <x:v>原始成本</x:v>
      </x:c>
      <x:c r="F163" s="19" t="str">
        <x:v>6236347.089</x:v>
      </x:c>
      <x:c r="G163" s="19" t="str">
        <x:v>质量/成本</x:v>
      </x:c>
      <x:c r="H163" s="19" t="str">
        <x:v>D:/Codex/GRL研究/outputs/grid04/GRID04_report.md</x:v>
      </x:c>
    </x:row>
    <x:row r="164" ht="36" customHeight="1">
      <x:c r="A164" s="19" t="str">
        <x:v>GRID04</x:v>
      </x:c>
      <x:c r="B164" s="19" t="str">
        <x:v>GRID04_report.md</x:v>
      </x:c>
      <x:c r="C164" s="19" t="str">
        <x:v>4. 汇总与逐周结果</x:v>
      </x:c>
      <x:c r="D164" s="19" t="str">
        <x:v>周=2035-01-29_4；配置=NN352</x:v>
      </x:c>
      <x:c r="E164" s="19" t="str">
        <x:v>act秒</x:v>
      </x:c>
      <x:c r="F164" s="19" t="str">
        <x:v>93.42</x:v>
      </x:c>
      <x:c r="G164" s="19" t="str">
        <x:v>速度/计算</x:v>
      </x:c>
      <x:c r="H164" s="19" t="str">
        <x:v>D:/Codex/GRL研究/outputs/grid04/GRID04_report.md</x:v>
      </x:c>
    </x:row>
    <x:row r="165" ht="36" customHeight="1">
      <x:c r="A165" s="19" t="str">
        <x:v>GRID04</x:v>
      </x:c>
      <x:c r="B165" s="19" t="str">
        <x:v>GRID04_report.md</x:v>
      </x:c>
      <x:c r="C165" s="19" t="str">
        <x:v>4. 汇总与逐周结果</x:v>
      </x:c>
      <x:c r="D165" s="19" t="str">
        <x:v>周=2035-01-29_4；配置=NN352</x:v>
      </x:c>
      <x:c r="E165" s="19" t="str">
        <x:v>最大rho</x:v>
      </x:c>
      <x:c r="F165" s="19" t="str">
        <x:v>1.1890</x:v>
      </x:c>
      <x:c r="G165" s="19" t="str">
        <x:v>质量/成本</x:v>
      </x:c>
      <x:c r="H165" s="19" t="str">
        <x:v>D:/Codex/GRL研究/outputs/grid04/GRID04_report.md</x:v>
      </x:c>
    </x:row>
    <x:row r="166" ht="36" customHeight="1">
      <x:c r="A166" s="19" t="str">
        <x:v>GRID04</x:v>
      </x:c>
      <x:c r="B166" s="19" t="str">
        <x:v>GRID04_report.md</x:v>
      </x:c>
      <x:c r="C166" s="19" t="str">
        <x:v>4. 汇总与逐周结果</x:v>
      </x:c>
      <x:c r="D166" s="19" t="str">
        <x:v>周=2035-01-29_4；配置=LOCAL20</x:v>
      </x:c>
      <x:c r="E166" s="19" t="str">
        <x:v>配置</x:v>
      </x:c>
      <x:c r="F166" s="19" t="str">
        <x:v>LOCAL20</x:v>
      </x:c>
      <x:c r="G166" s="19" t="str">
        <x:v>其他/配置</x:v>
      </x:c>
      <x:c r="H166" s="19" t="str">
        <x:v>D:/Codex/GRL研究/outputs/grid04/GRID04_report.md</x:v>
      </x:c>
    </x:row>
    <x:row r="167" ht="36" customHeight="1">
      <x:c r="A167" s="19" t="str">
        <x:v>GRID04</x:v>
      </x:c>
      <x:c r="B167" s="19" t="str">
        <x:v>GRID04_report.md</x:v>
      </x:c>
      <x:c r="C167" s="19" t="str">
        <x:v>4. 汇总与逐周结果</x:v>
      </x:c>
      <x:c r="D167" s="19" t="str">
        <x:v>周=2035-01-29_4；配置=LOCAL20</x:v>
      </x:c>
      <x:c r="E167" s="19" t="str">
        <x:v>步数</x:v>
      </x:c>
      <x:c r="F167" s="19" t="str">
        <x:v>1719/2017</x:v>
      </x:c>
      <x:c r="G167" s="19" t="str">
        <x:v>质量/成本</x:v>
      </x:c>
      <x:c r="H167" s="19" t="str">
        <x:v>D:/Codex/GRL研究/outputs/grid04/GRID04_report.md</x:v>
      </x:c>
    </x:row>
    <x:row r="168" ht="36" customHeight="1">
      <x:c r="A168" s="19" t="str">
        <x:v>GRID04</x:v>
      </x:c>
      <x:c r="B168" s="19" t="str">
        <x:v>GRID04_report.md</x:v>
      </x:c>
      <x:c r="C168" s="19" t="str">
        <x:v>4. 汇总与逐周结果</x:v>
      </x:c>
      <x:c r="D168" s="19" t="str">
        <x:v>周=2035-01-29_4；配置=LOCAL20</x:v>
      </x:c>
      <x:c r="E168" s="19" t="str">
        <x:v>结束</x:v>
      </x:c>
      <x:c r="F168" s="19" t="str">
        <x:v>提前终止</x:v>
      </x:c>
      <x:c r="G168" s="19" t="str">
        <x:v>其他/配置</x:v>
      </x:c>
      <x:c r="H168" s="19" t="str">
        <x:v>D:/Codex/GRL研究/outputs/grid04/GRID04_report.md</x:v>
      </x:c>
    </x:row>
    <x:row r="169" ht="36" customHeight="1">
      <x:c r="A169" s="19" t="str">
        <x:v>GRID04</x:v>
      </x:c>
      <x:c r="B169" s="19" t="str">
        <x:v>GRID04_report.md</x:v>
      </x:c>
      <x:c r="C169" s="19" t="str">
        <x:v>4. 汇总与逐周结果</x:v>
      </x:c>
      <x:c r="D169" s="19" t="str">
        <x:v>周=2035-01-29_4；配置=LOCAL20</x:v>
      </x:c>
      <x:c r="E169" s="19" t="str">
        <x:v>原始成本</x:v>
      </x:c>
      <x:c r="F169" s="19" t="str">
        <x:v>6651699.166</x:v>
      </x:c>
      <x:c r="G169" s="19" t="str">
        <x:v>质量/成本</x:v>
      </x:c>
      <x:c r="H169" s="19" t="str">
        <x:v>D:/Codex/GRL研究/outputs/grid04/GRID04_report.md</x:v>
      </x:c>
    </x:row>
    <x:row r="170" ht="36" customHeight="1">
      <x:c r="A170" s="19" t="str">
        <x:v>GRID04</x:v>
      </x:c>
      <x:c r="B170" s="19" t="str">
        <x:v>GRID04_report.md</x:v>
      </x:c>
      <x:c r="C170" s="19" t="str">
        <x:v>4. 汇总与逐周结果</x:v>
      </x:c>
      <x:c r="D170" s="19" t="str">
        <x:v>周=2035-01-29_4；配置=LOCAL20</x:v>
      </x:c>
      <x:c r="E170" s="19" t="str">
        <x:v>act秒</x:v>
      </x:c>
      <x:c r="F170" s="19" t="str">
        <x:v>58.91</x:v>
      </x:c>
      <x:c r="G170" s="19" t="str">
        <x:v>速度/计算</x:v>
      </x:c>
      <x:c r="H170" s="19" t="str">
        <x:v>D:/Codex/GRL研究/outputs/grid04/GRID04_report.md</x:v>
      </x:c>
    </x:row>
    <x:row r="171" ht="36" customHeight="1">
      <x:c r="A171" s="19" t="str">
        <x:v>GRID04</x:v>
      </x:c>
      <x:c r="B171" s="19" t="str">
        <x:v>GRID04_report.md</x:v>
      </x:c>
      <x:c r="C171" s="19" t="str">
        <x:v>4. 汇总与逐周结果</x:v>
      </x:c>
      <x:c r="D171" s="19" t="str">
        <x:v>周=2035-01-29_4；配置=LOCAL20</x:v>
      </x:c>
      <x:c r="E171" s="19" t="str">
        <x:v>最大rho</x:v>
      </x:c>
      <x:c r="F171" s="19" t="str">
        <x:v>1.2458</x:v>
      </x:c>
      <x:c r="G171" s="19" t="str">
        <x:v>质量/成本</x:v>
      </x:c>
      <x:c r="H171" s="19" t="str">
        <x:v>D:/Codex/GRL研究/outputs/grid04/GRID04_report.md</x:v>
      </x:c>
    </x:row>
    <x:row r="172" ht="36" customHeight="1">
      <x:c r="A172" s="19" t="str">
        <x:v>GRID04</x:v>
      </x:c>
      <x:c r="B172" s="19" t="str">
        <x:v>GRID04_report.md</x:v>
      </x:c>
      <x:c r="C172" s="19" t="str">
        <x:v>4. 汇总与逐周结果</x:v>
      </x:c>
      <x:c r="D172" s="19" t="str">
        <x:v>周=2035-01-29_4；配置=RANDOM20</x:v>
      </x:c>
      <x:c r="E172" s="19" t="str">
        <x:v>配置</x:v>
      </x:c>
      <x:c r="F172" s="19" t="str">
        <x:v>RANDOM20</x:v>
      </x:c>
      <x:c r="G172" s="19" t="str">
        <x:v>其他/配置</x:v>
      </x:c>
      <x:c r="H172" s="19" t="str">
        <x:v>D:/Codex/GRL研究/outputs/grid04/GRID04_report.md</x:v>
      </x:c>
    </x:row>
    <x:row r="173" ht="36" customHeight="1">
      <x:c r="A173" s="19" t="str">
        <x:v>GRID04</x:v>
      </x:c>
      <x:c r="B173" s="19" t="str">
        <x:v>GRID04_report.md</x:v>
      </x:c>
      <x:c r="C173" s="19" t="str">
        <x:v>4. 汇总与逐周结果</x:v>
      </x:c>
      <x:c r="D173" s="19" t="str">
        <x:v>周=2035-01-29_4；配置=RANDOM20</x:v>
      </x:c>
      <x:c r="E173" s="19" t="str">
        <x:v>步数</x:v>
      </x:c>
      <x:c r="F173" s="19" t="str">
        <x:v>1486/2017</x:v>
      </x:c>
      <x:c r="G173" s="19" t="str">
        <x:v>质量/成本</x:v>
      </x:c>
      <x:c r="H173" s="19" t="str">
        <x:v>D:/Codex/GRL研究/outputs/grid04/GRID04_report.md</x:v>
      </x:c>
    </x:row>
    <x:row r="174" ht="36" customHeight="1">
      <x:c r="A174" s="19" t="str">
        <x:v>GRID04</x:v>
      </x:c>
      <x:c r="B174" s="19" t="str">
        <x:v>GRID04_report.md</x:v>
      </x:c>
      <x:c r="C174" s="19" t="str">
        <x:v>4. 汇总与逐周结果</x:v>
      </x:c>
      <x:c r="D174" s="19" t="str">
        <x:v>周=2035-01-29_4；配置=RANDOM20</x:v>
      </x:c>
      <x:c r="E174" s="19" t="str">
        <x:v>结束</x:v>
      </x:c>
      <x:c r="F174" s="19" t="str">
        <x:v>提前终止</x:v>
      </x:c>
      <x:c r="G174" s="19" t="str">
        <x:v>其他/配置</x:v>
      </x:c>
      <x:c r="H174" s="19" t="str">
        <x:v>D:/Codex/GRL研究/outputs/grid04/GRID04_report.md</x:v>
      </x:c>
    </x:row>
    <x:row r="175" ht="36" customHeight="1">
      <x:c r="A175" s="19" t="str">
        <x:v>GRID04</x:v>
      </x:c>
      <x:c r="B175" s="19" t="str">
        <x:v>GRID04_report.md</x:v>
      </x:c>
      <x:c r="C175" s="19" t="str">
        <x:v>4. 汇总与逐周结果</x:v>
      </x:c>
      <x:c r="D175" s="19" t="str">
        <x:v>周=2035-01-29_4；配置=RANDOM20</x:v>
      </x:c>
      <x:c r="E175" s="19" t="str">
        <x:v>原始成本</x:v>
      </x:c>
      <x:c r="F175" s="19" t="str">
        <x:v>7730802.551</x:v>
      </x:c>
      <x:c r="G175" s="19" t="str">
        <x:v>质量/成本</x:v>
      </x:c>
      <x:c r="H175" s="19" t="str">
        <x:v>D:/Codex/GRL研究/outputs/grid04/GRID04_report.md</x:v>
      </x:c>
    </x:row>
    <x:row r="176" ht="36" customHeight="1">
      <x:c r="A176" s="19" t="str">
        <x:v>GRID04</x:v>
      </x:c>
      <x:c r="B176" s="19" t="str">
        <x:v>GRID04_report.md</x:v>
      </x:c>
      <x:c r="C176" s="19" t="str">
        <x:v>4. 汇总与逐周结果</x:v>
      </x:c>
      <x:c r="D176" s="19" t="str">
        <x:v>周=2035-01-29_4；配置=RANDOM20</x:v>
      </x:c>
      <x:c r="E176" s="19" t="str">
        <x:v>act秒</x:v>
      </x:c>
      <x:c r="F176" s="19" t="str">
        <x:v>79.44</x:v>
      </x:c>
      <x:c r="G176" s="19" t="str">
        <x:v>速度/计算</x:v>
      </x:c>
      <x:c r="H176" s="19" t="str">
        <x:v>D:/Codex/GRL研究/outputs/grid04/GRID04_report.md</x:v>
      </x:c>
    </x:row>
    <x:row r="177" ht="36" customHeight="1">
      <x:c r="A177" s="19" t="str">
        <x:v>GRID04</x:v>
      </x:c>
      <x:c r="B177" s="19" t="str">
        <x:v>GRID04_report.md</x:v>
      </x:c>
      <x:c r="C177" s="19" t="str">
        <x:v>4. 汇总与逐周结果</x:v>
      </x:c>
      <x:c r="D177" s="19" t="str">
        <x:v>周=2035-01-29_4；配置=RANDOM20</x:v>
      </x:c>
      <x:c r="E177" s="19" t="str">
        <x:v>最大rho</x:v>
      </x:c>
      <x:c r="F177" s="19" t="str">
        <x:v>1.2233</x:v>
      </x:c>
      <x:c r="G177" s="19" t="str">
        <x:v>质量/成本</x:v>
      </x:c>
      <x:c r="H177" s="19" t="str">
        <x:v>D:/Codex/GRL研究/outputs/grid04/GRID04_report.md</x:v>
      </x:c>
    </x:row>
    <x:row r="178" ht="36" customHeight="1">
      <x:c r="A178" s="19" t="str">
        <x:v>GRID04</x:v>
      </x:c>
      <x:c r="B178" s="19" t="str">
        <x:v>GRID04_report.md</x:v>
      </x:c>
      <x:c r="C178" s="19" t="str">
        <x:v>4. 汇总与逐周结果</x:v>
      </x:c>
      <x:c r="D178" s="19" t="str">
        <x:v>周=2035-04-16_2；配置=FULL</x:v>
      </x:c>
      <x:c r="E178" s="19" t="str">
        <x:v>配置</x:v>
      </x:c>
      <x:c r="F178" s="19" t="str">
        <x:v>FULL</x:v>
      </x:c>
      <x:c r="G178" s="19" t="str">
        <x:v>其他/配置</x:v>
      </x:c>
      <x:c r="H178" s="19" t="str">
        <x:v>D:/Codex/GRL研究/outputs/grid04/GRID04_report.md</x:v>
      </x:c>
    </x:row>
    <x:row r="179" ht="36" customHeight="1">
      <x:c r="A179" s="19" t="str">
        <x:v>GRID04</x:v>
      </x:c>
      <x:c r="B179" s="19" t="str">
        <x:v>GRID04_report.md</x:v>
      </x:c>
      <x:c r="C179" s="19" t="str">
        <x:v>4. 汇总与逐周结果</x:v>
      </x:c>
      <x:c r="D179" s="19" t="str">
        <x:v>周=2035-04-16_2；配置=FULL</x:v>
      </x:c>
      <x:c r="E179" s="19" t="str">
        <x:v>步数</x:v>
      </x:c>
      <x:c r="F179" s="19" t="str">
        <x:v>2017/2017</x:v>
      </x:c>
      <x:c r="G179" s="19" t="str">
        <x:v>质量/成本</x:v>
      </x:c>
      <x:c r="H179" s="19" t="str">
        <x:v>D:/Codex/GRL研究/outputs/grid04/GRID04_report.md</x:v>
      </x:c>
    </x:row>
    <x:row r="180" ht="36" customHeight="1">
      <x:c r="A180" s="19" t="str">
        <x:v>GRID04</x:v>
      </x:c>
      <x:c r="B180" s="19" t="str">
        <x:v>GRID04_report.md</x:v>
      </x:c>
      <x:c r="C180" s="19" t="str">
        <x:v>4. 汇总与逐周结果</x:v>
      </x:c>
      <x:c r="D180" s="19" t="str">
        <x:v>周=2035-04-16_2；配置=FULL</x:v>
      </x:c>
      <x:c r="E180" s="19" t="str">
        <x:v>结束</x:v>
      </x:c>
      <x:c r="F180" s="19" t="str">
        <x:v>完整</x:v>
      </x:c>
      <x:c r="G180" s="19" t="str">
        <x:v>其他/配置</x:v>
      </x:c>
      <x:c r="H180" s="19" t="str">
        <x:v>D:/Codex/GRL研究/outputs/grid04/GRID04_report.md</x:v>
      </x:c>
    </x:row>
    <x:row r="181" ht="36" customHeight="1">
      <x:c r="A181" s="19" t="str">
        <x:v>GRID04</x:v>
      </x:c>
      <x:c r="B181" s="19" t="str">
        <x:v>GRID04_report.md</x:v>
      </x:c>
      <x:c r="C181" s="19" t="str">
        <x:v>4. 汇总与逐周结果</x:v>
      </x:c>
      <x:c r="D181" s="19" t="str">
        <x:v>周=2035-04-16_2；配置=FULL</x:v>
      </x:c>
      <x:c r="E181" s="19" t="str">
        <x:v>原始成本</x:v>
      </x:c>
      <x:c r="F181" s="19" t="str">
        <x:v>5040898.108</x:v>
      </x:c>
      <x:c r="G181" s="19" t="str">
        <x:v>质量/成本</x:v>
      </x:c>
      <x:c r="H181" s="19" t="str">
        <x:v>D:/Codex/GRL研究/outputs/grid04/GRID04_report.md</x:v>
      </x:c>
    </x:row>
    <x:row r="182" ht="36" customHeight="1">
      <x:c r="A182" s="19" t="str">
        <x:v>GRID04</x:v>
      </x:c>
      <x:c r="B182" s="19" t="str">
        <x:v>GRID04_report.md</x:v>
      </x:c>
      <x:c r="C182" s="19" t="str">
        <x:v>4. 汇总与逐周结果</x:v>
      </x:c>
      <x:c r="D182" s="19" t="str">
        <x:v>周=2035-04-16_2；配置=FULL</x:v>
      </x:c>
      <x:c r="E182" s="19" t="str">
        <x:v>act秒</x:v>
      </x:c>
      <x:c r="F182" s="19" t="str">
        <x:v>82.10</x:v>
      </x:c>
      <x:c r="G182" s="19" t="str">
        <x:v>速度/计算</x:v>
      </x:c>
      <x:c r="H182" s="19" t="str">
        <x:v>D:/Codex/GRL研究/outputs/grid04/GRID04_report.md</x:v>
      </x:c>
    </x:row>
    <x:row r="183" ht="36" customHeight="1">
      <x:c r="A183" s="19" t="str">
        <x:v>GRID04</x:v>
      </x:c>
      <x:c r="B183" s="19" t="str">
        <x:v>GRID04_report.md</x:v>
      </x:c>
      <x:c r="C183" s="19" t="str">
        <x:v>4. 汇总与逐周结果</x:v>
      </x:c>
      <x:c r="D183" s="19" t="str">
        <x:v>周=2035-04-16_2；配置=FULL</x:v>
      </x:c>
      <x:c r="E183" s="19" t="str">
        <x:v>最大rho</x:v>
      </x:c>
      <x:c r="F183" s="19" t="str">
        <x:v>1.1884</x:v>
      </x:c>
      <x:c r="G183" s="19" t="str">
        <x:v>质量/成本</x:v>
      </x:c>
      <x:c r="H183" s="19" t="str">
        <x:v>D:/Codex/GRL研究/outputs/grid04/GRID04_report.md</x:v>
      </x:c>
    </x:row>
    <x:row r="184" ht="36" customHeight="1">
      <x:c r="A184" s="19" t="str">
        <x:v>GRID04</x:v>
      </x:c>
      <x:c r="B184" s="19" t="str">
        <x:v>GRID04_report.md</x:v>
      </x:c>
      <x:c r="C184" s="19" t="str">
        <x:v>4. 汇总与逐周结果</x:v>
      </x:c>
      <x:c r="D184" s="19" t="str">
        <x:v>周=2035-04-16_2；配置=NN20</x:v>
      </x:c>
      <x:c r="E184" s="19" t="str">
        <x:v>配置</x:v>
      </x:c>
      <x:c r="F184" s="19" t="str">
        <x:v>NN20</x:v>
      </x:c>
      <x:c r="G184" s="19" t="str">
        <x:v>其他/配置</x:v>
      </x:c>
      <x:c r="H184" s="19" t="str">
        <x:v>D:/Codex/GRL研究/outputs/grid04/GRID04_report.md</x:v>
      </x:c>
    </x:row>
    <x:row r="185" ht="36" customHeight="1">
      <x:c r="A185" s="19" t="str">
        <x:v>GRID04</x:v>
      </x:c>
      <x:c r="B185" s="19" t="str">
        <x:v>GRID04_report.md</x:v>
      </x:c>
      <x:c r="C185" s="19" t="str">
        <x:v>4. 汇总与逐周结果</x:v>
      </x:c>
      <x:c r="D185" s="19" t="str">
        <x:v>周=2035-04-16_2；配置=NN20</x:v>
      </x:c>
      <x:c r="E185" s="19" t="str">
        <x:v>步数</x:v>
      </x:c>
      <x:c r="F185" s="19" t="str">
        <x:v>2017/2017</x:v>
      </x:c>
      <x:c r="G185" s="19" t="str">
        <x:v>质量/成本</x:v>
      </x:c>
      <x:c r="H185" s="19" t="str">
        <x:v>D:/Codex/GRL研究/outputs/grid04/GRID04_report.md</x:v>
      </x:c>
    </x:row>
    <x:row r="186" ht="36" customHeight="1">
      <x:c r="A186" s="19" t="str">
        <x:v>GRID04</x:v>
      </x:c>
      <x:c r="B186" s="19" t="str">
        <x:v>GRID04_report.md</x:v>
      </x:c>
      <x:c r="C186" s="19" t="str">
        <x:v>4. 汇总与逐周结果</x:v>
      </x:c>
      <x:c r="D186" s="19" t="str">
        <x:v>周=2035-04-16_2；配置=NN20</x:v>
      </x:c>
      <x:c r="E186" s="19" t="str">
        <x:v>结束</x:v>
      </x:c>
      <x:c r="F186" s="19" t="str">
        <x:v>完整</x:v>
      </x:c>
      <x:c r="G186" s="19" t="str">
        <x:v>其他/配置</x:v>
      </x:c>
      <x:c r="H186" s="19" t="str">
        <x:v>D:/Codex/GRL研究/outputs/grid04/GRID04_report.md</x:v>
      </x:c>
    </x:row>
    <x:row r="187" ht="36" customHeight="1">
      <x:c r="A187" s="19" t="str">
        <x:v>GRID04</x:v>
      </x:c>
      <x:c r="B187" s="19" t="str">
        <x:v>GRID04_report.md</x:v>
      </x:c>
      <x:c r="C187" s="19" t="str">
        <x:v>4. 汇总与逐周结果</x:v>
      </x:c>
      <x:c r="D187" s="19" t="str">
        <x:v>周=2035-04-16_2；配置=NN20</x:v>
      </x:c>
      <x:c r="E187" s="19" t="str">
        <x:v>原始成本</x:v>
      </x:c>
      <x:c r="F187" s="19" t="str">
        <x:v>5585047.533</x:v>
      </x:c>
      <x:c r="G187" s="19" t="str">
        <x:v>质量/成本</x:v>
      </x:c>
      <x:c r="H187" s="19" t="str">
        <x:v>D:/Codex/GRL研究/outputs/grid04/GRID04_report.md</x:v>
      </x:c>
    </x:row>
    <x:row r="188" ht="36" customHeight="1">
      <x:c r="A188" s="19" t="str">
        <x:v>GRID04</x:v>
      </x:c>
      <x:c r="B188" s="19" t="str">
        <x:v>GRID04_report.md</x:v>
      </x:c>
      <x:c r="C188" s="19" t="str">
        <x:v>4. 汇总与逐周结果</x:v>
      </x:c>
      <x:c r="D188" s="19" t="str">
        <x:v>周=2035-04-16_2；配置=NN20</x:v>
      </x:c>
      <x:c r="E188" s="19" t="str">
        <x:v>act秒</x:v>
      </x:c>
      <x:c r="F188" s="19" t="str">
        <x:v>55.16</x:v>
      </x:c>
      <x:c r="G188" s="19" t="str">
        <x:v>速度/计算</x:v>
      </x:c>
      <x:c r="H188" s="19" t="str">
        <x:v>D:/Codex/GRL研究/outputs/grid04/GRID04_report.md</x:v>
      </x:c>
    </x:row>
    <x:row r="189" ht="36" customHeight="1">
      <x:c r="A189" s="19" t="str">
        <x:v>GRID04</x:v>
      </x:c>
      <x:c r="B189" s="19" t="str">
        <x:v>GRID04_report.md</x:v>
      </x:c>
      <x:c r="C189" s="19" t="str">
        <x:v>4. 汇总与逐周结果</x:v>
      </x:c>
      <x:c r="D189" s="19" t="str">
        <x:v>周=2035-04-16_2；配置=NN20</x:v>
      </x:c>
      <x:c r="E189" s="19" t="str">
        <x:v>最大rho</x:v>
      </x:c>
      <x:c r="F189" s="19" t="str">
        <x:v>1.1684</x:v>
      </x:c>
      <x:c r="G189" s="19" t="str">
        <x:v>质量/成本</x:v>
      </x:c>
      <x:c r="H189" s="19" t="str">
        <x:v>D:/Codex/GRL研究/outputs/grid04/GRID04_report.md</x:v>
      </x:c>
    </x:row>
    <x:row r="190" ht="36" customHeight="1">
      <x:c r="A190" s="19" t="str">
        <x:v>GRID04</x:v>
      </x:c>
      <x:c r="B190" s="19" t="str">
        <x:v>GRID04_report.md</x:v>
      </x:c>
      <x:c r="C190" s="19" t="str">
        <x:v>4. 汇总与逐周结果</x:v>
      </x:c>
      <x:c r="D190" s="19" t="str">
        <x:v>周=2035-04-16_2；配置=NN352</x:v>
      </x:c>
      <x:c r="E190" s="19" t="str">
        <x:v>配置</x:v>
      </x:c>
      <x:c r="F190" s="19" t="str">
        <x:v>NN352</x:v>
      </x:c>
      <x:c r="G190" s="19" t="str">
        <x:v>其他/配置</x:v>
      </x:c>
      <x:c r="H190" s="19" t="str">
        <x:v>D:/Codex/GRL研究/outputs/grid04/GRID04_report.md</x:v>
      </x:c>
    </x:row>
    <x:row r="191" ht="36" customHeight="1">
      <x:c r="A191" s="19" t="str">
        <x:v>GRID04</x:v>
      </x:c>
      <x:c r="B191" s="19" t="str">
        <x:v>GRID04_report.md</x:v>
      </x:c>
      <x:c r="C191" s="19" t="str">
        <x:v>4. 汇总与逐周结果</x:v>
      </x:c>
      <x:c r="D191" s="19" t="str">
        <x:v>周=2035-04-16_2；配置=NN352</x:v>
      </x:c>
      <x:c r="E191" s="19" t="str">
        <x:v>步数</x:v>
      </x:c>
      <x:c r="F191" s="19" t="str">
        <x:v>2017/2017</x:v>
      </x:c>
      <x:c r="G191" s="19" t="str">
        <x:v>质量/成本</x:v>
      </x:c>
      <x:c r="H191" s="19" t="str">
        <x:v>D:/Codex/GRL研究/outputs/grid04/GRID04_report.md</x:v>
      </x:c>
    </x:row>
    <x:row r="192" ht="36" customHeight="1">
      <x:c r="A192" s="19" t="str">
        <x:v>GRID04</x:v>
      </x:c>
      <x:c r="B192" s="19" t="str">
        <x:v>GRID04_report.md</x:v>
      </x:c>
      <x:c r="C192" s="19" t="str">
        <x:v>4. 汇总与逐周结果</x:v>
      </x:c>
      <x:c r="D192" s="19" t="str">
        <x:v>周=2035-04-16_2；配置=NN352</x:v>
      </x:c>
      <x:c r="E192" s="19" t="str">
        <x:v>结束</x:v>
      </x:c>
      <x:c r="F192" s="19" t="str">
        <x:v>完整</x:v>
      </x:c>
      <x:c r="G192" s="19" t="str">
        <x:v>其他/配置</x:v>
      </x:c>
      <x:c r="H192" s="19" t="str">
        <x:v>D:/Codex/GRL研究/outputs/grid04/GRID04_report.md</x:v>
      </x:c>
    </x:row>
    <x:row r="193" ht="36" customHeight="1">
      <x:c r="A193" s="19" t="str">
        <x:v>GRID04</x:v>
      </x:c>
      <x:c r="B193" s="19" t="str">
        <x:v>GRID04_report.md</x:v>
      </x:c>
      <x:c r="C193" s="19" t="str">
        <x:v>4. 汇总与逐周结果</x:v>
      </x:c>
      <x:c r="D193" s="19" t="str">
        <x:v>周=2035-04-16_2；配置=NN352</x:v>
      </x:c>
      <x:c r="E193" s="19" t="str">
        <x:v>原始成本</x:v>
      </x:c>
      <x:c r="F193" s="19" t="str">
        <x:v>5043710.711</x:v>
      </x:c>
      <x:c r="G193" s="19" t="str">
        <x:v>质量/成本</x:v>
      </x:c>
      <x:c r="H193" s="19" t="str">
        <x:v>D:/Codex/GRL研究/outputs/grid04/GRID04_report.md</x:v>
      </x:c>
    </x:row>
    <x:row r="194" ht="36" customHeight="1">
      <x:c r="A194" s="19" t="str">
        <x:v>GRID04</x:v>
      </x:c>
      <x:c r="B194" s="19" t="str">
        <x:v>GRID04_report.md</x:v>
      </x:c>
      <x:c r="C194" s="19" t="str">
        <x:v>4. 汇总与逐周结果</x:v>
      </x:c>
      <x:c r="D194" s="19" t="str">
        <x:v>周=2035-04-16_2；配置=NN352</x:v>
      </x:c>
      <x:c r="E194" s="19" t="str">
        <x:v>act秒</x:v>
      </x:c>
      <x:c r="F194" s="19" t="str">
        <x:v>74.31</x:v>
      </x:c>
      <x:c r="G194" s="19" t="str">
        <x:v>速度/计算</x:v>
      </x:c>
      <x:c r="H194" s="19" t="str">
        <x:v>D:/Codex/GRL研究/outputs/grid04/GRID04_report.md</x:v>
      </x:c>
    </x:row>
    <x:row r="195" ht="36" customHeight="1">
      <x:c r="A195" s="19" t="str">
        <x:v>GRID04</x:v>
      </x:c>
      <x:c r="B195" s="19" t="str">
        <x:v>GRID04_report.md</x:v>
      </x:c>
      <x:c r="C195" s="19" t="str">
        <x:v>4. 汇总与逐周结果</x:v>
      </x:c>
      <x:c r="D195" s="19" t="str">
        <x:v>周=2035-04-16_2；配置=NN352</x:v>
      </x:c>
      <x:c r="E195" s="19" t="str">
        <x:v>最大rho</x:v>
      </x:c>
      <x:c r="F195" s="19" t="str">
        <x:v>1.1886</x:v>
      </x:c>
      <x:c r="G195" s="19" t="str">
        <x:v>质量/成本</x:v>
      </x:c>
      <x:c r="H195" s="19" t="str">
        <x:v>D:/Codex/GRL研究/outputs/grid04/GRID04_report.md</x:v>
      </x:c>
    </x:row>
    <x:row r="196" ht="36" customHeight="1">
      <x:c r="A196" s="19" t="str">
        <x:v>GRID04</x:v>
      </x:c>
      <x:c r="B196" s="19" t="str">
        <x:v>GRID04_report.md</x:v>
      </x:c>
      <x:c r="C196" s="19" t="str">
        <x:v>4. 汇总与逐周结果</x:v>
      </x:c>
      <x:c r="D196" s="19" t="str">
        <x:v>周=2035-04-16_2；配置=LOCAL20</x:v>
      </x:c>
      <x:c r="E196" s="19" t="str">
        <x:v>配置</x:v>
      </x:c>
      <x:c r="F196" s="19" t="str">
        <x:v>LOCAL20</x:v>
      </x:c>
      <x:c r="G196" s="19" t="str">
        <x:v>其他/配置</x:v>
      </x:c>
      <x:c r="H196" s="19" t="str">
        <x:v>D:/Codex/GRL研究/outputs/grid04/GRID04_report.md</x:v>
      </x:c>
    </x:row>
    <x:row r="197" ht="36" customHeight="1">
      <x:c r="A197" s="19" t="str">
        <x:v>GRID04</x:v>
      </x:c>
      <x:c r="B197" s="19" t="str">
        <x:v>GRID04_report.md</x:v>
      </x:c>
      <x:c r="C197" s="19" t="str">
        <x:v>4. 汇总与逐周结果</x:v>
      </x:c>
      <x:c r="D197" s="19" t="str">
        <x:v>周=2035-04-16_2；配置=LOCAL20</x:v>
      </x:c>
      <x:c r="E197" s="19" t="str">
        <x:v>步数</x:v>
      </x:c>
      <x:c r="F197" s="19" t="str">
        <x:v>2017/2017</x:v>
      </x:c>
      <x:c r="G197" s="19" t="str">
        <x:v>质量/成本</x:v>
      </x:c>
      <x:c r="H197" s="19" t="str">
        <x:v>D:/Codex/GRL研究/outputs/grid04/GRID04_report.md</x:v>
      </x:c>
    </x:row>
    <x:row r="198" ht="36" customHeight="1">
      <x:c r="A198" s="19" t="str">
        <x:v>GRID04</x:v>
      </x:c>
      <x:c r="B198" s="19" t="str">
        <x:v>GRID04_report.md</x:v>
      </x:c>
      <x:c r="C198" s="19" t="str">
        <x:v>4. 汇总与逐周结果</x:v>
      </x:c>
      <x:c r="D198" s="19" t="str">
        <x:v>周=2035-04-16_2；配置=LOCAL20</x:v>
      </x:c>
      <x:c r="E198" s="19" t="str">
        <x:v>结束</x:v>
      </x:c>
      <x:c r="F198" s="19" t="str">
        <x:v>完整</x:v>
      </x:c>
      <x:c r="G198" s="19" t="str">
        <x:v>其他/配置</x:v>
      </x:c>
      <x:c r="H198" s="19" t="str">
        <x:v>D:/Codex/GRL研究/outputs/grid04/GRID04_report.md</x:v>
      </x:c>
    </x:row>
    <x:row r="199" ht="36" customHeight="1">
      <x:c r="A199" s="19" t="str">
        <x:v>GRID04</x:v>
      </x:c>
      <x:c r="B199" s="19" t="str">
        <x:v>GRID04_report.md</x:v>
      </x:c>
      <x:c r="C199" s="19" t="str">
        <x:v>4. 汇总与逐周结果</x:v>
      </x:c>
      <x:c r="D199" s="19" t="str">
        <x:v>周=2035-04-16_2；配置=LOCAL20</x:v>
      </x:c>
      <x:c r="E199" s="19" t="str">
        <x:v>原始成本</x:v>
      </x:c>
      <x:c r="F199" s="19" t="str">
        <x:v>5590564.783</x:v>
      </x:c>
      <x:c r="G199" s="19" t="str">
        <x:v>质量/成本</x:v>
      </x:c>
      <x:c r="H199" s="19" t="str">
        <x:v>D:/Codex/GRL研究/outputs/grid04/GRID04_report.md</x:v>
      </x:c>
    </x:row>
    <x:row r="200" ht="36" customHeight="1">
      <x:c r="A200" s="19" t="str">
        <x:v>GRID04</x:v>
      </x:c>
      <x:c r="B200" s="19" t="str">
        <x:v>GRID04_report.md</x:v>
      </x:c>
      <x:c r="C200" s="19" t="str">
        <x:v>4. 汇总与逐周结果</x:v>
      </x:c>
      <x:c r="D200" s="19" t="str">
        <x:v>周=2035-04-16_2；配置=LOCAL20</x:v>
      </x:c>
      <x:c r="E200" s="19" t="str">
        <x:v>act秒</x:v>
      </x:c>
      <x:c r="F200" s="19" t="str">
        <x:v>46.75</x:v>
      </x:c>
      <x:c r="G200" s="19" t="str">
        <x:v>速度/计算</x:v>
      </x:c>
      <x:c r="H200" s="19" t="str">
        <x:v>D:/Codex/GRL研究/outputs/grid04/GRID04_report.md</x:v>
      </x:c>
    </x:row>
    <x:row r="201" ht="36" customHeight="1">
      <x:c r="A201" s="19" t="str">
        <x:v>GRID04</x:v>
      </x:c>
      <x:c r="B201" s="19" t="str">
        <x:v>GRID04_report.md</x:v>
      </x:c>
      <x:c r="C201" s="19" t="str">
        <x:v>4. 汇总与逐周结果</x:v>
      </x:c>
      <x:c r="D201" s="19" t="str">
        <x:v>周=2035-04-16_2；配置=LOCAL20</x:v>
      </x:c>
      <x:c r="E201" s="19" t="str">
        <x:v>最大rho</x:v>
      </x:c>
      <x:c r="F201" s="19" t="str">
        <x:v>1.1209</x:v>
      </x:c>
      <x:c r="G201" s="19" t="str">
        <x:v>质量/成本</x:v>
      </x:c>
      <x:c r="H201" s="19" t="str">
        <x:v>D:/Codex/GRL研究/outputs/grid04/GRID04_report.md</x:v>
      </x:c>
    </x:row>
    <x:row r="202" ht="36" customHeight="1">
      <x:c r="A202" s="19" t="str">
        <x:v>GRID04</x:v>
      </x:c>
      <x:c r="B202" s="19" t="str">
        <x:v>GRID04_report.md</x:v>
      </x:c>
      <x:c r="C202" s="19" t="str">
        <x:v>4. 汇总与逐周结果</x:v>
      </x:c>
      <x:c r="D202" s="19" t="str">
        <x:v>周=2035-04-16_2；配置=RANDOM20</x:v>
      </x:c>
      <x:c r="E202" s="19" t="str">
        <x:v>配置</x:v>
      </x:c>
      <x:c r="F202" s="19" t="str">
        <x:v>RANDOM20</x:v>
      </x:c>
      <x:c r="G202" s="19" t="str">
        <x:v>其他/配置</x:v>
      </x:c>
      <x:c r="H202" s="19" t="str">
        <x:v>D:/Codex/GRL研究/outputs/grid04/GRID04_report.md</x:v>
      </x:c>
    </x:row>
    <x:row r="203" ht="36" customHeight="1">
      <x:c r="A203" s="19" t="str">
        <x:v>GRID04</x:v>
      </x:c>
      <x:c r="B203" s="19" t="str">
        <x:v>GRID04_report.md</x:v>
      </x:c>
      <x:c r="C203" s="19" t="str">
        <x:v>4. 汇总与逐周结果</x:v>
      </x:c>
      <x:c r="D203" s="19" t="str">
        <x:v>周=2035-04-16_2；配置=RANDOM20</x:v>
      </x:c>
      <x:c r="E203" s="19" t="str">
        <x:v>步数</x:v>
      </x:c>
      <x:c r="F203" s="19" t="str">
        <x:v>1519/2017</x:v>
      </x:c>
      <x:c r="G203" s="19" t="str">
        <x:v>质量/成本</x:v>
      </x:c>
      <x:c r="H203" s="19" t="str">
        <x:v>D:/Codex/GRL研究/outputs/grid04/GRID04_report.md</x:v>
      </x:c>
    </x:row>
    <x:row r="204" ht="36" customHeight="1">
      <x:c r="A204" s="19" t="str">
        <x:v>GRID04</x:v>
      </x:c>
      <x:c r="B204" s="19" t="str">
        <x:v>GRID04_report.md</x:v>
      </x:c>
      <x:c r="C204" s="19" t="str">
        <x:v>4. 汇总与逐周结果</x:v>
      </x:c>
      <x:c r="D204" s="19" t="str">
        <x:v>周=2035-04-16_2；配置=RANDOM20</x:v>
      </x:c>
      <x:c r="E204" s="19" t="str">
        <x:v>结束</x:v>
      </x:c>
      <x:c r="F204" s="19" t="str">
        <x:v>提前终止</x:v>
      </x:c>
      <x:c r="G204" s="19" t="str">
        <x:v>其他/配置</x:v>
      </x:c>
      <x:c r="H204" s="19" t="str">
        <x:v>D:/Codex/GRL研究/outputs/grid04/GRID04_report.md</x:v>
      </x:c>
    </x:row>
    <x:row r="205" ht="36" customHeight="1">
      <x:c r="A205" s="19" t="str">
        <x:v>GRID04</x:v>
      </x:c>
      <x:c r="B205" s="19" t="str">
        <x:v>GRID04_report.md</x:v>
      </x:c>
      <x:c r="C205" s="19" t="str">
        <x:v>4. 汇总与逐周结果</x:v>
      </x:c>
      <x:c r="D205" s="19" t="str">
        <x:v>周=2035-04-16_2；配置=RANDOM20</x:v>
      </x:c>
      <x:c r="E205" s="19" t="str">
        <x:v>原始成本</x:v>
      </x:c>
      <x:c r="F205" s="19" t="str">
        <x:v>6979627.115</x:v>
      </x:c>
      <x:c r="G205" s="19" t="str">
        <x:v>质量/成本</x:v>
      </x:c>
      <x:c r="H205" s="19" t="str">
        <x:v>D:/Codex/GRL研究/outputs/grid04/GRID04_report.md</x:v>
      </x:c>
    </x:row>
    <x:row r="206" ht="36" customHeight="1">
      <x:c r="A206" s="19" t="str">
        <x:v>GRID04</x:v>
      </x:c>
      <x:c r="B206" s="19" t="str">
        <x:v>GRID04_report.md</x:v>
      </x:c>
      <x:c r="C206" s="19" t="str">
        <x:v>4. 汇总与逐周结果</x:v>
      </x:c>
      <x:c r="D206" s="19" t="str">
        <x:v>周=2035-04-16_2；配置=RANDOM20</x:v>
      </x:c>
      <x:c r="E206" s="19" t="str">
        <x:v>act秒</x:v>
      </x:c>
      <x:c r="F206" s="19" t="str">
        <x:v>57.37</x:v>
      </x:c>
      <x:c r="G206" s="19" t="str">
        <x:v>速度/计算</x:v>
      </x:c>
      <x:c r="H206" s="19" t="str">
        <x:v>D:/Codex/GRL研究/outputs/grid04/GRID04_report.md</x:v>
      </x:c>
    </x:row>
    <x:row r="207" ht="36" customHeight="1">
      <x:c r="A207" s="19" t="str">
        <x:v>GRID04</x:v>
      </x:c>
      <x:c r="B207" s="19" t="str">
        <x:v>GRID04_report.md</x:v>
      </x:c>
      <x:c r="C207" s="19" t="str">
        <x:v>4. 汇总与逐周结果</x:v>
      </x:c>
      <x:c r="D207" s="19" t="str">
        <x:v>周=2035-04-16_2；配置=RANDOM20</x:v>
      </x:c>
      <x:c r="E207" s="19" t="str">
        <x:v>最大rho</x:v>
      </x:c>
      <x:c r="F207" s="19" t="str">
        <x:v>1.4974</x:v>
      </x:c>
      <x:c r="G207" s="19" t="str">
        <x:v>质量/成本</x:v>
      </x:c>
      <x:c r="H207" s="19" t="str">
        <x:v>D:/Codex/GRL研究/outputs/grid04/GRID04_report.md</x:v>
      </x:c>
    </x:row>
    <x:row r="208" ht="36" customHeight="1">
      <x:c r="A208" s="19" t="str">
        <x:v>GRID04</x:v>
      </x:c>
      <x:c r="B208" s="19" t="str">
        <x:v>GRID04_report.md</x:v>
      </x:c>
      <x:c r="C208" s="19" t="str">
        <x:v>4. 汇总与逐周结果</x:v>
      </x:c>
      <x:c r="D208" s="19" t="str">
        <x:v>周=2035-07-23_10；配置=FULL</x:v>
      </x:c>
      <x:c r="E208" s="19" t="str">
        <x:v>配置</x:v>
      </x:c>
      <x:c r="F208" s="19" t="str">
        <x:v>FULL</x:v>
      </x:c>
      <x:c r="G208" s="19" t="str">
        <x:v>其他/配置</x:v>
      </x:c>
      <x:c r="H208" s="19" t="str">
        <x:v>D:/Codex/GRL研究/outputs/grid04/GRID04_report.md</x:v>
      </x:c>
    </x:row>
    <x:row r="209" ht="36" customHeight="1">
      <x:c r="A209" s="19" t="str">
        <x:v>GRID04</x:v>
      </x:c>
      <x:c r="B209" s="19" t="str">
        <x:v>GRID04_report.md</x:v>
      </x:c>
      <x:c r="C209" s="19" t="str">
        <x:v>4. 汇总与逐周结果</x:v>
      </x:c>
      <x:c r="D209" s="19" t="str">
        <x:v>周=2035-07-23_10；配置=FULL</x:v>
      </x:c>
      <x:c r="E209" s="19" t="str">
        <x:v>步数</x:v>
      </x:c>
      <x:c r="F209" s="19" t="str">
        <x:v>2017/2017</x:v>
      </x:c>
      <x:c r="G209" s="19" t="str">
        <x:v>质量/成本</x:v>
      </x:c>
      <x:c r="H209" s="19" t="str">
        <x:v>D:/Codex/GRL研究/outputs/grid04/GRID04_report.md</x:v>
      </x:c>
    </x:row>
    <x:row r="210" ht="36" customHeight="1">
      <x:c r="A210" s="19" t="str">
        <x:v>GRID04</x:v>
      </x:c>
      <x:c r="B210" s="19" t="str">
        <x:v>GRID04_report.md</x:v>
      </x:c>
      <x:c r="C210" s="19" t="str">
        <x:v>4. 汇总与逐周结果</x:v>
      </x:c>
      <x:c r="D210" s="19" t="str">
        <x:v>周=2035-07-23_10；配置=FULL</x:v>
      </x:c>
      <x:c r="E210" s="19" t="str">
        <x:v>结束</x:v>
      </x:c>
      <x:c r="F210" s="19" t="str">
        <x:v>完整</x:v>
      </x:c>
      <x:c r="G210" s="19" t="str">
        <x:v>其他/配置</x:v>
      </x:c>
      <x:c r="H210" s="19" t="str">
        <x:v>D:/Codex/GRL研究/outputs/grid04/GRID04_report.md</x:v>
      </x:c>
    </x:row>
    <x:row r="211" ht="36" customHeight="1">
      <x:c r="A211" s="19" t="str">
        <x:v>GRID04</x:v>
      </x:c>
      <x:c r="B211" s="19" t="str">
        <x:v>GRID04_report.md</x:v>
      </x:c>
      <x:c r="C211" s="19" t="str">
        <x:v>4. 汇总与逐周结果</x:v>
      </x:c>
      <x:c r="D211" s="19" t="str">
        <x:v>周=2035-07-23_10；配置=FULL</x:v>
      </x:c>
      <x:c r="E211" s="19" t="str">
        <x:v>原始成本</x:v>
      </x:c>
      <x:c r="F211" s="19" t="str">
        <x:v>1063420.933</x:v>
      </x:c>
      <x:c r="G211" s="19" t="str">
        <x:v>质量/成本</x:v>
      </x:c>
      <x:c r="H211" s="19" t="str">
        <x:v>D:/Codex/GRL研究/outputs/grid04/GRID04_report.md</x:v>
      </x:c>
    </x:row>
    <x:row r="212" ht="36" customHeight="1">
      <x:c r="A212" s="19" t="str">
        <x:v>GRID04</x:v>
      </x:c>
      <x:c r="B212" s="19" t="str">
        <x:v>GRID04_report.md</x:v>
      </x:c>
      <x:c r="C212" s="19" t="str">
        <x:v>4. 汇总与逐周结果</x:v>
      </x:c>
      <x:c r="D212" s="19" t="str">
        <x:v>周=2035-07-23_10；配置=FULL</x:v>
      </x:c>
      <x:c r="E212" s="19" t="str">
        <x:v>act秒</x:v>
      </x:c>
      <x:c r="F212" s="19" t="str">
        <x:v>21.63</x:v>
      </x:c>
      <x:c r="G212" s="19" t="str">
        <x:v>速度/计算</x:v>
      </x:c>
      <x:c r="H212" s="19" t="str">
        <x:v>D:/Codex/GRL研究/outputs/grid04/GRID04_report.md</x:v>
      </x:c>
    </x:row>
    <x:row r="213" ht="36" customHeight="1">
      <x:c r="A213" s="19" t="str">
        <x:v>GRID04</x:v>
      </x:c>
      <x:c r="B213" s="19" t="str">
        <x:v>GRID04_report.md</x:v>
      </x:c>
      <x:c r="C213" s="19" t="str">
        <x:v>4. 汇总与逐周结果</x:v>
      </x:c>
      <x:c r="D213" s="19" t="str">
        <x:v>周=2035-07-23_10；配置=FULL</x:v>
      </x:c>
      <x:c r="E213" s="19" t="str">
        <x:v>最大rho</x:v>
      </x:c>
      <x:c r="F213" s="19" t="str">
        <x:v>1.4023</x:v>
      </x:c>
      <x:c r="G213" s="19" t="str">
        <x:v>质量/成本</x:v>
      </x:c>
      <x:c r="H213" s="19" t="str">
        <x:v>D:/Codex/GRL研究/outputs/grid04/GRID04_report.md</x:v>
      </x:c>
    </x:row>
    <x:row r="214" ht="36" customHeight="1">
      <x:c r="A214" s="19" t="str">
        <x:v>GRID04</x:v>
      </x:c>
      <x:c r="B214" s="19" t="str">
        <x:v>GRID04_report.md</x:v>
      </x:c>
      <x:c r="C214" s="19" t="str">
        <x:v>4. 汇总与逐周结果</x:v>
      </x:c>
      <x:c r="D214" s="19" t="str">
        <x:v>周=2035-07-23_10；配置=NN20</x:v>
      </x:c>
      <x:c r="E214" s="19" t="str">
        <x:v>配置</x:v>
      </x:c>
      <x:c r="F214" s="19" t="str">
        <x:v>NN20</x:v>
      </x:c>
      <x:c r="G214" s="19" t="str">
        <x:v>其他/配置</x:v>
      </x:c>
      <x:c r="H214" s="19" t="str">
        <x:v>D:/Codex/GRL研究/outputs/grid04/GRID04_report.md</x:v>
      </x:c>
    </x:row>
    <x:row r="215" ht="36" customHeight="1">
      <x:c r="A215" s="19" t="str">
        <x:v>GRID04</x:v>
      </x:c>
      <x:c r="B215" s="19" t="str">
        <x:v>GRID04_report.md</x:v>
      </x:c>
      <x:c r="C215" s="19" t="str">
        <x:v>4. 汇总与逐周结果</x:v>
      </x:c>
      <x:c r="D215" s="19" t="str">
        <x:v>周=2035-07-23_10；配置=NN20</x:v>
      </x:c>
      <x:c r="E215" s="19" t="str">
        <x:v>步数</x:v>
      </x:c>
      <x:c r="F215" s="19" t="str">
        <x:v>2017/2017</x:v>
      </x:c>
      <x:c r="G215" s="19" t="str">
        <x:v>质量/成本</x:v>
      </x:c>
      <x:c r="H215" s="19" t="str">
        <x:v>D:/Codex/GRL研究/outputs/grid04/GRID04_report.md</x:v>
      </x:c>
    </x:row>
    <x:row r="216" ht="36" customHeight="1">
      <x:c r="A216" s="19" t="str">
        <x:v>GRID04</x:v>
      </x:c>
      <x:c r="B216" s="19" t="str">
        <x:v>GRID04_report.md</x:v>
      </x:c>
      <x:c r="C216" s="19" t="str">
        <x:v>4. 汇总与逐周结果</x:v>
      </x:c>
      <x:c r="D216" s="19" t="str">
        <x:v>周=2035-07-23_10；配置=NN20</x:v>
      </x:c>
      <x:c r="E216" s="19" t="str">
        <x:v>结束</x:v>
      </x:c>
      <x:c r="F216" s="19" t="str">
        <x:v>完整</x:v>
      </x:c>
      <x:c r="G216" s="19" t="str">
        <x:v>其他/配置</x:v>
      </x:c>
      <x:c r="H216" s="19" t="str">
        <x:v>D:/Codex/GRL研究/outputs/grid04/GRID04_report.md</x:v>
      </x:c>
    </x:row>
    <x:row r="217" ht="36" customHeight="1">
      <x:c r="A217" s="19" t="str">
        <x:v>GRID04</x:v>
      </x:c>
      <x:c r="B217" s="19" t="str">
        <x:v>GRID04_report.md</x:v>
      </x:c>
      <x:c r="C217" s="19" t="str">
        <x:v>4. 汇总与逐周结果</x:v>
      </x:c>
      <x:c r="D217" s="19" t="str">
        <x:v>周=2035-07-23_10；配置=NN20</x:v>
      </x:c>
      <x:c r="E217" s="19" t="str">
        <x:v>原始成本</x:v>
      </x:c>
      <x:c r="F217" s="19" t="str">
        <x:v>1063420.933</x:v>
      </x:c>
      <x:c r="G217" s="19" t="str">
        <x:v>质量/成本</x:v>
      </x:c>
      <x:c r="H217" s="19" t="str">
        <x:v>D:/Codex/GRL研究/outputs/grid04/GRID04_report.md</x:v>
      </x:c>
    </x:row>
    <x:row r="218" ht="36" customHeight="1">
      <x:c r="A218" s="19" t="str">
        <x:v>GRID04</x:v>
      </x:c>
      <x:c r="B218" s="19" t="str">
        <x:v>GRID04_report.md</x:v>
      </x:c>
      <x:c r="C218" s="19" t="str">
        <x:v>4. 汇总与逐周结果</x:v>
      </x:c>
      <x:c r="D218" s="19" t="str">
        <x:v>周=2035-07-23_10；配置=NN20</x:v>
      </x:c>
      <x:c r="E218" s="19" t="str">
        <x:v>act秒</x:v>
      </x:c>
      <x:c r="F218" s="19" t="str">
        <x:v>19.89</x:v>
      </x:c>
      <x:c r="G218" s="19" t="str">
        <x:v>速度/计算</x:v>
      </x:c>
      <x:c r="H218" s="19" t="str">
        <x:v>D:/Codex/GRL研究/outputs/grid04/GRID04_report.md</x:v>
      </x:c>
    </x:row>
    <x:row r="219" ht="36" customHeight="1">
      <x:c r="A219" s="19" t="str">
        <x:v>GRID04</x:v>
      </x:c>
      <x:c r="B219" s="19" t="str">
        <x:v>GRID04_report.md</x:v>
      </x:c>
      <x:c r="C219" s="19" t="str">
        <x:v>4. 汇总与逐周结果</x:v>
      </x:c>
      <x:c r="D219" s="19" t="str">
        <x:v>周=2035-07-23_10；配置=NN20</x:v>
      </x:c>
      <x:c r="E219" s="19" t="str">
        <x:v>最大rho</x:v>
      </x:c>
      <x:c r="F219" s="19" t="str">
        <x:v>1.4023</x:v>
      </x:c>
      <x:c r="G219" s="19" t="str">
        <x:v>质量/成本</x:v>
      </x:c>
      <x:c r="H219" s="19" t="str">
        <x:v>D:/Codex/GRL研究/outputs/grid04/GRID04_report.md</x:v>
      </x:c>
    </x:row>
    <x:row r="220" ht="36" customHeight="1">
      <x:c r="A220" s="19" t="str">
        <x:v>GRID04</x:v>
      </x:c>
      <x:c r="B220" s="19" t="str">
        <x:v>GRID04_report.md</x:v>
      </x:c>
      <x:c r="C220" s="19" t="str">
        <x:v>4. 汇总与逐周结果</x:v>
      </x:c>
      <x:c r="D220" s="19" t="str">
        <x:v>周=2035-07-23_10；配置=NN352</x:v>
      </x:c>
      <x:c r="E220" s="19" t="str">
        <x:v>配置</x:v>
      </x:c>
      <x:c r="F220" s="19" t="str">
        <x:v>NN352</x:v>
      </x:c>
      <x:c r="G220" s="19" t="str">
        <x:v>其他/配置</x:v>
      </x:c>
      <x:c r="H220" s="19" t="str">
        <x:v>D:/Codex/GRL研究/outputs/grid04/GRID04_report.md</x:v>
      </x:c>
    </x:row>
    <x:row r="221" ht="36" customHeight="1">
      <x:c r="A221" s="19" t="str">
        <x:v>GRID04</x:v>
      </x:c>
      <x:c r="B221" s="19" t="str">
        <x:v>GRID04_report.md</x:v>
      </x:c>
      <x:c r="C221" s="19" t="str">
        <x:v>4. 汇总与逐周结果</x:v>
      </x:c>
      <x:c r="D221" s="19" t="str">
        <x:v>周=2035-07-23_10；配置=NN352</x:v>
      </x:c>
      <x:c r="E221" s="19" t="str">
        <x:v>步数</x:v>
      </x:c>
      <x:c r="F221" s="19" t="str">
        <x:v>2017/2017</x:v>
      </x:c>
      <x:c r="G221" s="19" t="str">
        <x:v>质量/成本</x:v>
      </x:c>
      <x:c r="H221" s="19" t="str">
        <x:v>D:/Codex/GRL研究/outputs/grid04/GRID04_report.md</x:v>
      </x:c>
    </x:row>
    <x:row r="222" ht="36" customHeight="1">
      <x:c r="A222" s="19" t="str">
        <x:v>GRID04</x:v>
      </x:c>
      <x:c r="B222" s="19" t="str">
        <x:v>GRID04_report.md</x:v>
      </x:c>
      <x:c r="C222" s="19" t="str">
        <x:v>4. 汇总与逐周结果</x:v>
      </x:c>
      <x:c r="D222" s="19" t="str">
        <x:v>周=2035-07-23_10；配置=NN352</x:v>
      </x:c>
      <x:c r="E222" s="19" t="str">
        <x:v>结束</x:v>
      </x:c>
      <x:c r="F222" s="19" t="str">
        <x:v>完整</x:v>
      </x:c>
      <x:c r="G222" s="19" t="str">
        <x:v>其他/配置</x:v>
      </x:c>
      <x:c r="H222" s="19" t="str">
        <x:v>D:/Codex/GRL研究/outputs/grid04/GRID04_report.md</x:v>
      </x:c>
    </x:row>
    <x:row r="223" ht="36" customHeight="1">
      <x:c r="A223" s="19" t="str">
        <x:v>GRID04</x:v>
      </x:c>
      <x:c r="B223" s="19" t="str">
        <x:v>GRID04_report.md</x:v>
      </x:c>
      <x:c r="C223" s="19" t="str">
        <x:v>4. 汇总与逐周结果</x:v>
      </x:c>
      <x:c r="D223" s="19" t="str">
        <x:v>周=2035-07-23_10；配置=NN352</x:v>
      </x:c>
      <x:c r="E223" s="19" t="str">
        <x:v>原始成本</x:v>
      </x:c>
      <x:c r="F223" s="19" t="str">
        <x:v>1063420.933</x:v>
      </x:c>
      <x:c r="G223" s="19" t="str">
        <x:v>质量/成本</x:v>
      </x:c>
      <x:c r="H223" s="19" t="str">
        <x:v>D:/Codex/GRL研究/outputs/grid04/GRID04_report.md</x:v>
      </x:c>
    </x:row>
    <x:row r="224" ht="36" customHeight="1">
      <x:c r="A224" s="19" t="str">
        <x:v>GRID04</x:v>
      </x:c>
      <x:c r="B224" s="19" t="str">
        <x:v>GRID04_report.md</x:v>
      </x:c>
      <x:c r="C224" s="19" t="str">
        <x:v>4. 汇总与逐周结果</x:v>
      </x:c>
      <x:c r="D224" s="19" t="str">
        <x:v>周=2035-07-23_10；配置=NN352</x:v>
      </x:c>
      <x:c r="E224" s="19" t="str">
        <x:v>act秒</x:v>
      </x:c>
      <x:c r="F224" s="19" t="str">
        <x:v>21.22</x:v>
      </x:c>
      <x:c r="G224" s="19" t="str">
        <x:v>速度/计算</x:v>
      </x:c>
      <x:c r="H224" s="19" t="str">
        <x:v>D:/Codex/GRL研究/outputs/grid04/GRID04_report.md</x:v>
      </x:c>
    </x:row>
    <x:row r="225" ht="36" customHeight="1">
      <x:c r="A225" s="19" t="str">
        <x:v>GRID04</x:v>
      </x:c>
      <x:c r="B225" s="19" t="str">
        <x:v>GRID04_report.md</x:v>
      </x:c>
      <x:c r="C225" s="19" t="str">
        <x:v>4. 汇总与逐周结果</x:v>
      </x:c>
      <x:c r="D225" s="19" t="str">
        <x:v>周=2035-07-23_10；配置=NN352</x:v>
      </x:c>
      <x:c r="E225" s="19" t="str">
        <x:v>最大rho</x:v>
      </x:c>
      <x:c r="F225" s="19" t="str">
        <x:v>1.4023</x:v>
      </x:c>
      <x:c r="G225" s="19" t="str">
        <x:v>质量/成本</x:v>
      </x:c>
      <x:c r="H225" s="19" t="str">
        <x:v>D:/Codex/GRL研究/outputs/grid04/GRID04_report.md</x:v>
      </x:c>
    </x:row>
    <x:row r="226" ht="36" customHeight="1">
      <x:c r="A226" s="19" t="str">
        <x:v>GRID04</x:v>
      </x:c>
      <x:c r="B226" s="19" t="str">
        <x:v>GRID04_report.md</x:v>
      </x:c>
      <x:c r="C226" s="19" t="str">
        <x:v>4. 汇总与逐周结果</x:v>
      </x:c>
      <x:c r="D226" s="19" t="str">
        <x:v>周=2035-07-23_10；配置=LOCAL20</x:v>
      </x:c>
      <x:c r="E226" s="19" t="str">
        <x:v>配置</x:v>
      </x:c>
      <x:c r="F226" s="19" t="str">
        <x:v>LOCAL20</x:v>
      </x:c>
      <x:c r="G226" s="19" t="str">
        <x:v>其他/配置</x:v>
      </x:c>
      <x:c r="H226" s="19" t="str">
        <x:v>D:/Codex/GRL研究/outputs/grid04/GRID04_report.md</x:v>
      </x:c>
    </x:row>
    <x:row r="227" ht="36" customHeight="1">
      <x:c r="A227" s="19" t="str">
        <x:v>GRID04</x:v>
      </x:c>
      <x:c r="B227" s="19" t="str">
        <x:v>GRID04_report.md</x:v>
      </x:c>
      <x:c r="C227" s="19" t="str">
        <x:v>4. 汇总与逐周结果</x:v>
      </x:c>
      <x:c r="D227" s="19" t="str">
        <x:v>周=2035-07-23_10；配置=LOCAL20</x:v>
      </x:c>
      <x:c r="E227" s="19" t="str">
        <x:v>步数</x:v>
      </x:c>
      <x:c r="F227" s="19" t="str">
        <x:v>2017/2017</x:v>
      </x:c>
      <x:c r="G227" s="19" t="str">
        <x:v>质量/成本</x:v>
      </x:c>
      <x:c r="H227" s="19" t="str">
        <x:v>D:/Codex/GRL研究/outputs/grid04/GRID04_report.md</x:v>
      </x:c>
    </x:row>
    <x:row r="228" ht="36" customHeight="1">
      <x:c r="A228" s="19" t="str">
        <x:v>GRID04</x:v>
      </x:c>
      <x:c r="B228" s="19" t="str">
        <x:v>GRID04_report.md</x:v>
      </x:c>
      <x:c r="C228" s="19" t="str">
        <x:v>4. 汇总与逐周结果</x:v>
      </x:c>
      <x:c r="D228" s="19" t="str">
        <x:v>周=2035-07-23_10；配置=LOCAL20</x:v>
      </x:c>
      <x:c r="E228" s="19" t="str">
        <x:v>结束</x:v>
      </x:c>
      <x:c r="F228" s="19" t="str">
        <x:v>完整</x:v>
      </x:c>
      <x:c r="G228" s="19" t="str">
        <x:v>其他/配置</x:v>
      </x:c>
      <x:c r="H228" s="19" t="str">
        <x:v>D:/Codex/GRL研究/outputs/grid04/GRID04_report.md</x:v>
      </x:c>
    </x:row>
    <x:row r="229" ht="36" customHeight="1">
      <x:c r="A229" s="19" t="str">
        <x:v>GRID04</x:v>
      </x:c>
      <x:c r="B229" s="19" t="str">
        <x:v>GRID04_report.md</x:v>
      </x:c>
      <x:c r="C229" s="19" t="str">
        <x:v>4. 汇总与逐周结果</x:v>
      </x:c>
      <x:c r="D229" s="19" t="str">
        <x:v>周=2035-07-23_10；配置=LOCAL20</x:v>
      </x:c>
      <x:c r="E229" s="19" t="str">
        <x:v>原始成本</x:v>
      </x:c>
      <x:c r="F229" s="19" t="str">
        <x:v>1058368.095</x:v>
      </x:c>
      <x:c r="G229" s="19" t="str">
        <x:v>质量/成本</x:v>
      </x:c>
      <x:c r="H229" s="19" t="str">
        <x:v>D:/Codex/GRL研究/outputs/grid04/GRID04_report.md</x:v>
      </x:c>
    </x:row>
    <x:row r="230" ht="36" customHeight="1">
      <x:c r="A230" s="19" t="str">
        <x:v>GRID04</x:v>
      </x:c>
      <x:c r="B230" s="19" t="str">
        <x:v>GRID04_report.md</x:v>
      </x:c>
      <x:c r="C230" s="19" t="str">
        <x:v>4. 汇总与逐周结果</x:v>
      </x:c>
      <x:c r="D230" s="19" t="str">
        <x:v>周=2035-07-23_10；配置=LOCAL20</x:v>
      </x:c>
      <x:c r="E230" s="19" t="str">
        <x:v>act秒</x:v>
      </x:c>
      <x:c r="F230" s="19" t="str">
        <x:v>17.20</x:v>
      </x:c>
      <x:c r="G230" s="19" t="str">
        <x:v>速度/计算</x:v>
      </x:c>
      <x:c r="H230" s="19" t="str">
        <x:v>D:/Codex/GRL研究/outputs/grid04/GRID04_report.md</x:v>
      </x:c>
    </x:row>
    <x:row r="231" ht="36" customHeight="1">
      <x:c r="A231" s="19" t="str">
        <x:v>GRID04</x:v>
      </x:c>
      <x:c r="B231" s="19" t="str">
        <x:v>GRID04_report.md</x:v>
      </x:c>
      <x:c r="C231" s="19" t="str">
        <x:v>4. 汇总与逐周结果</x:v>
      </x:c>
      <x:c r="D231" s="19" t="str">
        <x:v>周=2035-07-23_10；配置=LOCAL20</x:v>
      </x:c>
      <x:c r="E231" s="19" t="str">
        <x:v>最大rho</x:v>
      </x:c>
      <x:c r="F231" s="19" t="str">
        <x:v>1.4023</x:v>
      </x:c>
      <x:c r="G231" s="19" t="str">
        <x:v>质量/成本</x:v>
      </x:c>
      <x:c r="H231" s="19" t="str">
        <x:v>D:/Codex/GRL研究/outputs/grid04/GRID04_report.md</x:v>
      </x:c>
    </x:row>
    <x:row r="232" ht="36" customHeight="1">
      <x:c r="A232" s="19" t="str">
        <x:v>GRID04</x:v>
      </x:c>
      <x:c r="B232" s="19" t="str">
        <x:v>GRID04_report.md</x:v>
      </x:c>
      <x:c r="C232" s="19" t="str">
        <x:v>4. 汇总与逐周结果</x:v>
      </x:c>
      <x:c r="D232" s="19" t="str">
        <x:v>周=2035-07-23_10；配置=RANDOM20</x:v>
      </x:c>
      <x:c r="E232" s="19" t="str">
        <x:v>配置</x:v>
      </x:c>
      <x:c r="F232" s="19" t="str">
        <x:v>RANDOM20</x:v>
      </x:c>
      <x:c r="G232" s="19" t="str">
        <x:v>其他/配置</x:v>
      </x:c>
      <x:c r="H232" s="19" t="str">
        <x:v>D:/Codex/GRL研究/outputs/grid04/GRID04_report.md</x:v>
      </x:c>
    </x:row>
    <x:row r="233" ht="36" customHeight="1">
      <x:c r="A233" s="19" t="str">
        <x:v>GRID04</x:v>
      </x:c>
      <x:c r="B233" s="19" t="str">
        <x:v>GRID04_report.md</x:v>
      </x:c>
      <x:c r="C233" s="19" t="str">
        <x:v>4. 汇总与逐周结果</x:v>
      </x:c>
      <x:c r="D233" s="19" t="str">
        <x:v>周=2035-07-23_10；配置=RANDOM20</x:v>
      </x:c>
      <x:c r="E233" s="19" t="str">
        <x:v>步数</x:v>
      </x:c>
      <x:c r="F233" s="19" t="str">
        <x:v>2017/2017</x:v>
      </x:c>
      <x:c r="G233" s="19" t="str">
        <x:v>质量/成本</x:v>
      </x:c>
      <x:c r="H233" s="19" t="str">
        <x:v>D:/Codex/GRL研究/outputs/grid04/GRID04_report.md</x:v>
      </x:c>
    </x:row>
    <x:row r="234" ht="36" customHeight="1">
      <x:c r="A234" s="19" t="str">
        <x:v>GRID04</x:v>
      </x:c>
      <x:c r="B234" s="19" t="str">
        <x:v>GRID04_report.md</x:v>
      </x:c>
      <x:c r="C234" s="19" t="str">
        <x:v>4. 汇总与逐周结果</x:v>
      </x:c>
      <x:c r="D234" s="19" t="str">
        <x:v>周=2035-07-23_10；配置=RANDOM20</x:v>
      </x:c>
      <x:c r="E234" s="19" t="str">
        <x:v>结束</x:v>
      </x:c>
      <x:c r="F234" s="19" t="str">
        <x:v>完整</x:v>
      </x:c>
      <x:c r="G234" s="19" t="str">
        <x:v>其他/配置</x:v>
      </x:c>
      <x:c r="H234" s="19" t="str">
        <x:v>D:/Codex/GRL研究/outputs/grid04/GRID04_report.md</x:v>
      </x:c>
    </x:row>
    <x:row r="235" ht="36" customHeight="1">
      <x:c r="A235" s="19" t="str">
        <x:v>GRID04</x:v>
      </x:c>
      <x:c r="B235" s="19" t="str">
        <x:v>GRID04_report.md</x:v>
      </x:c>
      <x:c r="C235" s="19" t="str">
        <x:v>4. 汇总与逐周结果</x:v>
      </x:c>
      <x:c r="D235" s="19" t="str">
        <x:v>周=2035-07-23_10；配置=RANDOM20</x:v>
      </x:c>
      <x:c r="E235" s="19" t="str">
        <x:v>原始成本</x:v>
      </x:c>
      <x:c r="F235" s="19" t="str">
        <x:v>1071405.690</x:v>
      </x:c>
      <x:c r="G235" s="19" t="str">
        <x:v>质量/成本</x:v>
      </x:c>
      <x:c r="H235" s="19" t="str">
        <x:v>D:/Codex/GRL研究/outputs/grid04/GRID04_report.md</x:v>
      </x:c>
    </x:row>
    <x:row r="236" ht="36" customHeight="1">
      <x:c r="A236" s="19" t="str">
        <x:v>GRID04</x:v>
      </x:c>
      <x:c r="B236" s="19" t="str">
        <x:v>GRID04_report.md</x:v>
      </x:c>
      <x:c r="C236" s="19" t="str">
        <x:v>4. 汇总与逐周结果</x:v>
      </x:c>
      <x:c r="D236" s="19" t="str">
        <x:v>周=2035-07-23_10；配置=RANDOM20</x:v>
      </x:c>
      <x:c r="E236" s="19" t="str">
        <x:v>act秒</x:v>
      </x:c>
      <x:c r="F236" s="19" t="str">
        <x:v>17.39</x:v>
      </x:c>
      <x:c r="G236" s="19" t="str">
        <x:v>速度/计算</x:v>
      </x:c>
      <x:c r="H236" s="19" t="str">
        <x:v>D:/Codex/GRL研究/outputs/grid04/GRID04_report.md</x:v>
      </x:c>
    </x:row>
    <x:row r="237" ht="36" customHeight="1">
      <x:c r="A237" s="19" t="str">
        <x:v>GRID04</x:v>
      </x:c>
      <x:c r="B237" s="19" t="str">
        <x:v>GRID04_report.md</x:v>
      </x:c>
      <x:c r="C237" s="19" t="str">
        <x:v>4. 汇总与逐周结果</x:v>
      </x:c>
      <x:c r="D237" s="19" t="str">
        <x:v>周=2035-07-23_10；配置=RANDOM20</x:v>
      </x:c>
      <x:c r="E237" s="19" t="str">
        <x:v>最大rho</x:v>
      </x:c>
      <x:c r="F237" s="19" t="str">
        <x:v>1.4023</x:v>
      </x:c>
      <x:c r="G237" s="19" t="str">
        <x:v>质量/成本</x:v>
      </x:c>
      <x:c r="H237" s="19" t="str">
        <x:v>D:/Codex/GRL研究/outputs/grid04/GRID04_report.md</x:v>
      </x:c>
    </x:row>
    <x:row r="238" ht="36" customHeight="1">
      <x:c r="A238" s="19" t="str">
        <x:v>GRID04</x:v>
      </x:c>
      <x:c r="B238" s="19" t="str">
        <x:v>GRID04_report.md</x:v>
      </x:c>
      <x:c r="C238" s="19" t="str">
        <x:v>4. 汇总与逐周结果</x:v>
      </x:c>
      <x:c r="D238" s="19" t="str">
        <x:v>周=2035-10-29_15；配置=FULL</x:v>
      </x:c>
      <x:c r="E238" s="19" t="str">
        <x:v>配置</x:v>
      </x:c>
      <x:c r="F238" s="19" t="str">
        <x:v>FULL</x:v>
      </x:c>
      <x:c r="G238" s="19" t="str">
        <x:v>其他/配置</x:v>
      </x:c>
      <x:c r="H238" s="19" t="str">
        <x:v>D:/Codex/GRL研究/outputs/grid04/GRID04_report.md</x:v>
      </x:c>
    </x:row>
    <x:row r="239" ht="36" customHeight="1">
      <x:c r="A239" s="19" t="str">
        <x:v>GRID04</x:v>
      </x:c>
      <x:c r="B239" s="19" t="str">
        <x:v>GRID04_report.md</x:v>
      </x:c>
      <x:c r="C239" s="19" t="str">
        <x:v>4. 汇总与逐周结果</x:v>
      </x:c>
      <x:c r="D239" s="19" t="str">
        <x:v>周=2035-10-29_15；配置=FULL</x:v>
      </x:c>
      <x:c r="E239" s="19" t="str">
        <x:v>步数</x:v>
      </x:c>
      <x:c r="F239" s="19" t="str">
        <x:v>2017/2017</x:v>
      </x:c>
      <x:c r="G239" s="19" t="str">
        <x:v>质量/成本</x:v>
      </x:c>
      <x:c r="H239" s="19" t="str">
        <x:v>D:/Codex/GRL研究/outputs/grid04/GRID04_report.md</x:v>
      </x:c>
    </x:row>
    <x:row r="240" ht="36" customHeight="1">
      <x:c r="A240" s="19" t="str">
        <x:v>GRID04</x:v>
      </x:c>
      <x:c r="B240" s="19" t="str">
        <x:v>GRID04_report.md</x:v>
      </x:c>
      <x:c r="C240" s="19" t="str">
        <x:v>4. 汇总与逐周结果</x:v>
      </x:c>
      <x:c r="D240" s="19" t="str">
        <x:v>周=2035-10-29_15；配置=FULL</x:v>
      </x:c>
      <x:c r="E240" s="19" t="str">
        <x:v>结束</x:v>
      </x:c>
      <x:c r="F240" s="19" t="str">
        <x:v>完整</x:v>
      </x:c>
      <x:c r="G240" s="19" t="str">
        <x:v>其他/配置</x:v>
      </x:c>
      <x:c r="H240" s="19" t="str">
        <x:v>D:/Codex/GRL研究/outputs/grid04/GRID04_report.md</x:v>
      </x:c>
    </x:row>
    <x:row r="241" ht="36" customHeight="1">
      <x:c r="A241" s="19" t="str">
        <x:v>GRID04</x:v>
      </x:c>
      <x:c r="B241" s="19" t="str">
        <x:v>GRID04_report.md</x:v>
      </x:c>
      <x:c r="C241" s="19" t="str">
        <x:v>4. 汇总与逐周结果</x:v>
      </x:c>
      <x:c r="D241" s="19" t="str">
        <x:v>周=2035-10-29_15；配置=FULL</x:v>
      </x:c>
      <x:c r="E241" s="19" t="str">
        <x:v>原始成本</x:v>
      </x:c>
      <x:c r="F241" s="19" t="str">
        <x:v>6024537.086</x:v>
      </x:c>
      <x:c r="G241" s="19" t="str">
        <x:v>质量/成本</x:v>
      </x:c>
      <x:c r="H241" s="19" t="str">
        <x:v>D:/Codex/GRL研究/outputs/grid04/GRID04_report.md</x:v>
      </x:c>
    </x:row>
    <x:row r="242" ht="36" customHeight="1">
      <x:c r="A242" s="19" t="str">
        <x:v>GRID04</x:v>
      </x:c>
      <x:c r="B242" s="19" t="str">
        <x:v>GRID04_report.md</x:v>
      </x:c>
      <x:c r="C242" s="19" t="str">
        <x:v>4. 汇总与逐周结果</x:v>
      </x:c>
      <x:c r="D242" s="19" t="str">
        <x:v>周=2035-10-29_15；配置=FULL</x:v>
      </x:c>
      <x:c r="E242" s="19" t="str">
        <x:v>act秒</x:v>
      </x:c>
      <x:c r="F242" s="19" t="str">
        <x:v>69.24</x:v>
      </x:c>
      <x:c r="G242" s="19" t="str">
        <x:v>速度/计算</x:v>
      </x:c>
      <x:c r="H242" s="19" t="str">
        <x:v>D:/Codex/GRL研究/outputs/grid04/GRID04_report.md</x:v>
      </x:c>
    </x:row>
    <x:row r="243" ht="36" customHeight="1">
      <x:c r="A243" s="19" t="str">
        <x:v>GRID04</x:v>
      </x:c>
      <x:c r="B243" s="19" t="str">
        <x:v>GRID04_report.md</x:v>
      </x:c>
      <x:c r="C243" s="19" t="str">
        <x:v>4. 汇总与逐周结果</x:v>
      </x:c>
      <x:c r="D243" s="19" t="str">
        <x:v>周=2035-10-29_15；配置=FULL</x:v>
      </x:c>
      <x:c r="E243" s="19" t="str">
        <x:v>最大rho</x:v>
      </x:c>
      <x:c r="F243" s="19" t="str">
        <x:v>1.0869</x:v>
      </x:c>
      <x:c r="G243" s="19" t="str">
        <x:v>质量/成本</x:v>
      </x:c>
      <x:c r="H243" s="19" t="str">
        <x:v>D:/Codex/GRL研究/outputs/grid04/GRID04_report.md</x:v>
      </x:c>
    </x:row>
    <x:row r="244" ht="36" customHeight="1">
      <x:c r="A244" s="19" t="str">
        <x:v>GRID04</x:v>
      </x:c>
      <x:c r="B244" s="19" t="str">
        <x:v>GRID04_report.md</x:v>
      </x:c>
      <x:c r="C244" s="19" t="str">
        <x:v>4. 汇总与逐周结果</x:v>
      </x:c>
      <x:c r="D244" s="19" t="str">
        <x:v>周=2035-10-29_15；配置=NN20</x:v>
      </x:c>
      <x:c r="E244" s="19" t="str">
        <x:v>配置</x:v>
      </x:c>
      <x:c r="F244" s="19" t="str">
        <x:v>NN20</x:v>
      </x:c>
      <x:c r="G244" s="19" t="str">
        <x:v>其他/配置</x:v>
      </x:c>
      <x:c r="H244" s="19" t="str">
        <x:v>D:/Codex/GRL研究/outputs/grid04/GRID04_report.md</x:v>
      </x:c>
    </x:row>
    <x:row r="245" ht="36" customHeight="1">
      <x:c r="A245" s="19" t="str">
        <x:v>GRID04</x:v>
      </x:c>
      <x:c r="B245" s="19" t="str">
        <x:v>GRID04_report.md</x:v>
      </x:c>
      <x:c r="C245" s="19" t="str">
        <x:v>4. 汇总与逐周结果</x:v>
      </x:c>
      <x:c r="D245" s="19" t="str">
        <x:v>周=2035-10-29_15；配置=NN20</x:v>
      </x:c>
      <x:c r="E245" s="19" t="str">
        <x:v>步数</x:v>
      </x:c>
      <x:c r="F245" s="19" t="str">
        <x:v>2017/2017</x:v>
      </x:c>
      <x:c r="G245" s="19" t="str">
        <x:v>质量/成本</x:v>
      </x:c>
      <x:c r="H245" s="19" t="str">
        <x:v>D:/Codex/GRL研究/outputs/grid04/GRID04_report.md</x:v>
      </x:c>
    </x:row>
    <x:row r="246" ht="36" customHeight="1">
      <x:c r="A246" s="19" t="str">
        <x:v>GRID04</x:v>
      </x:c>
      <x:c r="B246" s="19" t="str">
        <x:v>GRID04_report.md</x:v>
      </x:c>
      <x:c r="C246" s="19" t="str">
        <x:v>4. 汇总与逐周结果</x:v>
      </x:c>
      <x:c r="D246" s="19" t="str">
        <x:v>周=2035-10-29_15；配置=NN20</x:v>
      </x:c>
      <x:c r="E246" s="19" t="str">
        <x:v>结束</x:v>
      </x:c>
      <x:c r="F246" s="19" t="str">
        <x:v>完整</x:v>
      </x:c>
      <x:c r="G246" s="19" t="str">
        <x:v>其他/配置</x:v>
      </x:c>
      <x:c r="H246" s="19" t="str">
        <x:v>D:/Codex/GRL研究/outputs/grid04/GRID04_report.md</x:v>
      </x:c>
    </x:row>
    <x:row r="247" ht="36" customHeight="1">
      <x:c r="A247" s="19" t="str">
        <x:v>GRID04</x:v>
      </x:c>
      <x:c r="B247" s="19" t="str">
        <x:v>GRID04_report.md</x:v>
      </x:c>
      <x:c r="C247" s="19" t="str">
        <x:v>4. 汇总与逐周结果</x:v>
      </x:c>
      <x:c r="D247" s="19" t="str">
        <x:v>周=2035-10-29_15；配置=NN20</x:v>
      </x:c>
      <x:c r="E247" s="19" t="str">
        <x:v>原始成本</x:v>
      </x:c>
      <x:c r="F247" s="19" t="str">
        <x:v>6029519.708</x:v>
      </x:c>
      <x:c r="G247" s="19" t="str">
        <x:v>质量/成本</x:v>
      </x:c>
      <x:c r="H247" s="19" t="str">
        <x:v>D:/Codex/GRL研究/outputs/grid04/GRID04_report.md</x:v>
      </x:c>
    </x:row>
    <x:row r="248" ht="36" customHeight="1">
      <x:c r="A248" s="19" t="str">
        <x:v>GRID04</x:v>
      </x:c>
      <x:c r="B248" s="19" t="str">
        <x:v>GRID04_report.md</x:v>
      </x:c>
      <x:c r="C248" s="19" t="str">
        <x:v>4. 汇总与逐周结果</x:v>
      </x:c>
      <x:c r="D248" s="19" t="str">
        <x:v>周=2035-10-29_15；配置=NN20</x:v>
      </x:c>
      <x:c r="E248" s="19" t="str">
        <x:v>act秒</x:v>
      </x:c>
      <x:c r="F248" s="19" t="str">
        <x:v>55.69</x:v>
      </x:c>
      <x:c r="G248" s="19" t="str">
        <x:v>速度/计算</x:v>
      </x:c>
      <x:c r="H248" s="19" t="str">
        <x:v>D:/Codex/GRL研究/outputs/grid04/GRID04_report.md</x:v>
      </x:c>
    </x:row>
    <x:row r="249" ht="36" customHeight="1">
      <x:c r="A249" s="19" t="str">
        <x:v>GRID04</x:v>
      </x:c>
      <x:c r="B249" s="19" t="str">
        <x:v>GRID04_report.md</x:v>
      </x:c>
      <x:c r="C249" s="19" t="str">
        <x:v>4. 汇总与逐周结果</x:v>
      </x:c>
      <x:c r="D249" s="19" t="str">
        <x:v>周=2035-10-29_15；配置=NN20</x:v>
      </x:c>
      <x:c r="E249" s="19" t="str">
        <x:v>最大rho</x:v>
      </x:c>
      <x:c r="F249" s="19" t="str">
        <x:v>1.0869</x:v>
      </x:c>
      <x:c r="G249" s="19" t="str">
        <x:v>质量/成本</x:v>
      </x:c>
      <x:c r="H249" s="19" t="str">
        <x:v>D:/Codex/GRL研究/outputs/grid04/GRID04_report.md</x:v>
      </x:c>
    </x:row>
    <x:row r="250" ht="36" customHeight="1">
      <x:c r="A250" s="19" t="str">
        <x:v>GRID04</x:v>
      </x:c>
      <x:c r="B250" s="19" t="str">
        <x:v>GRID04_report.md</x:v>
      </x:c>
      <x:c r="C250" s="19" t="str">
        <x:v>4. 汇总与逐周结果</x:v>
      </x:c>
      <x:c r="D250" s="19" t="str">
        <x:v>周=2035-10-29_15；配置=NN352</x:v>
      </x:c>
      <x:c r="E250" s="19" t="str">
        <x:v>配置</x:v>
      </x:c>
      <x:c r="F250" s="19" t="str">
        <x:v>NN352</x:v>
      </x:c>
      <x:c r="G250" s="19" t="str">
        <x:v>其他/配置</x:v>
      </x:c>
      <x:c r="H250" s="19" t="str">
        <x:v>D:/Codex/GRL研究/outputs/grid04/GRID04_report.md</x:v>
      </x:c>
    </x:row>
    <x:row r="251" ht="36" customHeight="1">
      <x:c r="A251" s="19" t="str">
        <x:v>GRID04</x:v>
      </x:c>
      <x:c r="B251" s="19" t="str">
        <x:v>GRID04_report.md</x:v>
      </x:c>
      <x:c r="C251" s="19" t="str">
        <x:v>4. 汇总与逐周结果</x:v>
      </x:c>
      <x:c r="D251" s="19" t="str">
        <x:v>周=2035-10-29_15；配置=NN352</x:v>
      </x:c>
      <x:c r="E251" s="19" t="str">
        <x:v>步数</x:v>
      </x:c>
      <x:c r="F251" s="19" t="str">
        <x:v>2017/2017</x:v>
      </x:c>
      <x:c r="G251" s="19" t="str">
        <x:v>质量/成本</x:v>
      </x:c>
      <x:c r="H251" s="19" t="str">
        <x:v>D:/Codex/GRL研究/outputs/grid04/GRID04_report.md</x:v>
      </x:c>
    </x:row>
    <x:row r="252" ht="36" customHeight="1">
      <x:c r="A252" s="19" t="str">
        <x:v>GRID04</x:v>
      </x:c>
      <x:c r="B252" s="19" t="str">
        <x:v>GRID04_report.md</x:v>
      </x:c>
      <x:c r="C252" s="19" t="str">
        <x:v>4. 汇总与逐周结果</x:v>
      </x:c>
      <x:c r="D252" s="19" t="str">
        <x:v>周=2035-10-29_15；配置=NN352</x:v>
      </x:c>
      <x:c r="E252" s="19" t="str">
        <x:v>结束</x:v>
      </x:c>
      <x:c r="F252" s="19" t="str">
        <x:v>完整</x:v>
      </x:c>
      <x:c r="G252" s="19" t="str">
        <x:v>其他/配置</x:v>
      </x:c>
      <x:c r="H252" s="19" t="str">
        <x:v>D:/Codex/GRL研究/outputs/grid04/GRID04_report.md</x:v>
      </x:c>
    </x:row>
    <x:row r="253" ht="36" customHeight="1">
      <x:c r="A253" s="19" t="str">
        <x:v>GRID04</x:v>
      </x:c>
      <x:c r="B253" s="19" t="str">
        <x:v>GRID04_report.md</x:v>
      </x:c>
      <x:c r="C253" s="19" t="str">
        <x:v>4. 汇总与逐周结果</x:v>
      </x:c>
      <x:c r="D253" s="19" t="str">
        <x:v>周=2035-10-29_15；配置=NN352</x:v>
      </x:c>
      <x:c r="E253" s="19" t="str">
        <x:v>原始成本</x:v>
      </x:c>
      <x:c r="F253" s="19" t="str">
        <x:v>6029519.708</x:v>
      </x:c>
      <x:c r="G253" s="19" t="str">
        <x:v>质量/成本</x:v>
      </x:c>
      <x:c r="H253" s="19" t="str">
        <x:v>D:/Codex/GRL研究/outputs/grid04/GRID04_report.md</x:v>
      </x:c>
    </x:row>
    <x:row r="254" ht="36" customHeight="1">
      <x:c r="A254" s="19" t="str">
        <x:v>GRID04</x:v>
      </x:c>
      <x:c r="B254" s="19" t="str">
        <x:v>GRID04_report.md</x:v>
      </x:c>
      <x:c r="C254" s="19" t="str">
        <x:v>4. 汇总与逐周结果</x:v>
      </x:c>
      <x:c r="D254" s="19" t="str">
        <x:v>周=2035-10-29_15；配置=NN352</x:v>
      </x:c>
      <x:c r="E254" s="19" t="str">
        <x:v>act秒</x:v>
      </x:c>
      <x:c r="F254" s="19" t="str">
        <x:v>64.97</x:v>
      </x:c>
      <x:c r="G254" s="19" t="str">
        <x:v>速度/计算</x:v>
      </x:c>
      <x:c r="H254" s="19" t="str">
        <x:v>D:/Codex/GRL研究/outputs/grid04/GRID04_report.md</x:v>
      </x:c>
    </x:row>
    <x:row r="255" ht="36" customHeight="1">
      <x:c r="A255" s="19" t="str">
        <x:v>GRID04</x:v>
      </x:c>
      <x:c r="B255" s="19" t="str">
        <x:v>GRID04_report.md</x:v>
      </x:c>
      <x:c r="C255" s="19" t="str">
        <x:v>4. 汇总与逐周结果</x:v>
      </x:c>
      <x:c r="D255" s="19" t="str">
        <x:v>周=2035-10-29_15；配置=NN352</x:v>
      </x:c>
      <x:c r="E255" s="19" t="str">
        <x:v>最大rho</x:v>
      </x:c>
      <x:c r="F255" s="19" t="str">
        <x:v>1.0869</x:v>
      </x:c>
      <x:c r="G255" s="19" t="str">
        <x:v>质量/成本</x:v>
      </x:c>
      <x:c r="H255" s="19" t="str">
        <x:v>D:/Codex/GRL研究/outputs/grid04/GRID04_report.md</x:v>
      </x:c>
    </x:row>
    <x:row r="256" ht="36" customHeight="1">
      <x:c r="A256" s="19" t="str">
        <x:v>GRID04</x:v>
      </x:c>
      <x:c r="B256" s="19" t="str">
        <x:v>GRID04_report.md</x:v>
      </x:c>
      <x:c r="C256" s="19" t="str">
        <x:v>4. 汇总与逐周结果</x:v>
      </x:c>
      <x:c r="D256" s="19" t="str">
        <x:v>周=2035-10-29_15；配置=LOCAL20</x:v>
      </x:c>
      <x:c r="E256" s="19" t="str">
        <x:v>配置</x:v>
      </x:c>
      <x:c r="F256" s="19" t="str">
        <x:v>LOCAL20</x:v>
      </x:c>
      <x:c r="G256" s="19" t="str">
        <x:v>其他/配置</x:v>
      </x:c>
      <x:c r="H256" s="19" t="str">
        <x:v>D:/Codex/GRL研究/outputs/grid04/GRID04_report.md</x:v>
      </x:c>
    </x:row>
    <x:row r="257" ht="36" customHeight="1">
      <x:c r="A257" s="19" t="str">
        <x:v>GRID04</x:v>
      </x:c>
      <x:c r="B257" s="19" t="str">
        <x:v>GRID04_report.md</x:v>
      </x:c>
      <x:c r="C257" s="19" t="str">
        <x:v>4. 汇总与逐周结果</x:v>
      </x:c>
      <x:c r="D257" s="19" t="str">
        <x:v>周=2035-10-29_15；配置=LOCAL20</x:v>
      </x:c>
      <x:c r="E257" s="19" t="str">
        <x:v>步数</x:v>
      </x:c>
      <x:c r="F257" s="19" t="str">
        <x:v>102/2017</x:v>
      </x:c>
      <x:c r="G257" s="19" t="str">
        <x:v>质量/成本</x:v>
      </x:c>
      <x:c r="H257" s="19" t="str">
        <x:v>D:/Codex/GRL研究/outputs/grid04/GRID04_report.md</x:v>
      </x:c>
    </x:row>
    <x:row r="258" ht="36" customHeight="1">
      <x:c r="A258" s="19" t="str">
        <x:v>GRID04</x:v>
      </x:c>
      <x:c r="B258" s="19" t="str">
        <x:v>GRID04_report.md</x:v>
      </x:c>
      <x:c r="C258" s="19" t="str">
        <x:v>4. 汇总与逐周结果</x:v>
      </x:c>
      <x:c r="D258" s="19" t="str">
        <x:v>周=2035-10-29_15；配置=LOCAL20</x:v>
      </x:c>
      <x:c r="E258" s="19" t="str">
        <x:v>结束</x:v>
      </x:c>
      <x:c r="F258" s="19" t="str">
        <x:v>提前终止</x:v>
      </x:c>
      <x:c r="G258" s="19" t="str">
        <x:v>其他/配置</x:v>
      </x:c>
      <x:c r="H258" s="19" t="str">
        <x:v>D:/Codex/GRL研究/outputs/grid04/GRID04_report.md</x:v>
      </x:c>
    </x:row>
    <x:row r="259" ht="36" customHeight="1">
      <x:c r="A259" s="19" t="str">
        <x:v>GRID04</x:v>
      </x:c>
      <x:c r="B259" s="19" t="str">
        <x:v>GRID04_report.md</x:v>
      </x:c>
      <x:c r="C259" s="19" t="str">
        <x:v>4. 汇总与逐周结果</x:v>
      </x:c>
      <x:c r="D259" s="19" t="str">
        <x:v>周=2035-10-29_15；配置=LOCAL20</x:v>
      </x:c>
      <x:c r="E259" s="19" t="str">
        <x:v>原始成本</x:v>
      </x:c>
      <x:c r="F259" s="19" t="str">
        <x:v>92693.569</x:v>
      </x:c>
      <x:c r="G259" s="19" t="str">
        <x:v>质量/成本</x:v>
      </x:c>
      <x:c r="H259" s="19" t="str">
        <x:v>D:/Codex/GRL研究/outputs/grid04/GRID04_report.md</x:v>
      </x:c>
    </x:row>
    <x:row r="260" ht="36" customHeight="1">
      <x:c r="A260" s="19" t="str">
        <x:v>GRID04</x:v>
      </x:c>
      <x:c r="B260" s="19" t="str">
        <x:v>GRID04_report.md</x:v>
      </x:c>
      <x:c r="C260" s="19" t="str">
        <x:v>4. 汇总与逐周结果</x:v>
      </x:c>
      <x:c r="D260" s="19" t="str">
        <x:v>周=2035-10-29_15；配置=LOCAL20</x:v>
      </x:c>
      <x:c r="E260" s="19" t="str">
        <x:v>act秒</x:v>
      </x:c>
      <x:c r="F260" s="19" t="str">
        <x:v>15.46</x:v>
      </x:c>
      <x:c r="G260" s="19" t="str">
        <x:v>速度/计算</x:v>
      </x:c>
      <x:c r="H260" s="19" t="str">
        <x:v>D:/Codex/GRL研究/outputs/grid04/GRID04_report.md</x:v>
      </x:c>
    </x:row>
    <x:row r="261" ht="36" customHeight="1">
      <x:c r="A261" s="19" t="str">
        <x:v>GRID04</x:v>
      </x:c>
      <x:c r="B261" s="19" t="str">
        <x:v>GRID04_report.md</x:v>
      </x:c>
      <x:c r="C261" s="19" t="str">
        <x:v>4. 汇总与逐周结果</x:v>
      </x:c>
      <x:c r="D261" s="19" t="str">
        <x:v>周=2035-10-29_15；配置=LOCAL20</x:v>
      </x:c>
      <x:c r="E261" s="19" t="str">
        <x:v>最大rho</x:v>
      </x:c>
      <x:c r="F261" s="19" t="str">
        <x:v>1.2889</x:v>
      </x:c>
      <x:c r="G261" s="19" t="str">
        <x:v>质量/成本</x:v>
      </x:c>
      <x:c r="H261" s="19" t="str">
        <x:v>D:/Codex/GRL研究/outputs/grid04/GRID04_report.md</x:v>
      </x:c>
    </x:row>
    <x:row r="262" ht="36" customHeight="1">
      <x:c r="A262" s="19" t="str">
        <x:v>GRID04</x:v>
      </x:c>
      <x:c r="B262" s="19" t="str">
        <x:v>GRID04_report.md</x:v>
      </x:c>
      <x:c r="C262" s="19" t="str">
        <x:v>4. 汇总与逐周结果</x:v>
      </x:c>
      <x:c r="D262" s="19" t="str">
        <x:v>周=2035-10-29_15；配置=RANDOM20</x:v>
      </x:c>
      <x:c r="E262" s="19" t="str">
        <x:v>配置</x:v>
      </x:c>
      <x:c r="F262" s="19" t="str">
        <x:v>RANDOM20</x:v>
      </x:c>
      <x:c r="G262" s="19" t="str">
        <x:v>其他/配置</x:v>
      </x:c>
      <x:c r="H262" s="19" t="str">
        <x:v>D:/Codex/GRL研究/outputs/grid04/GRID04_report.md</x:v>
      </x:c>
    </x:row>
    <x:row r="263" ht="36" customHeight="1">
      <x:c r="A263" s="19" t="str">
        <x:v>GRID04</x:v>
      </x:c>
      <x:c r="B263" s="19" t="str">
        <x:v>GRID04_report.md</x:v>
      </x:c>
      <x:c r="C263" s="19" t="str">
        <x:v>4. 汇总与逐周结果</x:v>
      </x:c>
      <x:c r="D263" s="19" t="str">
        <x:v>周=2035-10-29_15；配置=RANDOM20</x:v>
      </x:c>
      <x:c r="E263" s="19" t="str">
        <x:v>步数</x:v>
      </x:c>
      <x:c r="F263" s="19" t="str">
        <x:v>2017/2017</x:v>
      </x:c>
      <x:c r="G263" s="19" t="str">
        <x:v>质量/成本</x:v>
      </x:c>
      <x:c r="H263" s="19" t="str">
        <x:v>D:/Codex/GRL研究/outputs/grid04/GRID04_report.md</x:v>
      </x:c>
    </x:row>
    <x:row r="264" ht="36" customHeight="1">
      <x:c r="A264" s="19" t="str">
        <x:v>GRID04</x:v>
      </x:c>
      <x:c r="B264" s="19" t="str">
        <x:v>GRID04_report.md</x:v>
      </x:c>
      <x:c r="C264" s="19" t="str">
        <x:v>4. 汇总与逐周结果</x:v>
      </x:c>
      <x:c r="D264" s="19" t="str">
        <x:v>周=2035-10-29_15；配置=RANDOM20</x:v>
      </x:c>
      <x:c r="E264" s="19" t="str">
        <x:v>结束</x:v>
      </x:c>
      <x:c r="F264" s="19" t="str">
        <x:v>完整</x:v>
      </x:c>
      <x:c r="G264" s="19" t="str">
        <x:v>其他/配置</x:v>
      </x:c>
      <x:c r="H264" s="19" t="str">
        <x:v>D:/Codex/GRL研究/outputs/grid04/GRID04_report.md</x:v>
      </x:c>
    </x:row>
    <x:row r="265" ht="36" customHeight="1">
      <x:c r="A265" s="19" t="str">
        <x:v>GRID04</x:v>
      </x:c>
      <x:c r="B265" s="19" t="str">
        <x:v>GRID04_report.md</x:v>
      </x:c>
      <x:c r="C265" s="19" t="str">
        <x:v>4. 汇总与逐周结果</x:v>
      </x:c>
      <x:c r="D265" s="19" t="str">
        <x:v>周=2035-10-29_15；配置=RANDOM20</x:v>
      </x:c>
      <x:c r="E265" s="19" t="str">
        <x:v>原始成本</x:v>
      </x:c>
      <x:c r="F265" s="19" t="str">
        <x:v>4154600.128</x:v>
      </x:c>
      <x:c r="G265" s="19" t="str">
        <x:v>质量/成本</x:v>
      </x:c>
      <x:c r="H265" s="19" t="str">
        <x:v>D:/Codex/GRL研究/outputs/grid04/GRID04_report.md</x:v>
      </x:c>
    </x:row>
    <x:row r="266" ht="36" customHeight="1">
      <x:c r="A266" s="19" t="str">
        <x:v>GRID04</x:v>
      </x:c>
      <x:c r="B266" s="19" t="str">
        <x:v>GRID04_report.md</x:v>
      </x:c>
      <x:c r="C266" s="19" t="str">
        <x:v>4. 汇总与逐周结果</x:v>
      </x:c>
      <x:c r="D266" s="19" t="str">
        <x:v>周=2035-10-29_15；配置=RANDOM20</x:v>
      </x:c>
      <x:c r="E266" s="19" t="str">
        <x:v>act秒</x:v>
      </x:c>
      <x:c r="F266" s="19" t="str">
        <x:v>44.04</x:v>
      </x:c>
      <x:c r="G266" s="19" t="str">
        <x:v>速度/计算</x:v>
      </x:c>
      <x:c r="H266" s="19" t="str">
        <x:v>D:/Codex/GRL研究/outputs/grid04/GRID04_report.md</x:v>
      </x:c>
    </x:row>
    <x:row r="267" ht="36" customHeight="1">
      <x:c r="A267" s="19" t="str">
        <x:v>GRID04</x:v>
      </x:c>
      <x:c r="B267" s="19" t="str">
        <x:v>GRID04_report.md</x:v>
      </x:c>
      <x:c r="C267" s="19" t="str">
        <x:v>4. 汇总与逐周结果</x:v>
      </x:c>
      <x:c r="D267" s="19" t="str">
        <x:v>周=2035-10-29_15；配置=RANDOM20</x:v>
      </x:c>
      <x:c r="E267" s="19" t="str">
        <x:v>最大rho</x:v>
      </x:c>
      <x:c r="F267" s="19" t="str">
        <x:v>1.0668</x:v>
      </x:c>
      <x:c r="G267" s="19" t="str">
        <x:v>质量/成本</x:v>
      </x:c>
      <x:c r="H267" s="19" t="str">
        <x:v>D:/Codex/GRL研究/outputs/grid04/GRID04_report.md</x:v>
      </x:c>
    </x:row>
    <x:row r="268" ht="36" customHeight="1">
      <x:c r="A268" s="19" t="str">
        <x:v>GRID04</x:v>
      </x:c>
      <x:c r="B268" s="19" t="str">
        <x:v>GRID04_report.md</x:v>
      </x:c>
      <x:c r="C268" s="19" t="str">
        <x:v>5. 保存数据中的首次分歧</x:v>
      </x:c>
      <x:c r="D268" s="19" t="str">
        <x:v>周=2035-01-29_4；首次分歧步=225</x:v>
      </x:c>
      <x:c r="E268" s="19" t="str">
        <x:v>首次分歧步</x:v>
      </x:c>
      <x:c r="F268" s="19" t="str">
        <x:v>225</x:v>
      </x:c>
      <x:c r="G268" s="19" t="str">
        <x:v>其他/配置</x:v>
      </x:c>
      <x:c r="H268" s="19" t="str">
        <x:v>D:/Codex/GRL研究/outputs/grid04/GRID04_report.md</x:v>
      </x:c>
    </x:row>
    <x:row r="269" ht="36" customHeight="1">
      <x:c r="A269" s="19" t="str">
        <x:v>GRID04</x:v>
      </x:c>
      <x:c r="B269" s="19" t="str">
        <x:v>GRID04_report.md</x:v>
      </x:c>
      <x:c r="C269" s="19" t="str">
        <x:v>5. 保存数据中的首次分歧</x:v>
      </x:c>
      <x:c r="D269" s="19" t="str">
        <x:v>周=2035-01-29_4；首次分歧步=225</x:v>
      </x:c>
      <x:c r="E269" s="19" t="str">
        <x:v>同一前置观测</x:v>
      </x:c>
      <x:c r="F269" s="19" t="str">
        <x:v>True</x:v>
      </x:c>
      <x:c r="G269" s="19" t="str">
        <x:v>其他/配置</x:v>
      </x:c>
      <x:c r="H269" s="19" t="str">
        <x:v>D:/Codex/GRL研究/outputs/grid04/GRID04_report.md</x:v>
      </x:c>
    </x:row>
    <x:row r="270" ht="36" customHeight="1">
      <x:c r="A270" s="19" t="str">
        <x:v>GRID04</x:v>
      </x:c>
      <x:c r="B270" s="19" t="str">
        <x:v>GRID04_report.md</x:v>
      </x:c>
      <x:c r="C270" s="19" t="str">
        <x:v>5. 保存数据中的首次分歧</x:v>
      </x:c>
      <x:c r="D270" s="19" t="str">
        <x:v>周=2035-01-29_4；首次分歧步=225</x:v>
      </x:c>
      <x:c r="E270" s="19" t="str">
        <x:v>NN352候选排名</x:v>
      </x:c>
      <x:c r="F270" s="19" t="str">
        <x:v>51</x:v>
      </x:c>
      <x:c r="G270" s="19" t="str">
        <x:v>其他/配置</x:v>
      </x:c>
      <x:c r="H270" s="19" t="str">
        <x:v>D:/Codex/GRL研究/outputs/grid04/GRID04_report.md</x:v>
      </x:c>
    </x:row>
    <x:row r="271" ht="36" customHeight="1">
      <x:c r="A271" s="19" t="str">
        <x:v>GRID04</x:v>
      </x:c>
      <x:c r="B271" s="19" t="str">
        <x:v>GRID04_report.md</x:v>
      </x:c>
      <x:c r="C271" s="19" t="str">
        <x:v>5. 保存数据中的首次分歧</x:v>
      </x:c>
      <x:c r="D271" s="19" t="str">
        <x:v>周=2035-01-29_4；首次分歧步=225</x:v>
      </x:c>
      <x:c r="E271" s="19" t="str">
        <x:v>NN20 / NN352候选最佳预测rho</x:v>
      </x:c>
      <x:c r="F271" s="19" t="str">
        <x:v>0.968982 / 0.960779</x:v>
      </x:c>
      <x:c r="G271" s="19" t="str">
        <x:v>质量/成本</x:v>
      </x:c>
      <x:c r="H271" s="19" t="str">
        <x:v>D:/Codex/GRL研究/outputs/grid04/GRID04_report.md</x:v>
      </x:c>
    </x:row>
    <x:row r="272" ht="36" customHeight="1">
      <x:c r="A272" s="19" t="str">
        <x:v>GRID04</x:v>
      </x:c>
      <x:c r="B272" s="19" t="str">
        <x:v>GRID04_report.md</x:v>
      </x:c>
      <x:c r="C272" s="19" t="str">
        <x:v>5. 保存数据中的首次分歧</x:v>
      </x:c>
      <x:c r="D272" s="19" t="str">
        <x:v>周=2035-01-29_4；首次分歧步=225</x:v>
      </x:c>
      <x:c r="E272" s="19" t="str">
        <x:v>NN20 / NN352最终实际rho</x:v>
      </x:c>
      <x:c r="F272" s="19" t="str">
        <x:v>0.946785 / 1.002906</x:v>
      </x:c>
      <x:c r="G272" s="19" t="str">
        <x:v>质量/成本</x:v>
      </x:c>
      <x:c r="H272" s="19" t="str">
        <x:v>D:/Codex/GRL研究/outputs/grid04/GRID04_report.md</x:v>
      </x:c>
    </x:row>
    <x:row r="273" ht="36" customHeight="1">
      <x:c r="A273" s="19" t="str">
        <x:v>GRID04</x:v>
      </x:c>
      <x:c r="B273" s="19" t="str">
        <x:v>GRID04_report.md</x:v>
      </x:c>
      <x:c r="C273" s="19" t="str">
        <x:v>5. 保存数据中的首次分歧</x:v>
      </x:c>
      <x:c r="D273" s="19" t="str">
        <x:v>周=2035-04-16_2；首次分歧步=1271</x:v>
      </x:c>
      <x:c r="E273" s="19" t="str">
        <x:v>首次分歧步</x:v>
      </x:c>
      <x:c r="F273" s="19" t="str">
        <x:v>1271</x:v>
      </x:c>
      <x:c r="G273" s="19" t="str">
        <x:v>其他/配置</x:v>
      </x:c>
      <x:c r="H273" s="19" t="str">
        <x:v>D:/Codex/GRL研究/outputs/grid04/GRID04_report.md</x:v>
      </x:c>
    </x:row>
    <x:row r="274" ht="36" customHeight="1">
      <x:c r="A274" s="19" t="str">
        <x:v>GRID04</x:v>
      </x:c>
      <x:c r="B274" s="19" t="str">
        <x:v>GRID04_report.md</x:v>
      </x:c>
      <x:c r="C274" s="19" t="str">
        <x:v>5. 保存数据中的首次分歧</x:v>
      </x:c>
      <x:c r="D274" s="19" t="str">
        <x:v>周=2035-04-16_2；首次分歧步=1271</x:v>
      </x:c>
      <x:c r="E274" s="19" t="str">
        <x:v>同一前置观测</x:v>
      </x:c>
      <x:c r="F274" s="19" t="str">
        <x:v>True</x:v>
      </x:c>
      <x:c r="G274" s="19" t="str">
        <x:v>其他/配置</x:v>
      </x:c>
      <x:c r="H274" s="19" t="str">
        <x:v>D:/Codex/GRL研究/outputs/grid04/GRID04_report.md</x:v>
      </x:c>
    </x:row>
    <x:row r="275" ht="36" customHeight="1">
      <x:c r="A275" s="19" t="str">
        <x:v>GRID04</x:v>
      </x:c>
      <x:c r="B275" s="19" t="str">
        <x:v>GRID04_report.md</x:v>
      </x:c>
      <x:c r="C275" s="19" t="str">
        <x:v>5. 保存数据中的首次分歧</x:v>
      </x:c>
      <x:c r="D275" s="19" t="str">
        <x:v>周=2035-04-16_2；首次分歧步=1271</x:v>
      </x:c>
      <x:c r="E275" s="19" t="str">
        <x:v>NN352候选排名</x:v>
      </x:c>
      <x:c r="F275" s="19" t="str">
        <x:v>67</x:v>
      </x:c>
      <x:c r="G275" s="19" t="str">
        <x:v>其他/配置</x:v>
      </x:c>
      <x:c r="H275" s="19" t="str">
        <x:v>D:/Codex/GRL研究/outputs/grid04/GRID04_report.md</x:v>
      </x:c>
    </x:row>
    <x:row r="276" ht="36" customHeight="1">
      <x:c r="A276" s="19" t="str">
        <x:v>GRID04</x:v>
      </x:c>
      <x:c r="B276" s="19" t="str">
        <x:v>GRID04_report.md</x:v>
      </x:c>
      <x:c r="C276" s="19" t="str">
        <x:v>5. 保存数据中的首次分歧</x:v>
      </x:c>
      <x:c r="D276" s="19" t="str">
        <x:v>周=2035-04-16_2；首次分歧步=1271</x:v>
      </x:c>
      <x:c r="E276" s="19" t="str">
        <x:v>NN20 / NN352候选最佳预测rho</x:v>
      </x:c>
      <x:c r="F276" s="19" t="str">
        <x:v>0.978329 / 0.941462</x:v>
      </x:c>
      <x:c r="G276" s="19" t="str">
        <x:v>质量/成本</x:v>
      </x:c>
      <x:c r="H276" s="19" t="str">
        <x:v>D:/Codex/GRL研究/outputs/grid04/GRID04_report.md</x:v>
      </x:c>
    </x:row>
    <x:row r="277" ht="36" customHeight="1">
      <x:c r="A277" s="19" t="str">
        <x:v>GRID04</x:v>
      </x:c>
      <x:c r="B277" s="19" t="str">
        <x:v>GRID04_report.md</x:v>
      </x:c>
      <x:c r="C277" s="19" t="str">
        <x:v>5. 保存数据中的首次分歧</x:v>
      </x:c>
      <x:c r="D277" s="19" t="str">
        <x:v>周=2035-04-16_2；首次分歧步=1271</x:v>
      </x:c>
      <x:c r="E277" s="19" t="str">
        <x:v>NN20 / NN352最终实际rho</x:v>
      </x:c>
      <x:c r="F277" s="19" t="str">
        <x:v>0.864189 / 0.946758</x:v>
      </x:c>
      <x:c r="G277" s="19" t="str">
        <x:v>质量/成本</x:v>
      </x:c>
      <x:c r="H277" s="19" t="str">
        <x:v>D:/Codex/GRL研究/outputs/grid04/GRID04_report.md</x:v>
      </x:c>
    </x:row>
    <x:row r="278" ht="36" customHeight="1">
      <x:c r="A278" s="19" t="str">
        <x:v>GRID04</x:v>
      </x:c>
      <x:c r="B278" s="19" t="str">
        <x:v>GRID04_report.md</x:v>
      </x:c>
      <x:c r="C278" s="19" t="str">
        <x:v>5. 保存数据中的首次分歧</x:v>
      </x:c>
      <x:c r="D278" s="19" t="str">
        <x:v>周=2035-07-23_10；首次分歧步=None</x:v>
      </x:c>
      <x:c r="E278" s="19" t="str">
        <x:v>首次分歧步</x:v>
      </x:c>
      <x:c r="F278" s="19" t="str">
        <x:v>None</x:v>
      </x:c>
      <x:c r="G278" s="19" t="str">
        <x:v>其他/配置</x:v>
      </x:c>
      <x:c r="H278" s="19" t="str">
        <x:v>D:/Codex/GRL研究/outputs/grid04/GRID04_report.md</x:v>
      </x:c>
    </x:row>
    <x:row r="279" ht="36" customHeight="1">
      <x:c r="A279" s="19" t="str">
        <x:v>GRID04</x:v>
      </x:c>
      <x:c r="B279" s="19" t="str">
        <x:v>GRID04_report.md</x:v>
      </x:c>
      <x:c r="C279" s="19" t="str">
        <x:v>5. 保存数据中的首次分歧</x:v>
      </x:c>
      <x:c r="D279" s="19" t="str">
        <x:v>周=2035-07-23_10；首次分歧步=None</x:v>
      </x:c>
      <x:c r="E279" s="19" t="str">
        <x:v>同一前置观测</x:v>
      </x:c>
      <x:c r="F279" s="19" t="str">
        <x:v>None</x:v>
      </x:c>
      <x:c r="G279" s="19" t="str">
        <x:v>其他/配置</x:v>
      </x:c>
      <x:c r="H279" s="19" t="str">
        <x:v>D:/Codex/GRL研究/outputs/grid04/GRID04_report.md</x:v>
      </x:c>
    </x:row>
    <x:row r="280" ht="36" customHeight="1">
      <x:c r="A280" s="19" t="str">
        <x:v>GRID04</x:v>
      </x:c>
      <x:c r="B280" s="19" t="str">
        <x:v>GRID04_report.md</x:v>
      </x:c>
      <x:c r="C280" s="19" t="str">
        <x:v>5. 保存数据中的首次分歧</x:v>
      </x:c>
      <x:c r="D280" s="19" t="str">
        <x:v>周=2035-07-23_10；首次分歧步=None</x:v>
      </x:c>
      <x:c r="E280" s="19" t="str">
        <x:v>NN352候选排名</x:v>
      </x:c>
      <x:c r="F280" s="19" t="str">
        <x:v>None</x:v>
      </x:c>
      <x:c r="G280" s="19" t="str">
        <x:v>其他/配置</x:v>
      </x:c>
      <x:c r="H280" s="19" t="str">
        <x:v>D:/Codex/GRL研究/outputs/grid04/GRID04_report.md</x:v>
      </x:c>
    </x:row>
    <x:row r="281" ht="36" customHeight="1">
      <x:c r="A281" s="19" t="str">
        <x:v>GRID04</x:v>
      </x:c>
      <x:c r="B281" s="19" t="str">
        <x:v>GRID04_report.md</x:v>
      </x:c>
      <x:c r="C281" s="19" t="str">
        <x:v>5. 保存数据中的首次分歧</x:v>
      </x:c>
      <x:c r="D281" s="19" t="str">
        <x:v>周=2035-07-23_10；首次分歧步=None</x:v>
      </x:c>
      <x:c r="E281" s="19" t="str">
        <x:v>NN20 / NN352候选最佳预测rho</x:v>
      </x:c>
      <x:c r="F281" s="19" t="str">
        <x:v>未同时取得合格候选</x:v>
      </x:c>
      <x:c r="G281" s="19" t="str">
        <x:v>质量/成本</x:v>
      </x:c>
      <x:c r="H281" s="19" t="str">
        <x:v>D:/Codex/GRL研究/outputs/grid04/GRID04_report.md</x:v>
      </x:c>
    </x:row>
    <x:row r="282" ht="36" customHeight="1">
      <x:c r="A282" s="19" t="str">
        <x:v>GRID04</x:v>
      </x:c>
      <x:c r="B282" s="19" t="str">
        <x:v>GRID04_report.md</x:v>
      </x:c>
      <x:c r="C282" s="19" t="str">
        <x:v>5. 保存数据中的首次分歧</x:v>
      </x:c>
      <x:c r="D282" s="19" t="str">
        <x:v>周=2035-07-23_10；首次分歧步=None</x:v>
      </x:c>
      <x:c r="E282" s="19" t="str">
        <x:v>NN20 / NN352最终实际rho</x:v>
      </x:c>
      <x:c r="F282" s="19" t="str">
        <x:v>—</x:v>
      </x:c>
      <x:c r="G282" s="19" t="str">
        <x:v>质量/成本</x:v>
      </x:c>
      <x:c r="H282" s="19" t="str">
        <x:v>D:/Codex/GRL研究/outputs/grid04/GRID04_report.md</x:v>
      </x:c>
    </x:row>
    <x:row r="283" ht="36" customHeight="1">
      <x:c r="A283" s="19" t="str">
        <x:v>GRID04</x:v>
      </x:c>
      <x:c r="B283" s="19" t="str">
        <x:v>GRID04_report.md</x:v>
      </x:c>
      <x:c r="C283" s="19" t="str">
        <x:v>5. 保存数据中的首次分歧</x:v>
      </x:c>
      <x:c r="D283" s="19" t="str">
        <x:v>周=2035-10-29_15；首次分歧步=None</x:v>
      </x:c>
      <x:c r="E283" s="19" t="str">
        <x:v>首次分歧步</x:v>
      </x:c>
      <x:c r="F283" s="19" t="str">
        <x:v>None</x:v>
      </x:c>
      <x:c r="G283" s="19" t="str">
        <x:v>其他/配置</x:v>
      </x:c>
      <x:c r="H283" s="19" t="str">
        <x:v>D:/Codex/GRL研究/outputs/grid04/GRID04_report.md</x:v>
      </x:c>
    </x:row>
    <x:row r="284" ht="36" customHeight="1">
      <x:c r="A284" s="19" t="str">
        <x:v>GRID04</x:v>
      </x:c>
      <x:c r="B284" s="19" t="str">
        <x:v>GRID04_report.md</x:v>
      </x:c>
      <x:c r="C284" s="19" t="str">
        <x:v>5. 保存数据中的首次分歧</x:v>
      </x:c>
      <x:c r="D284" s="19" t="str">
        <x:v>周=2035-10-29_15；首次分歧步=None</x:v>
      </x:c>
      <x:c r="E284" s="19" t="str">
        <x:v>同一前置观测</x:v>
      </x:c>
      <x:c r="F284" s="19" t="str">
        <x:v>None</x:v>
      </x:c>
      <x:c r="G284" s="19" t="str">
        <x:v>其他/配置</x:v>
      </x:c>
      <x:c r="H284" s="19" t="str">
        <x:v>D:/Codex/GRL研究/outputs/grid04/GRID04_report.md</x:v>
      </x:c>
    </x:row>
    <x:row r="285" ht="36" customHeight="1">
      <x:c r="A285" s="19" t="str">
        <x:v>GRID04</x:v>
      </x:c>
      <x:c r="B285" s="19" t="str">
        <x:v>GRID04_report.md</x:v>
      </x:c>
      <x:c r="C285" s="19" t="str">
        <x:v>5. 保存数据中的首次分歧</x:v>
      </x:c>
      <x:c r="D285" s="19" t="str">
        <x:v>周=2035-10-29_15；首次分歧步=None</x:v>
      </x:c>
      <x:c r="E285" s="19" t="str">
        <x:v>NN352候选排名</x:v>
      </x:c>
      <x:c r="F285" s="19" t="str">
        <x:v>None</x:v>
      </x:c>
      <x:c r="G285" s="19" t="str">
        <x:v>其他/配置</x:v>
      </x:c>
      <x:c r="H285" s="19" t="str">
        <x:v>D:/Codex/GRL研究/outputs/grid04/GRID04_report.md</x:v>
      </x:c>
    </x:row>
    <x:row r="286" ht="36" customHeight="1">
      <x:c r="A286" s="19" t="str">
        <x:v>GRID04</x:v>
      </x:c>
      <x:c r="B286" s="19" t="str">
        <x:v>GRID04_report.md</x:v>
      </x:c>
      <x:c r="C286" s="19" t="str">
        <x:v>5. 保存数据中的首次分歧</x:v>
      </x:c>
      <x:c r="D286" s="19" t="str">
        <x:v>周=2035-10-29_15；首次分歧步=None</x:v>
      </x:c>
      <x:c r="E286" s="19" t="str">
        <x:v>NN20 / NN352候选最佳预测rho</x:v>
      </x:c>
      <x:c r="F286" s="19" t="str">
        <x:v>未同时取得合格候选</x:v>
      </x:c>
      <x:c r="G286" s="19" t="str">
        <x:v>质量/成本</x:v>
      </x:c>
      <x:c r="H286" s="19" t="str">
        <x:v>D:/Codex/GRL研究/outputs/grid04/GRID04_report.md</x:v>
      </x:c>
    </x:row>
    <x:row r="287" ht="36" customHeight="1">
      <x:c r="A287" s="19" t="str">
        <x:v>GRID04</x:v>
      </x:c>
      <x:c r="B287" s="19" t="str">
        <x:v>GRID04_report.md</x:v>
      </x:c>
      <x:c r="C287" s="19" t="str">
        <x:v>5. 保存数据中的首次分歧</x:v>
      </x:c>
      <x:c r="D287" s="19" t="str">
        <x:v>周=2035-10-29_15；首次分歧步=None</x:v>
      </x:c>
      <x:c r="E287" s="19" t="str">
        <x:v>NN20 / NN352最终实际rho</x:v>
      </x:c>
      <x:c r="F287" s="19" t="str">
        <x:v>—</x:v>
      </x:c>
      <x:c r="G287" s="19" t="str">
        <x:v>质量/成本</x:v>
      </x:c>
      <x:c r="H287" s="19" t="str">
        <x:v>D:/Codex/GRL研究/outputs/grid04/GRID04_report.md</x:v>
      </x:c>
    </x:row>
    <x:row r="288" ht="36" customHeight="1">
      <x:c r="A288" s="19" t="str">
        <x:v>GRID04</x:v>
      </x:c>
      <x:c r="B288" s="19" t="str">
        <x:v>GRID04_report.md</x:v>
      </x:c>
      <x:c r="C288" s="19" t="str">
        <x:v>6. 搜索开销的描述性分解</x:v>
      </x:c>
      <x:c r="D288" s="19" t="str">
        <x:v>配置=FULL；Topology-12累计秒=66.316</x:v>
      </x:c>
      <x:c r="E288" s="19" t="str">
        <x:v>Topology-12累计秒</x:v>
      </x:c>
      <x:c r="F288" s="19" t="str">
        <x:v>66.316</x:v>
      </x:c>
      <x:c r="G288" s="19" t="str">
        <x:v>速度/计算</x:v>
      </x:c>
      <x:c r="H288" s="19" t="str">
        <x:v>D:/Codex/GRL研究/outputs/grid04/GRID04_report.md</x:v>
      </x:c>
    </x:row>
    <x:row r="289" ht="36" customHeight="1">
      <x:c r="A289" s="19" t="str">
        <x:v>GRID04</x:v>
      </x:c>
      <x:c r="B289" s="19" t="str">
        <x:v>GRID04_report.md</x:v>
      </x:c>
      <x:c r="C289" s="19" t="str">
        <x:v>6. 搜索开销的描述性分解</x:v>
      </x:c>
      <x:c r="D289" s="19" t="str">
        <x:v>配置=FULL；Topology-12累计秒=66.316</x:v>
      </x:c>
      <x:c r="E289" s="19" t="str">
        <x:v>N-1累计秒</x:v>
      </x:c>
      <x:c r="F289" s="19" t="str">
        <x:v>79.211</x:v>
      </x:c>
      <x:c r="G289" s="19" t="str">
        <x:v>速度/计算</x:v>
      </x:c>
      <x:c r="H289" s="19" t="str">
        <x:v>D:/Codex/GRL研究/outputs/grid04/GRID04_report.md</x:v>
      </x:c>
    </x:row>
    <x:row r="290" ht="36" customHeight="1">
      <x:c r="A290" s="19" t="str">
        <x:v>GRID04</x:v>
      </x:c>
      <x:c r="B290" s="19" t="str">
        <x:v>GRID04_report.md</x:v>
      </x:c>
      <x:c r="C290" s="19" t="str">
        <x:v>6. 搜索开销的描述性分解</x:v>
      </x:c>
      <x:c r="D290" s="19" t="str">
        <x:v>配置=FULL；Topology-12累计秒=66.316</x:v>
      </x:c>
      <x:c r="E290" s="19" t="str">
        <x:v>连续优化累计秒</x:v>
      </x:c>
      <x:c r="F290" s="19" t="str">
        <x:v>77.248</x:v>
      </x:c>
      <x:c r="G290" s="19" t="str">
        <x:v>速度/计算</x:v>
      </x:c>
      <x:c r="H290" s="19" t="str">
        <x:v>D:/Codex/GRL研究/outputs/grid04/GRID04_report.md</x:v>
      </x:c>
    </x:row>
    <x:row r="291" ht="36" customHeight="1">
      <x:c r="A291" s="19" t="str">
        <x:v>GRID04</x:v>
      </x:c>
      <x:c r="B291" s="19" t="str">
        <x:v>GRID04_report.md</x:v>
      </x:c>
      <x:c r="C291" s="19" t="str">
        <x:v>6. 搜索开销的描述性分解</x:v>
      </x:c>
      <x:c r="D291" s="19" t="str">
        <x:v>配置=FULL；Topology-12累计秒=66.316</x:v>
      </x:c>
      <x:c r="E291" s="19" t="str">
        <x:v>act p95最坏周 / 单次最大秒</x:v>
      </x:c>
      <x:c r="F291" s="19" t="str">
        <x:v>0.0147 / 5.9606</x:v>
      </x:c>
      <x:c r="G291" s="19" t="str">
        <x:v>速度/计算</x:v>
      </x:c>
      <x:c r="H291" s="19" t="str">
        <x:v>D:/Codex/GRL研究/outputs/grid04/GRID04_report.md</x:v>
      </x:c>
    </x:row>
    <x:row r="292" ht="36" customHeight="1">
      <x:c r="A292" s="19" t="str">
        <x:v>GRID04</x:v>
      </x:c>
      <x:c r="B292" s="19" t="str">
        <x:v>GRID04_report.md</x:v>
      </x:c>
      <x:c r="C292" s="19" t="str">
        <x:v>6. 搜索开销的描述性分解</x:v>
      </x:c>
      <x:c r="D292" s="19" t="str">
        <x:v>配置=NN20；Topology-12累计秒=2.053</x:v>
      </x:c>
      <x:c r="E292" s="19" t="str">
        <x:v>Topology-12累计秒</x:v>
      </x:c>
      <x:c r="F292" s="19" t="str">
        <x:v>2.053</x:v>
      </x:c>
      <x:c r="G292" s="19" t="str">
        <x:v>速度/计算</x:v>
      </x:c>
      <x:c r="H292" s="19" t="str">
        <x:v>D:/Codex/GRL研究/outputs/grid04/GRID04_report.md</x:v>
      </x:c>
    </x:row>
    <x:row r="293" ht="36" customHeight="1">
      <x:c r="A293" s="19" t="str">
        <x:v>GRID04</x:v>
      </x:c>
      <x:c r="B293" s="19" t="str">
        <x:v>GRID04_report.md</x:v>
      </x:c>
      <x:c r="C293" s="19" t="str">
        <x:v>6. 搜索开销的描述性分解</x:v>
      </x:c>
      <x:c r="D293" s="19" t="str">
        <x:v>配置=NN20；Topology-12累计秒=2.053</x:v>
      </x:c>
      <x:c r="E293" s="19" t="str">
        <x:v>N-1累计秒</x:v>
      </x:c>
      <x:c r="F293" s="19" t="str">
        <x:v>61.726</x:v>
      </x:c>
      <x:c r="G293" s="19" t="str">
        <x:v>速度/计算</x:v>
      </x:c>
      <x:c r="H293" s="19" t="str">
        <x:v>D:/Codex/GRL研究/outputs/grid04/GRID04_report.md</x:v>
      </x:c>
    </x:row>
    <x:row r="294" ht="36" customHeight="1">
      <x:c r="A294" s="19" t="str">
        <x:v>GRID04</x:v>
      </x:c>
      <x:c r="B294" s="19" t="str">
        <x:v>GRID04_report.md</x:v>
      </x:c>
      <x:c r="C294" s="19" t="str">
        <x:v>6. 搜索开销的描述性分解</x:v>
      </x:c>
      <x:c r="D294" s="19" t="str">
        <x:v>配置=NN20；Topology-12累计秒=2.053</x:v>
      </x:c>
      <x:c r="E294" s="19" t="str">
        <x:v>连续优化累计秒</x:v>
      </x:c>
      <x:c r="F294" s="19" t="str">
        <x:v>55.811</x:v>
      </x:c>
      <x:c r="G294" s="19" t="str">
        <x:v>速度/计算</x:v>
      </x:c>
      <x:c r="H294" s="19" t="str">
        <x:v>D:/Codex/GRL研究/outputs/grid04/GRID04_report.md</x:v>
      </x:c>
    </x:row>
    <x:row r="295" ht="36" customHeight="1">
      <x:c r="A295" s="19" t="str">
        <x:v>GRID04</x:v>
      </x:c>
      <x:c r="B295" s="19" t="str">
        <x:v>GRID04_report.md</x:v>
      </x:c>
      <x:c r="C295" s="19" t="str">
        <x:v>6. 搜索开销的描述性分解</x:v>
      </x:c>
      <x:c r="D295" s="19" t="str">
        <x:v>配置=NN20；Topology-12累计秒=2.053</x:v>
      </x:c>
      <x:c r="E295" s="19" t="str">
        <x:v>act p95最坏周 / 单次最大秒</x:v>
      </x:c>
      <x:c r="F295" s="19" t="str">
        <x:v>0.0119 / 5.7647</x:v>
      </x:c>
      <x:c r="G295" s="19" t="str">
        <x:v>速度/计算</x:v>
      </x:c>
      <x:c r="H295" s="19" t="str">
        <x:v>D:/Codex/GRL研究/outputs/grid04/GRID04_report.md</x:v>
      </x:c>
    </x:row>
    <x:row r="296" ht="36" customHeight="1">
      <x:c r="A296" s="19" t="str">
        <x:v>GRID04</x:v>
      </x:c>
      <x:c r="B296" s="19" t="str">
        <x:v>GRID04_report.md</x:v>
      </x:c>
      <x:c r="C296" s="19" t="str">
        <x:v>6. 搜索开销的描述性分解</x:v>
      </x:c>
      <x:c r="D296" s="19" t="str">
        <x:v>配置=NN352；Topology-12累计秒=49.859</x:v>
      </x:c>
      <x:c r="E296" s="19" t="str">
        <x:v>Topology-12累计秒</x:v>
      </x:c>
      <x:c r="F296" s="19" t="str">
        <x:v>49.859</x:v>
      </x:c>
      <x:c r="G296" s="19" t="str">
        <x:v>速度/计算</x:v>
      </x:c>
      <x:c r="H296" s="19" t="str">
        <x:v>D:/Codex/GRL研究/outputs/grid04/GRID04_report.md</x:v>
      </x:c>
    </x:row>
    <x:row r="297" ht="36" customHeight="1">
      <x:c r="A297" s="19" t="str">
        <x:v>GRID04</x:v>
      </x:c>
      <x:c r="B297" s="19" t="str">
        <x:v>GRID04_report.md</x:v>
      </x:c>
      <x:c r="C297" s="19" t="str">
        <x:v>6. 搜索开销的描述性分解</x:v>
      </x:c>
      <x:c r="D297" s="19" t="str">
        <x:v>配置=NN352；Topology-12累计秒=49.859</x:v>
      </x:c>
      <x:c r="E297" s="19" t="str">
        <x:v>N-1累计秒</x:v>
      </x:c>
      <x:c r="F297" s="19" t="str">
        <x:v>80.485</x:v>
      </x:c>
      <x:c r="G297" s="19" t="str">
        <x:v>速度/计算</x:v>
      </x:c>
      <x:c r="H297" s="19" t="str">
        <x:v>D:/Codex/GRL研究/outputs/grid04/GRID04_report.md</x:v>
      </x:c>
    </x:row>
    <x:row r="298" ht="36" customHeight="1">
      <x:c r="A298" s="19" t="str">
        <x:v>GRID04</x:v>
      </x:c>
      <x:c r="B298" s="19" t="str">
        <x:v>GRID04_report.md</x:v>
      </x:c>
      <x:c r="C298" s="19" t="str">
        <x:v>6. 搜索开销的描述性分解</x:v>
      </x:c>
      <x:c r="D298" s="19" t="str">
        <x:v>配置=NN352；Topology-12累计秒=49.859</x:v>
      </x:c>
      <x:c r="E298" s="19" t="str">
        <x:v>连续优化累计秒</x:v>
      </x:c>
      <x:c r="F298" s="19" t="str">
        <x:v>84.725</x:v>
      </x:c>
      <x:c r="G298" s="19" t="str">
        <x:v>速度/计算</x:v>
      </x:c>
      <x:c r="H298" s="19" t="str">
        <x:v>D:/Codex/GRL研究/outputs/grid04/GRID04_report.md</x:v>
      </x:c>
    </x:row>
    <x:row r="299" ht="36" customHeight="1">
      <x:c r="A299" s="19" t="str">
        <x:v>GRID04</x:v>
      </x:c>
      <x:c r="B299" s="19" t="str">
        <x:v>GRID04_report.md</x:v>
      </x:c>
      <x:c r="C299" s="19" t="str">
        <x:v>6. 搜索开销的描述性分解</x:v>
      </x:c>
      <x:c r="D299" s="19" t="str">
        <x:v>配置=NN352；Topology-12累计秒=49.859</x:v>
      </x:c>
      <x:c r="E299" s="19" t="str">
        <x:v>act p95最坏周 / 单次最大秒</x:v>
      </x:c>
      <x:c r="F299" s="19" t="str">
        <x:v>0.0156 / 6.1286</x:v>
      </x:c>
      <x:c r="G299" s="19" t="str">
        <x:v>速度/计算</x:v>
      </x:c>
      <x:c r="H299" s="19" t="str">
        <x:v>D:/Codex/GRL研究/outputs/grid04/GRID04_report.md</x:v>
      </x:c>
    </x:row>
    <x:row r="300" ht="36" customHeight="1">
      <x:c r="A300" s="19" t="str">
        <x:v>GRID04</x:v>
      </x:c>
      <x:c r="B300" s="19" t="str">
        <x:v>GRID04_report.md</x:v>
      </x:c>
      <x:c r="C300" s="19" t="str">
        <x:v>6. 搜索开销的描述性分解</x:v>
      </x:c>
      <x:c r="D300" s="19" t="str">
        <x:v>配置=LOCAL20；Topology-12累计秒=2.225</x:v>
      </x:c>
      <x:c r="E300" s="19" t="str">
        <x:v>Topology-12累计秒</x:v>
      </x:c>
      <x:c r="F300" s="19" t="str">
        <x:v>2.225</x:v>
      </x:c>
      <x:c r="G300" s="19" t="str">
        <x:v>速度/计算</x:v>
      </x:c>
      <x:c r="H300" s="19" t="str">
        <x:v>D:/Codex/GRL研究/outputs/grid04/GRID04_report.md</x:v>
      </x:c>
    </x:row>
    <x:row r="301" ht="36" customHeight="1">
      <x:c r="A301" s="19" t="str">
        <x:v>GRID04</x:v>
      </x:c>
      <x:c r="B301" s="19" t="str">
        <x:v>GRID04_report.md</x:v>
      </x:c>
      <x:c r="C301" s="19" t="str">
        <x:v>6. 搜索开销的描述性分解</x:v>
      </x:c>
      <x:c r="D301" s="19" t="str">
        <x:v>配置=LOCAL20；Topology-12累计秒=2.225</x:v>
      </x:c>
      <x:c r="E301" s="19" t="str">
        <x:v>N-1累计秒</x:v>
      </x:c>
      <x:c r="F301" s="19" t="str">
        <x:v>54.375</x:v>
      </x:c>
      <x:c r="G301" s="19" t="str">
        <x:v>速度/计算</x:v>
      </x:c>
      <x:c r="H301" s="19" t="str">
        <x:v>D:/Codex/GRL研究/outputs/grid04/GRID04_report.md</x:v>
      </x:c>
    </x:row>
    <x:row r="302" ht="36" customHeight="1">
      <x:c r="A302" s="19" t="str">
        <x:v>GRID04</x:v>
      </x:c>
      <x:c r="B302" s="19" t="str">
        <x:v>GRID04_report.md</x:v>
      </x:c>
      <x:c r="C302" s="19" t="str">
        <x:v>6. 搜索开销的描述性分解</x:v>
      </x:c>
      <x:c r="D302" s="19" t="str">
        <x:v>配置=LOCAL20；Topology-12累计秒=2.225</x:v>
      </x:c>
      <x:c r="E302" s="19" t="str">
        <x:v>连续优化累计秒</x:v>
      </x:c>
      <x:c r="F302" s="19" t="str">
        <x:v>54.339</x:v>
      </x:c>
      <x:c r="G302" s="19" t="str">
        <x:v>速度/计算</x:v>
      </x:c>
      <x:c r="H302" s="19" t="str">
        <x:v>D:/Codex/GRL研究/outputs/grid04/GRID04_report.md</x:v>
      </x:c>
    </x:row>
    <x:row r="303" ht="36" customHeight="1">
      <x:c r="A303" s="19" t="str">
        <x:v>GRID04</x:v>
      </x:c>
      <x:c r="B303" s="19" t="str">
        <x:v>GRID04_report.md</x:v>
      </x:c>
      <x:c r="C303" s="19" t="str">
        <x:v>6. 搜索开销的描述性分解</x:v>
      </x:c>
      <x:c r="D303" s="19" t="str">
        <x:v>配置=LOCAL20；Topology-12累计秒=2.225</x:v>
      </x:c>
      <x:c r="E303" s="19" t="str">
        <x:v>act p95最坏周 / 单次最大秒</x:v>
      </x:c>
      <x:c r="F303" s="19" t="str">
        <x:v>0.0153 / 6.2914</x:v>
      </x:c>
      <x:c r="G303" s="19" t="str">
        <x:v>速度/计算</x:v>
      </x:c>
      <x:c r="H303" s="19" t="str">
        <x:v>D:/Codex/GRL研究/outputs/grid04/GRID04_report.md</x:v>
      </x:c>
    </x:row>
    <x:row r="304" ht="36" customHeight="1">
      <x:c r="A304" s="19" t="str">
        <x:v>GRID04</x:v>
      </x:c>
      <x:c r="B304" s="19" t="str">
        <x:v>GRID04_report.md</x:v>
      </x:c>
      <x:c r="C304" s="19" t="str">
        <x:v>6. 搜索开销的描述性分解</x:v>
      </x:c>
      <x:c r="D304" s="19" t="str">
        <x:v>配置=RANDOM20；Topology-12累计秒=4.119</x:v>
      </x:c>
      <x:c r="E304" s="19" t="str">
        <x:v>Topology-12累计秒</x:v>
      </x:c>
      <x:c r="F304" s="19" t="str">
        <x:v>4.119</x:v>
      </x:c>
      <x:c r="G304" s="19" t="str">
        <x:v>速度/计算</x:v>
      </x:c>
      <x:c r="H304" s="19" t="str">
        <x:v>D:/Codex/GRL研究/outputs/grid04/GRID04_report.md</x:v>
      </x:c>
    </x:row>
    <x:row r="305" ht="36" customHeight="1">
      <x:c r="A305" s="19" t="str">
        <x:v>GRID04</x:v>
      </x:c>
      <x:c r="B305" s="19" t="str">
        <x:v>GRID04_report.md</x:v>
      </x:c>
      <x:c r="C305" s="19" t="str">
        <x:v>6. 搜索开销的描述性分解</x:v>
      </x:c>
      <x:c r="D305" s="19" t="str">
        <x:v>配置=RANDOM20；Topology-12累计秒=4.119</x:v>
      </x:c>
      <x:c r="E305" s="19" t="str">
        <x:v>N-1累计秒</x:v>
      </x:c>
      <x:c r="F305" s="19" t="str">
        <x:v>43.265</x:v>
      </x:c>
      <x:c r="G305" s="19" t="str">
        <x:v>速度/计算</x:v>
      </x:c>
      <x:c r="H305" s="19" t="str">
        <x:v>D:/Codex/GRL研究/outputs/grid04/GRID04_report.md</x:v>
      </x:c>
    </x:row>
    <x:row r="306" ht="36" customHeight="1">
      <x:c r="A306" s="19" t="str">
        <x:v>GRID04</x:v>
      </x:c>
      <x:c r="B306" s="19" t="str">
        <x:v>GRID04_report.md</x:v>
      </x:c>
      <x:c r="C306" s="19" t="str">
        <x:v>6. 搜索开销的描述性分解</x:v>
      </x:c>
      <x:c r="D306" s="19" t="str">
        <x:v>配置=RANDOM20；Topology-12累计秒=4.119</x:v>
      </x:c>
      <x:c r="E306" s="19" t="str">
        <x:v>连续优化累计秒</x:v>
      </x:c>
      <x:c r="F306" s="19" t="str">
        <x:v>116.461</x:v>
      </x:c>
      <x:c r="G306" s="19" t="str">
        <x:v>速度/计算</x:v>
      </x:c>
      <x:c r="H306" s="19" t="str">
        <x:v>D:/Codex/GRL研究/outputs/grid04/GRID04_report.md</x:v>
      </x:c>
    </x:row>
    <x:row r="307" ht="36" customHeight="1">
      <x:c r="A307" s="19" t="str">
        <x:v>GRID04</x:v>
      </x:c>
      <x:c r="B307" s="19" t="str">
        <x:v>GRID04_report.md</x:v>
      </x:c>
      <x:c r="C307" s="19" t="str">
        <x:v>6. 搜索开销的描述性分解</x:v>
      </x:c>
      <x:c r="D307" s="19" t="str">
        <x:v>配置=RANDOM20；Topology-12累计秒=4.119</x:v>
      </x:c>
      <x:c r="E307" s="19" t="str">
        <x:v>act p95最坏周 / 单次最大秒</x:v>
      </x:c>
      <x:c r="F307" s="19" t="str">
        <x:v>0.0158 / 6.0594</x:v>
      </x:c>
      <x:c r="G307" s="19" t="str">
        <x:v>速度/计算</x:v>
      </x:c>
      <x:c r="H307" s="19" t="str">
        <x:v>D:/Codex/GRL研究/outputs/grid04/GRID04_report.md</x:v>
      </x:c>
    </x:row>
    <x:row r="308" ht="36" customHeight="1">
      <x:c r="A308" s="19" t="str">
        <x:v>GRID04</x:v>
      </x:c>
      <x:c r="B308" s="19" t="str">
        <x:v>GRID04_report.md</x:v>
      </x:c>
      <x:c r="C308" s="19" t="str">
        <x:v>7. 搜索开销的描述性分解</x:v>
      </x:c>
      <x:c r="D308" s="19" t="str">
        <x:v>周=2035-01-29_4；相同前置观测前缀步数=225</x:v>
      </x:c>
      <x:c r="E308" s="19" t="str">
        <x:v>相同前置观测前缀步数</x:v>
      </x:c>
      <x:c r="F308" s="19" t="str">
        <x:v>225</x:v>
      </x:c>
      <x:c r="G308" s="19" t="str">
        <x:v>质量/成本</x:v>
      </x:c>
      <x:c r="H308" s="19" t="str">
        <x:v>D:/Codex/GRL研究/outputs/grid04/GRID04_report.md</x:v>
      </x:c>
    </x:row>
    <x:row r="309" ht="36" customHeight="1">
      <x:c r="A309" s="19" t="str">
        <x:v>GRID04</x:v>
      </x:c>
      <x:c r="B309" s="19" t="str">
        <x:v>GRID04_report.md</x:v>
      </x:c>
      <x:c r="C309" s="19" t="str">
        <x:v>7. 搜索开销的描述性分解</x:v>
      </x:c>
      <x:c r="D309" s="19" t="str">
        <x:v>周=2035-01-29_4；相同前置观测前缀步数=225</x:v>
      </x:c>
      <x:c r="E309" s="19" t="str">
        <x:v>NN20 / NN352模拟次数</x:v>
      </x:c>
      <x:c r="F309" s="19" t="str">
        <x:v>507 / 3163</x:v>
      </x:c>
      <x:c r="G309" s="19" t="str">
        <x:v>其他/配置</x:v>
      </x:c>
      <x:c r="H309" s="19" t="str">
        <x:v>D:/Codex/GRL研究/outputs/grid04/GRID04_report.md</x:v>
      </x:c>
    </x:row>
    <x:row r="310" ht="36" customHeight="1">
      <x:c r="A310" s="19" t="str">
        <x:v>GRID04</x:v>
      </x:c>
      <x:c r="B310" s="19" t="str">
        <x:v>GRID04_report.md</x:v>
      </x:c>
      <x:c r="C310" s="19" t="str">
        <x:v>7. 搜索开销的描述性分解</x:v>
      </x:c>
      <x:c r="D310" s="19" t="str">
        <x:v>周=2035-01-29_4；相同前置观测前缀步数=225</x:v>
      </x:c>
      <x:c r="E310" s="19" t="str">
        <x:v>NN20 / NN352 act秒</x:v>
      </x:c>
      <x:c r="F310" s="19" t="str">
        <x:v>13.807 / 21.816</x:v>
      </x:c>
      <x:c r="G310" s="19" t="str">
        <x:v>速度/计算</x:v>
      </x:c>
      <x:c r="H310" s="19" t="str">
        <x:v>D:/Codex/GRL研究/outputs/grid04/GRID04_report.md</x:v>
      </x:c>
    </x:row>
    <x:row r="311" ht="36" customHeight="1">
      <x:c r="A311" s="19" t="str">
        <x:v>GRID04</x:v>
      </x:c>
      <x:c r="B311" s="19" t="str">
        <x:v>GRID04_report.md</x:v>
      </x:c>
      <x:c r="C311" s="19" t="str">
        <x:v>7. 搜索开销的描述性分解</x:v>
      </x:c>
      <x:c r="D311" s="19" t="str">
        <x:v>周=2035-04-16_2；相同前置观测前缀步数=1271</x:v>
      </x:c>
      <x:c r="E311" s="19" t="str">
        <x:v>相同前置观测前缀步数</x:v>
      </x:c>
      <x:c r="F311" s="19" t="str">
        <x:v>1271</x:v>
      </x:c>
      <x:c r="G311" s="19" t="str">
        <x:v>质量/成本</x:v>
      </x:c>
      <x:c r="H311" s="19" t="str">
        <x:v>D:/Codex/GRL研究/outputs/grid04/GRID04_report.md</x:v>
      </x:c>
    </x:row>
    <x:row r="312" ht="36" customHeight="1">
      <x:c r="A312" s="19" t="str">
        <x:v>GRID04</x:v>
      </x:c>
      <x:c r="B312" s="19" t="str">
        <x:v>GRID04_report.md</x:v>
      </x:c>
      <x:c r="C312" s="19" t="str">
        <x:v>7. 搜索开销的描述性分解</x:v>
      </x:c>
      <x:c r="D312" s="19" t="str">
        <x:v>周=2035-04-16_2；相同前置观测前缀步数=1271</x:v>
      </x:c>
      <x:c r="E312" s="19" t="str">
        <x:v>NN20 / NN352模拟次数</x:v>
      </x:c>
      <x:c r="F312" s="19" t="str">
        <x:v>7361 / 9353</x:v>
      </x:c>
      <x:c r="G312" s="19" t="str">
        <x:v>其他/配置</x:v>
      </x:c>
      <x:c r="H312" s="19" t="str">
        <x:v>D:/Codex/GRL研究/outputs/grid04/GRID04_report.md</x:v>
      </x:c>
    </x:row>
    <x:row r="313" ht="36" customHeight="1">
      <x:c r="A313" s="19" t="str">
        <x:v>GRID04</x:v>
      </x:c>
      <x:c r="B313" s="19" t="str">
        <x:v>GRID04_report.md</x:v>
      </x:c>
      <x:c r="C313" s="19" t="str">
        <x:v>7. 搜索开销的描述性分解</x:v>
      </x:c>
      <x:c r="D313" s="19" t="str">
        <x:v>周=2035-04-16_2；相同前置观测前缀步数=1271</x:v>
      </x:c>
      <x:c r="E313" s="19" t="str">
        <x:v>NN20 / NN352 act秒</x:v>
      </x:c>
      <x:c r="F313" s="19" t="str">
        <x:v>36.067 / 43.258</x:v>
      </x:c>
      <x:c r="G313" s="19" t="str">
        <x:v>速度/计算</x:v>
      </x:c>
      <x:c r="H313" s="19" t="str">
        <x:v>D:/Codex/GRL研究/outputs/grid04/GRID04_report.md</x:v>
      </x:c>
    </x:row>
    <x:row r="314" ht="36" customHeight="1">
      <x:c r="A314" s="19" t="str">
        <x:v>GRID04</x:v>
      </x:c>
      <x:c r="B314" s="19" t="str">
        <x:v>GRID04_report.md</x:v>
      </x:c>
      <x:c r="C314" s="19" t="str">
        <x:v>7. 搜索开销的描述性分解</x:v>
      </x:c>
      <x:c r="D314" s="19" t="str">
        <x:v>周=2035-07-23_10；相同前置观测前缀步数=2017</x:v>
      </x:c>
      <x:c r="E314" s="19" t="str">
        <x:v>相同前置观测前缀步数</x:v>
      </x:c>
      <x:c r="F314" s="19" t="str">
        <x:v>2017</x:v>
      </x:c>
      <x:c r="G314" s="19" t="str">
        <x:v>质量/成本</x:v>
      </x:c>
      <x:c r="H314" s="19" t="str">
        <x:v>D:/Codex/GRL研究/outputs/grid04/GRID04_report.md</x:v>
      </x:c>
    </x:row>
    <x:row r="315" ht="36" customHeight="1">
      <x:c r="A315" s="19" t="str">
        <x:v>GRID04</x:v>
      </x:c>
      <x:c r="B315" s="19" t="str">
        <x:v>GRID04_report.md</x:v>
      </x:c>
      <x:c r="C315" s="19" t="str">
        <x:v>7. 搜索开销的描述性分解</x:v>
      </x:c>
      <x:c r="D315" s="19" t="str">
        <x:v>周=2035-07-23_10；相同前置观测前缀步数=2017</x:v>
      </x:c>
      <x:c r="E315" s="19" t="str">
        <x:v>NN20 / NN352模拟次数</x:v>
      </x:c>
      <x:c r="F315" s="19" t="str">
        <x:v>7102 / 7766</x:v>
      </x:c>
      <x:c r="G315" s="19" t="str">
        <x:v>其他/配置</x:v>
      </x:c>
      <x:c r="H315" s="19" t="str">
        <x:v>D:/Codex/GRL研究/outputs/grid04/GRID04_report.md</x:v>
      </x:c>
    </x:row>
    <x:row r="316" ht="36" customHeight="1">
      <x:c r="A316" s="19" t="str">
        <x:v>GRID04</x:v>
      </x:c>
      <x:c r="B316" s="19" t="str">
        <x:v>GRID04_report.md</x:v>
      </x:c>
      <x:c r="C316" s="19" t="str">
        <x:v>7. 搜索开销的描述性分解</x:v>
      </x:c>
      <x:c r="D316" s="19" t="str">
        <x:v>周=2035-07-23_10；相同前置观测前缀步数=2017</x:v>
      </x:c>
      <x:c r="E316" s="19" t="str">
        <x:v>NN20 / NN352 act秒</x:v>
      </x:c>
      <x:c r="F316" s="19" t="str">
        <x:v>19.887 / 21.218</x:v>
      </x:c>
      <x:c r="G316" s="19" t="str">
        <x:v>速度/计算</x:v>
      </x:c>
      <x:c r="H316" s="19" t="str">
        <x:v>D:/Codex/GRL研究/outputs/grid04/GRID04_report.md</x:v>
      </x:c>
    </x:row>
    <x:row r="317" ht="36" customHeight="1">
      <x:c r="A317" s="19" t="str">
        <x:v>GRID04</x:v>
      </x:c>
      <x:c r="B317" s="19" t="str">
        <x:v>GRID04_report.md</x:v>
      </x:c>
      <x:c r="C317" s="19" t="str">
        <x:v>7. 搜索开销的描述性分解</x:v>
      </x:c>
      <x:c r="D317" s="19" t="str">
        <x:v>周=2035-10-29_15；相同前置观测前缀步数=2017</x:v>
      </x:c>
      <x:c r="E317" s="19" t="str">
        <x:v>相同前置观测前缀步数</x:v>
      </x:c>
      <x:c r="F317" s="19" t="str">
        <x:v>2017</x:v>
      </x:c>
      <x:c r="G317" s="19" t="str">
        <x:v>质量/成本</x:v>
      </x:c>
      <x:c r="H317" s="19" t="str">
        <x:v>D:/Codex/GRL研究/outputs/grid04/GRID04_report.md</x:v>
      </x:c>
    </x:row>
    <x:row r="318" ht="36" customHeight="1">
      <x:c r="A318" s="19" t="str">
        <x:v>GRID04</x:v>
      </x:c>
      <x:c r="B318" s="19" t="str">
        <x:v>GRID04_report.md</x:v>
      </x:c>
      <x:c r="C318" s="19" t="str">
        <x:v>7. 搜索开销的描述性分解</x:v>
      </x:c>
      <x:c r="D318" s="19" t="str">
        <x:v>周=2035-10-29_15；相同前置观测前缀步数=2017</x:v>
      </x:c>
      <x:c r="E318" s="19" t="str">
        <x:v>NN20 / NN352模拟次数</x:v>
      </x:c>
      <x:c r="F318" s="19" t="str">
        <x:v>12031 / 15351</x:v>
      </x:c>
      <x:c r="G318" s="19" t="str">
        <x:v>其他/配置</x:v>
      </x:c>
      <x:c r="H318" s="19" t="str">
        <x:v>D:/Codex/GRL研究/outputs/grid04/GRID04_report.md</x:v>
      </x:c>
    </x:row>
    <x:row r="319" ht="36" customHeight="1">
      <x:c r="A319" s="19" t="str">
        <x:v>GRID04</x:v>
      </x:c>
      <x:c r="B319" s="19" t="str">
        <x:v>GRID04_report.md</x:v>
      </x:c>
      <x:c r="C319" s="19" t="str">
        <x:v>7. 搜索开销的描述性分解</x:v>
      </x:c>
      <x:c r="D319" s="19" t="str">
        <x:v>周=2035-10-29_15；相同前置观测前缀步数=2017</x:v>
      </x:c>
      <x:c r="E319" s="19" t="str">
        <x:v>NN20 / NN352 act秒</x:v>
      </x:c>
      <x:c r="F319" s="19" t="str">
        <x:v>55.695 / 64.969</x:v>
      </x:c>
      <x:c r="G319" s="19" t="str">
        <x:v>速度/计算</x:v>
      </x:c>
      <x:c r="H319" s="19" t="str">
        <x:v>D:/Codex/GRL研究/outputs/grid04/GRID04_report.md</x:v>
      </x:c>
    </x:row>
    <x:row r="320" ht="36" customHeight="1">
      <x:c r="A320" s="19" t="str">
        <x:v>GRID05</x:v>
      </x:c>
      <x:c r="B320" s="19" t="str">
        <x:v>GRID05_report.md</x:v>
      </x:c>
      <x:c r="C320" s="19" t="str">
        <x:v>1. 冻结筛查与结果</x:v>
      </x:c>
      <x:c r="D320" s="19" t="str">
        <x:v>开发周=2035-01-29_4；新 NN20 结束步=462</x:v>
      </x:c>
      <x:c r="E320" s="19" t="str">
        <x:v>新 NN20 结束步</x:v>
      </x:c>
      <x:c r="F320" s="19" t="str">
        <x:v>462</x:v>
      </x:c>
      <x:c r="G320" s="19" t="str">
        <x:v>其他/配置</x:v>
      </x:c>
      <x:c r="H320" s="19" t="str">
        <x:v>D:/Codex/GRL研究/outputs/grid05/GRID05_report.md</x:v>
      </x:c>
    </x:row>
    <x:row r="321" ht="36" customHeight="1">
      <x:c r="A321" s="19" t="str">
        <x:v>GRID05</x:v>
      </x:c>
      <x:c r="B321" s="19" t="str">
        <x:v>GRID05_report.md</x:v>
      </x:c>
      <x:c r="C321" s="19" t="str">
        <x:v>1. 冻结筛查与结果</x:v>
      </x:c>
      <x:c r="D321" s="19" t="str">
        <x:v>开发周=2035-01-29_4；新 NN20 结束步=462</x:v>
      </x:c>
      <x:c r="E321" s="19" t="str">
        <x:v>FALLBACK90 结束步</x:v>
      </x:c>
      <x:c r="F321" s="19" t="str">
        <x:v>1719</x:v>
      </x:c>
      <x:c r="G321" s="19" t="str">
        <x:v>其他/配置</x:v>
      </x:c>
      <x:c r="H321" s="19" t="str">
        <x:v>D:/Codex/GRL研究/outputs/grid05/GRID05_report.md</x:v>
      </x:c>
    </x:row>
    <x:row r="322" ht="36" customHeight="1">
      <x:c r="A322" s="19" t="str">
        <x:v>GRID05</x:v>
      </x:c>
      <x:c r="B322" s="19" t="str">
        <x:v>GRID05_report.md</x:v>
      </x:c>
      <x:c r="C322" s="19" t="str">
        <x:v>1. 冻结筛查与结果</x:v>
      </x:c>
      <x:c r="D322" s="19" t="str">
        <x:v>开发周=2035-01-29_4；新 NN20 结束步=462</x:v>
      </x:c>
      <x:c r="E322" s="19" t="str">
        <x:v>共同完整周成本降幅</x:v>
      </x:c>
      <x:c r="F322" s="19" t="str">
        <x:v>不比较（均提前结束）</x:v>
      </x:c>
      <x:c r="G322" s="19" t="str">
        <x:v>质量/成本</x:v>
      </x:c>
      <x:c r="H322" s="19" t="str">
        <x:v>D:/Codex/GRL研究/outputs/grid05/GRID05_report.md</x:v>
      </x:c>
    </x:row>
    <x:row r="323" ht="36" customHeight="1">
      <x:c r="A323" s="19" t="str">
        <x:v>GRID05</x:v>
      </x:c>
      <x:c r="B323" s="19" t="str">
        <x:v>GRID05_report.md</x:v>
      </x:c>
      <x:c r="C323" s="19" t="str">
        <x:v>1. 冻结筛查与结果</x:v>
      </x:c>
      <x:c r="D323" s="19" t="str">
        <x:v>开发周=2035-01-29_4；新 NN20 结束步=462</x:v>
      </x:c>
      <x:c r="E323" s="19" t="str">
        <x:v>扩展 / 触发检查</x:v>
      </x:c>
      <x:c r="F323" s="19" t="str">
        <x:v>17 / 26</x:v>
      </x:c>
      <x:c r="G323" s="19" t="str">
        <x:v>其他/配置</x:v>
      </x:c>
      <x:c r="H323" s="19" t="str">
        <x:v>D:/Codex/GRL研究/outputs/grid05/GRID05_report.md</x:v>
      </x:c>
    </x:row>
    <x:row r="324" ht="36" customHeight="1">
      <x:c r="A324" s="19" t="str">
        <x:v>GRID05</x:v>
      </x:c>
      <x:c r="B324" s="19" t="str">
        <x:v>GRID05_report.md</x:v>
      </x:c>
      <x:c r="C324" s="19" t="str">
        <x:v>1. 冻结筛查与结果</x:v>
      </x:c>
      <x:c r="D324" s="19" t="str">
        <x:v>开发周=2035-04-16_2；新 NN20 结束步=2017</x:v>
      </x:c>
      <x:c r="E324" s="19" t="str">
        <x:v>新 NN20 结束步</x:v>
      </x:c>
      <x:c r="F324" s="19" t="str">
        <x:v>2017</x:v>
      </x:c>
      <x:c r="G324" s="19" t="str">
        <x:v>其他/配置</x:v>
      </x:c>
      <x:c r="H324" s="19" t="str">
        <x:v>D:/Codex/GRL研究/outputs/grid05/GRID05_report.md</x:v>
      </x:c>
    </x:row>
    <x:row r="325" ht="36" customHeight="1">
      <x:c r="A325" s="19" t="str">
        <x:v>GRID05</x:v>
      </x:c>
      <x:c r="B325" s="19" t="str">
        <x:v>GRID05_report.md</x:v>
      </x:c>
      <x:c r="C325" s="19" t="str">
        <x:v>1. 冻结筛查与结果</x:v>
      </x:c>
      <x:c r="D325" s="19" t="str">
        <x:v>开发周=2035-04-16_2；新 NN20 结束步=2017</x:v>
      </x:c>
      <x:c r="E325" s="19" t="str">
        <x:v>FALLBACK90 结束步</x:v>
      </x:c>
      <x:c r="F325" s="19" t="str">
        <x:v>2017</x:v>
      </x:c>
      <x:c r="G325" s="19" t="str">
        <x:v>其他/配置</x:v>
      </x:c>
      <x:c r="H325" s="19" t="str">
        <x:v>D:/Codex/GRL研究/outputs/grid05/GRID05_report.md</x:v>
      </x:c>
    </x:row>
    <x:row r="326" ht="36" customHeight="1">
      <x:c r="A326" s="19" t="str">
        <x:v>GRID05</x:v>
      </x:c>
      <x:c r="B326" s="19" t="str">
        <x:v>GRID05_report.md</x:v>
      </x:c>
      <x:c r="C326" s="19" t="str">
        <x:v>1. 冻结筛查与结果</x:v>
      </x:c>
      <x:c r="D326" s="19" t="str">
        <x:v>开发周=2035-04-16_2；新 NN20 结束步=2017</x:v>
      </x:c>
      <x:c r="E326" s="19" t="str">
        <x:v>共同完整周成本降幅</x:v>
      </x:c>
      <x:c r="F326" s="19" t="str">
        <x:v>9.6978%</x:v>
      </x:c>
      <x:c r="G326" s="19" t="str">
        <x:v>质量/成本</x:v>
      </x:c>
      <x:c r="H326" s="19" t="str">
        <x:v>D:/Codex/GRL研究/outputs/grid05/GRID05_report.md</x:v>
      </x:c>
    </x:row>
    <x:row r="327" ht="36" customHeight="1">
      <x:c r="A327" s="19" t="str">
        <x:v>GRID05</x:v>
      </x:c>
      <x:c r="B327" s="19" t="str">
        <x:v>GRID05_report.md</x:v>
      </x:c>
      <x:c r="C327" s="19" t="str">
        <x:v>1. 冻结筛查与结果</x:v>
      </x:c>
      <x:c r="D327" s="19" t="str">
        <x:v>开发周=2035-04-16_2；新 NN20 结束步=2017</x:v>
      </x:c>
      <x:c r="E327" s="19" t="str">
        <x:v>扩展 / 触发检查</x:v>
      </x:c>
      <x:c r="F327" s="19" t="str">
        <x:v>8 / 12</x:v>
      </x:c>
      <x:c r="G327" s="19" t="str">
        <x:v>其他/配置</x:v>
      </x:c>
      <x:c r="H327" s="19" t="str">
        <x:v>D:/Codex/GRL研究/outputs/grid05/GRID05_report.md</x:v>
      </x:c>
    </x:row>
    <x:row r="328" ht="36" customHeight="1">
      <x:c r="A328" s="19" t="str">
        <x:v>GRID05</x:v>
      </x:c>
      <x:c r="B328" s="19" t="str">
        <x:v>GRID05_report.md</x:v>
      </x:c>
      <x:c r="C328" s="19" t="str">
        <x:v>1. 冻结筛查与结果</x:v>
      </x:c>
      <x:c r="D328" s="19" t="str">
        <x:v>开发周=2035-07-23_10；新 NN20 结束步=2017</x:v>
      </x:c>
      <x:c r="E328" s="19" t="str">
        <x:v>新 NN20 结束步</x:v>
      </x:c>
      <x:c r="F328" s="19" t="str">
        <x:v>2017</x:v>
      </x:c>
      <x:c r="G328" s="19" t="str">
        <x:v>其他/配置</x:v>
      </x:c>
      <x:c r="H328" s="19" t="str">
        <x:v>D:/Codex/GRL研究/outputs/grid05/GRID05_report.md</x:v>
      </x:c>
    </x:row>
    <x:row r="329" ht="36" customHeight="1">
      <x:c r="A329" s="19" t="str">
        <x:v>GRID05</x:v>
      </x:c>
      <x:c r="B329" s="19" t="str">
        <x:v>GRID05_report.md</x:v>
      </x:c>
      <x:c r="C329" s="19" t="str">
        <x:v>1. 冻结筛查与结果</x:v>
      </x:c>
      <x:c r="D329" s="19" t="str">
        <x:v>开发周=2035-07-23_10；新 NN20 结束步=2017</x:v>
      </x:c>
      <x:c r="E329" s="19" t="str">
        <x:v>FALLBACK90 结束步</x:v>
      </x:c>
      <x:c r="F329" s="19" t="str">
        <x:v>2017</x:v>
      </x:c>
      <x:c r="G329" s="19" t="str">
        <x:v>其他/配置</x:v>
      </x:c>
      <x:c r="H329" s="19" t="str">
        <x:v>D:/Codex/GRL研究/outputs/grid05/GRID05_report.md</x:v>
      </x:c>
    </x:row>
    <x:row r="330" ht="36" customHeight="1">
      <x:c r="A330" s="19" t="str">
        <x:v>GRID05</x:v>
      </x:c>
      <x:c r="B330" s="19" t="str">
        <x:v>GRID05_report.md</x:v>
      </x:c>
      <x:c r="C330" s="19" t="str">
        <x:v>1. 冻结筛查与结果</x:v>
      </x:c>
      <x:c r="D330" s="19" t="str">
        <x:v>开发周=2035-07-23_10；新 NN20 结束步=2017</x:v>
      </x:c>
      <x:c r="E330" s="19" t="str">
        <x:v>共同完整周成本降幅</x:v>
      </x:c>
      <x:c r="F330" s="19" t="str">
        <x:v>0.0000%</x:v>
      </x:c>
      <x:c r="G330" s="19" t="str">
        <x:v>质量/成本</x:v>
      </x:c>
      <x:c r="H330" s="19" t="str">
        <x:v>D:/Codex/GRL研究/outputs/grid05/GRID05_report.md</x:v>
      </x:c>
    </x:row>
    <x:row r="331" ht="36" customHeight="1">
      <x:c r="A331" s="19" t="str">
        <x:v>GRID05</x:v>
      </x:c>
      <x:c r="B331" s="19" t="str">
        <x:v>GRID05_report.md</x:v>
      </x:c>
      <x:c r="C331" s="19" t="str">
        <x:v>1. 冻结筛查与结果</x:v>
      </x:c>
      <x:c r="D331" s="19" t="str">
        <x:v>开发周=2035-07-23_10；新 NN20 结束步=2017</x:v>
      </x:c>
      <x:c r="E331" s="19" t="str">
        <x:v>扩展 / 触发检查</x:v>
      </x:c>
      <x:c r="F331" s="19" t="str">
        <x:v>0 / 2</x:v>
      </x:c>
      <x:c r="G331" s="19" t="str">
        <x:v>其他/配置</x:v>
      </x:c>
      <x:c r="H331" s="19" t="str">
        <x:v>D:/Codex/GRL研究/outputs/grid05/GRID05_report.md</x:v>
      </x:c>
    </x:row>
    <x:row r="332" ht="36" customHeight="1">
      <x:c r="A332" s="19" t="str">
        <x:v>GRID05</x:v>
      </x:c>
      <x:c r="B332" s="19" t="str">
        <x:v>GRID05_report.md</x:v>
      </x:c>
      <x:c r="C332" s="19" t="str">
        <x:v>1. 冻结筛查与结果</x:v>
      </x:c>
      <x:c r="D332" s="19" t="str">
        <x:v>开发周=2035-10-29_15；新 NN20 结束步=2017</x:v>
      </x:c>
      <x:c r="E332" s="19" t="str">
        <x:v>新 NN20 结束步</x:v>
      </x:c>
      <x:c r="F332" s="19" t="str">
        <x:v>2017</x:v>
      </x:c>
      <x:c r="G332" s="19" t="str">
        <x:v>其他/配置</x:v>
      </x:c>
      <x:c r="H332" s="19" t="str">
        <x:v>D:/Codex/GRL研究/outputs/grid05/GRID05_report.md</x:v>
      </x:c>
    </x:row>
    <x:row r="333" ht="36" customHeight="1">
      <x:c r="A333" s="19" t="str">
        <x:v>GRID05</x:v>
      </x:c>
      <x:c r="B333" s="19" t="str">
        <x:v>GRID05_report.md</x:v>
      </x:c>
      <x:c r="C333" s="19" t="str">
        <x:v>1. 冻结筛查与结果</x:v>
      </x:c>
      <x:c r="D333" s="19" t="str">
        <x:v>开发周=2035-10-29_15；新 NN20 结束步=2017</x:v>
      </x:c>
      <x:c r="E333" s="19" t="str">
        <x:v>FALLBACK90 结束步</x:v>
      </x:c>
      <x:c r="F333" s="19" t="str">
        <x:v>2017</x:v>
      </x:c>
      <x:c r="G333" s="19" t="str">
        <x:v>其他/配置</x:v>
      </x:c>
      <x:c r="H333" s="19" t="str">
        <x:v>D:/Codex/GRL研究/outputs/grid05/GRID05_report.md</x:v>
      </x:c>
    </x:row>
    <x:row r="334" ht="36" customHeight="1">
      <x:c r="A334" s="19" t="str">
        <x:v>GRID05</x:v>
      </x:c>
      <x:c r="B334" s="19" t="str">
        <x:v>GRID05_report.md</x:v>
      </x:c>
      <x:c r="C334" s="19" t="str">
        <x:v>1. 冻结筛查与结果</x:v>
      </x:c>
      <x:c r="D334" s="19" t="str">
        <x:v>开发周=2035-10-29_15；新 NN20 结束步=2017</x:v>
      </x:c>
      <x:c r="E334" s="19" t="str">
        <x:v>共同完整周成本降幅</x:v>
      </x:c>
      <x:c r="F334" s="19" t="str">
        <x:v>0.0000%</x:v>
      </x:c>
      <x:c r="G334" s="19" t="str">
        <x:v>质量/成本</x:v>
      </x:c>
      <x:c r="H334" s="19" t="str">
        <x:v>D:/Codex/GRL研究/outputs/grid05/GRID05_report.md</x:v>
      </x:c>
    </x:row>
    <x:row r="335" ht="36" customHeight="1">
      <x:c r="A335" s="19" t="str">
        <x:v>GRID05</x:v>
      </x:c>
      <x:c r="B335" s="19" t="str">
        <x:v>GRID05_report.md</x:v>
      </x:c>
      <x:c r="C335" s="19" t="str">
        <x:v>1. 冻结筛查与结果</x:v>
      </x:c>
      <x:c r="D335" s="19" t="str">
        <x:v>开发周=2035-10-29_15；新 NN20 结束步=2017</x:v>
      </x:c>
      <x:c r="E335" s="19" t="str">
        <x:v>扩展 / 触发检查</x:v>
      </x:c>
      <x:c r="F335" s="19" t="str">
        <x:v>6 / 10</x:v>
      </x:c>
      <x:c r="G335" s="19" t="str">
        <x:v>其他/配置</x:v>
      </x:c>
      <x:c r="H335" s="19" t="str">
        <x:v>D:/Codex/GRL研究/outputs/grid05/GRID05_report.md</x:v>
      </x:c>
    </x:row>
    <x:row r="336" ht="36" customHeight="1">
      <x:c r="A336" s="19" t="str">
        <x:v>GRID05</x:v>
      </x:c>
      <x:c r="B336" s="19" t="str">
        <x:v>GRID05_report.md</x:v>
      </x:c>
      <x:c r="C336" s="19" t="str">
        <x:v>2. 冻结筛查与结果</x:v>
      </x:c>
      <x:c r="D336" s="19" t="str">
        <x:v>开发周=2035-04-16_2；NN20 原始成本=5585047.532776</x:v>
      </x:c>
      <x:c r="E336" s="19" t="str">
        <x:v>NN20 原始成本</x:v>
      </x:c>
      <x:c r="F336" s="19" t="str">
        <x:v>5585047.532776</x:v>
      </x:c>
      <x:c r="G336" s="19" t="str">
        <x:v>质量/成本</x:v>
      </x:c>
      <x:c r="H336" s="19" t="str">
        <x:v>D:/Codex/GRL研究/outputs/grid05/GRID05_report.md</x:v>
      </x:c>
    </x:row>
    <x:row r="337" ht="36" customHeight="1">
      <x:c r="A337" s="19" t="str">
        <x:v>GRID05</x:v>
      </x:c>
      <x:c r="B337" s="19" t="str">
        <x:v>GRID05_report.md</x:v>
      </x:c>
      <x:c r="C337" s="19" t="str">
        <x:v>2. 冻结筛查与结果</x:v>
      </x:c>
      <x:c r="D337" s="19" t="str">
        <x:v>开发周=2035-04-16_2；NN20 原始成本=5585047.532776</x:v>
      </x:c>
      <x:c r="E337" s="19" t="str">
        <x:v>回退原始成本</x:v>
      </x:c>
      <x:c r="F337" s="19" t="str">
        <x:v>5043420.172424</x:v>
      </x:c>
      <x:c r="G337" s="19" t="str">
        <x:v>质量/成本</x:v>
      </x:c>
      <x:c r="H337" s="19" t="str">
        <x:v>D:/Codex/GRL研究/outputs/grid05/GRID05_report.md</x:v>
      </x:c>
    </x:row>
    <x:row r="338" ht="36" customHeight="1">
      <x:c r="A338" s="19" t="str">
        <x:v>GRID05</x:v>
      </x:c>
      <x:c r="B338" s="19" t="str">
        <x:v>GRID05_report.md</x:v>
      </x:c>
      <x:c r="C338" s="19" t="str">
        <x:v>2. 冻结筛查与结果</x:v>
      </x:c>
      <x:c r="D338" s="19" t="str">
        <x:v>开发周=2035-04-16_2；NN20 原始成本=5585047.532776</x:v>
      </x:c>
      <x:c r="E338" s="19" t="str">
        <x:v>历史 NN352 原始成本</x:v>
      </x:c>
      <x:c r="F338" s="19" t="str">
        <x:v>5043710.710999</x:v>
      </x:c>
      <x:c r="G338" s="19" t="str">
        <x:v>质量/成本</x:v>
      </x:c>
      <x:c r="H338" s="19" t="str">
        <x:v>D:/Codex/GRL研究/outputs/grid05/GRID05_report.md</x:v>
      </x:c>
    </x:row>
    <x:row r="339" ht="36" customHeight="1">
      <x:c r="A339" s="19" t="str">
        <x:v>GRID05</x:v>
      </x:c>
      <x:c r="B339" s="19" t="str">
        <x:v>GRID05_report.md</x:v>
      </x:c>
      <x:c r="C339" s="19" t="str">
        <x:v>2. 冻结筛查与结果</x:v>
      </x:c>
      <x:c r="D339" s="19" t="str">
        <x:v>开发周=2035-07-23_10；NN20 原始成本=1063420.932983</x:v>
      </x:c>
      <x:c r="E339" s="19" t="str">
        <x:v>NN20 原始成本</x:v>
      </x:c>
      <x:c r="F339" s="19" t="str">
        <x:v>1063420.932983</x:v>
      </x:c>
      <x:c r="G339" s="19" t="str">
        <x:v>质量/成本</x:v>
      </x:c>
      <x:c r="H339" s="19" t="str">
        <x:v>D:/Codex/GRL研究/outputs/grid05/GRID05_report.md</x:v>
      </x:c>
    </x:row>
    <x:row r="340" ht="36" customHeight="1">
      <x:c r="A340" s="19" t="str">
        <x:v>GRID05</x:v>
      </x:c>
      <x:c r="B340" s="19" t="str">
        <x:v>GRID05_report.md</x:v>
      </x:c>
      <x:c r="C340" s="19" t="str">
        <x:v>2. 冻结筛查与结果</x:v>
      </x:c>
      <x:c r="D340" s="19" t="str">
        <x:v>开发周=2035-07-23_10；NN20 原始成本=1063420.932983</x:v>
      </x:c>
      <x:c r="E340" s="19" t="str">
        <x:v>回退原始成本</x:v>
      </x:c>
      <x:c r="F340" s="19" t="str">
        <x:v>1063420.932983</x:v>
      </x:c>
      <x:c r="G340" s="19" t="str">
        <x:v>质量/成本</x:v>
      </x:c>
      <x:c r="H340" s="19" t="str">
        <x:v>D:/Codex/GRL研究/outputs/grid05/GRID05_report.md</x:v>
      </x:c>
    </x:row>
    <x:row r="341" ht="36" customHeight="1">
      <x:c r="A341" s="19" t="str">
        <x:v>GRID05</x:v>
      </x:c>
      <x:c r="B341" s="19" t="str">
        <x:v>GRID05_report.md</x:v>
      </x:c>
      <x:c r="C341" s="19" t="str">
        <x:v>2. 冻结筛查与结果</x:v>
      </x:c>
      <x:c r="D341" s="19" t="str">
        <x:v>开发周=2035-07-23_10；NN20 原始成本=1063420.932983</x:v>
      </x:c>
      <x:c r="E341" s="19" t="str">
        <x:v>历史 NN352 原始成本</x:v>
      </x:c>
      <x:c r="F341" s="19" t="str">
        <x:v>1063420.932983</x:v>
      </x:c>
      <x:c r="G341" s="19" t="str">
        <x:v>质量/成本</x:v>
      </x:c>
      <x:c r="H341" s="19" t="str">
        <x:v>D:/Codex/GRL研究/outputs/grid05/GRID05_report.md</x:v>
      </x:c>
    </x:row>
    <x:row r="342" ht="36" customHeight="1">
      <x:c r="A342" s="19" t="str">
        <x:v>GRID05</x:v>
      </x:c>
      <x:c r="B342" s="19" t="str">
        <x:v>GRID05_report.md</x:v>
      </x:c>
      <x:c r="C342" s="19" t="str">
        <x:v>2. 冻结筛查与结果</x:v>
      </x:c>
      <x:c r="D342" s="19" t="str">
        <x:v>开发周=2035-10-29_15；NN20 原始成本=6029519.708008</x:v>
      </x:c>
      <x:c r="E342" s="19" t="str">
        <x:v>NN20 原始成本</x:v>
      </x:c>
      <x:c r="F342" s="19" t="str">
        <x:v>6029519.708008</x:v>
      </x:c>
      <x:c r="G342" s="19" t="str">
        <x:v>质量/成本</x:v>
      </x:c>
      <x:c r="H342" s="19" t="str">
        <x:v>D:/Codex/GRL研究/outputs/grid05/GRID05_report.md</x:v>
      </x:c>
    </x:row>
    <x:row r="343" ht="36" customHeight="1">
      <x:c r="A343" s="19" t="str">
        <x:v>GRID05</x:v>
      </x:c>
      <x:c r="B343" s="19" t="str">
        <x:v>GRID05_report.md</x:v>
      </x:c>
      <x:c r="C343" s="19" t="str">
        <x:v>2. 冻结筛查与结果</x:v>
      </x:c>
      <x:c r="D343" s="19" t="str">
        <x:v>开发周=2035-10-29_15；NN20 原始成本=6029519.708008</x:v>
      </x:c>
      <x:c r="E343" s="19" t="str">
        <x:v>回退原始成本</x:v>
      </x:c>
      <x:c r="F343" s="19" t="str">
        <x:v>6029519.708008</x:v>
      </x:c>
      <x:c r="G343" s="19" t="str">
        <x:v>质量/成本</x:v>
      </x:c>
      <x:c r="H343" s="19" t="str">
        <x:v>D:/Codex/GRL研究/outputs/grid05/GRID05_report.md</x:v>
      </x:c>
    </x:row>
    <x:row r="344" ht="36" customHeight="1">
      <x:c r="A344" s="19" t="str">
        <x:v>GRID05</x:v>
      </x:c>
      <x:c r="B344" s="19" t="str">
        <x:v>GRID05_report.md</x:v>
      </x:c>
      <x:c r="C344" s="19" t="str">
        <x:v>2. 冻结筛查与结果</x:v>
      </x:c>
      <x:c r="D344" s="19" t="str">
        <x:v>开发周=2035-10-29_15；NN20 原始成本=6029519.708008</x:v>
      </x:c>
      <x:c r="E344" s="19" t="str">
        <x:v>历史 NN352 原始成本</x:v>
      </x:c>
      <x:c r="F344" s="19" t="str">
        <x:v>6029519.708008</x:v>
      </x:c>
      <x:c r="G344" s="19" t="str">
        <x:v>质量/成本</x:v>
      </x:c>
      <x:c r="H344" s="19" t="str">
        <x:v>D:/Codex/GRL研究/outputs/grid05/GRID05_report.md</x:v>
      </x:c>
    </x:row>
    <x:row r="345" ht="36" customHeight="1">
      <x:c r="A345" s="19" t="str">
        <x:v>GRID05</x:v>
      </x:c>
      <x:c r="B345" s="19" t="str">
        <x:v>GRID05_report.md</x:v>
      </x:c>
      <x:c r="C345" s="19" t="str">
        <x:v>3. 扩展、缓存与成本</x:v>
      </x:c>
      <x:c r="D345" s="19" t="str">
        <x:v>开发周=2035-01-29_4；NN20 总模拟数=944</x:v>
      </x:c>
      <x:c r="E345" s="19" t="str">
        <x:v>NN20 总模拟数</x:v>
      </x:c>
      <x:c r="F345" s="19" t="str">
        <x:v>944</x:v>
      </x:c>
      <x:c r="G345" s="19" t="str">
        <x:v>其他/配置</x:v>
      </x:c>
      <x:c r="H345" s="19" t="str">
        <x:v>D:/Codex/GRL研究/outputs/grid05/GRID05_report.md</x:v>
      </x:c>
    </x:row>
    <x:row r="346" ht="36" customHeight="1">
      <x:c r="A346" s="19" t="str">
        <x:v>GRID05</x:v>
      </x:c>
      <x:c r="B346" s="19" t="str">
        <x:v>GRID05_report.md</x:v>
      </x:c>
      <x:c r="C346" s="19" t="str">
        <x:v>3. 扩展、缓存与成本</x:v>
      </x:c>
      <x:c r="D346" s="19" t="str">
        <x:v>开发周=2035-01-29_4；NN20 总模拟数=944</x:v>
      </x:c>
      <x:c r="E346" s="19" t="str">
        <x:v>回退总模拟数</x:v>
      </x:c>
      <x:c r="F346" s="19" t="str">
        <x:v>15810</x:v>
      </x:c>
      <x:c r="G346" s="19" t="str">
        <x:v>其他/配置</x:v>
      </x:c>
      <x:c r="H346" s="19" t="str">
        <x:v>D:/Codex/GRL研究/outputs/grid05/GRID05_report.md</x:v>
      </x:c>
    </x:row>
    <x:row r="347" ht="36" customHeight="1">
      <x:c r="A347" s="19" t="str">
        <x:v>GRID05</x:v>
      </x:c>
      <x:c r="B347" s="19" t="str">
        <x:v>GRID05_report.md</x:v>
      </x:c>
      <x:c r="C347" s="19" t="str">
        <x:v>3. 扩展、缓存与成本</x:v>
      </x:c>
      <x:c r="D347" s="19" t="str">
        <x:v>开发周=2035-01-29_4；NN20 总模拟数=944</x:v>
      </x:c>
      <x:c r="E347" s="19" t="str">
        <x:v>历史 NN352 总模拟数</x:v>
      </x:c>
      <x:c r="F347" s="19" t="str">
        <x:v>18764</x:v>
      </x:c>
      <x:c r="G347" s="19" t="str">
        <x:v>其他/配置</x:v>
      </x:c>
      <x:c r="H347" s="19" t="str">
        <x:v>D:/Codex/GRL研究/outputs/grid05/GRID05_report.md</x:v>
      </x:c>
    </x:row>
    <x:row r="348" ht="36" customHeight="1">
      <x:c r="A348" s="19" t="str">
        <x:v>GRID05</x:v>
      </x:c>
      <x:c r="B348" s="19" t="str">
        <x:v>GRID05_report.md</x:v>
      </x:c>
      <x:c r="C348" s="19" t="str">
        <x:v>3. 扩展、缓存与成本</x:v>
      </x:c>
      <x:c r="D348" s="19" t="str">
        <x:v>开发周=2035-04-16_2；NN20 总模拟数=10183</x:v>
      </x:c>
      <x:c r="E348" s="19" t="str">
        <x:v>NN20 总模拟数</x:v>
      </x:c>
      <x:c r="F348" s="19" t="str">
        <x:v>10183</x:v>
      </x:c>
      <x:c r="G348" s="19" t="str">
        <x:v>其他/配置</x:v>
      </x:c>
      <x:c r="H348" s="19" t="str">
        <x:v>D:/Codex/GRL研究/outputs/grid05/GRID05_report.md</x:v>
      </x:c>
    </x:row>
    <x:row r="349" ht="36" customHeight="1">
      <x:c r="A349" s="19" t="str">
        <x:v>GRID05</x:v>
      </x:c>
      <x:c r="B349" s="19" t="str">
        <x:v>GRID05_report.md</x:v>
      </x:c>
      <x:c r="C349" s="19" t="str">
        <x:v>3. 扩展、缓存与成本</x:v>
      </x:c>
      <x:c r="D349" s="19" t="str">
        <x:v>开发周=2035-04-16_2；NN20 总模拟数=10183</x:v>
      </x:c>
      <x:c r="E349" s="19" t="str">
        <x:v>回退总模拟数</x:v>
      </x:c>
      <x:c r="F349" s="19" t="str">
        <x:v>13243</x:v>
      </x:c>
      <x:c r="G349" s="19" t="str">
        <x:v>其他/配置</x:v>
      </x:c>
      <x:c r="H349" s="19" t="str">
        <x:v>D:/Codex/GRL研究/outputs/grid05/GRID05_report.md</x:v>
      </x:c>
    </x:row>
    <x:row r="350" ht="36" customHeight="1">
      <x:c r="A350" s="19" t="str">
        <x:v>GRID05</x:v>
      </x:c>
      <x:c r="B350" s="19" t="str">
        <x:v>GRID05_report.md</x:v>
      </x:c>
      <x:c r="C350" s="19" t="str">
        <x:v>3. 扩展、缓存与成本</x:v>
      </x:c>
      <x:c r="D350" s="19" t="str">
        <x:v>开发周=2035-04-16_2；NN20 总模拟数=10183</x:v>
      </x:c>
      <x:c r="E350" s="19" t="str">
        <x:v>历史 NN352 总模拟数</x:v>
      </x:c>
      <x:c r="F350" s="19" t="str">
        <x:v>14571</x:v>
      </x:c>
      <x:c r="G350" s="19" t="str">
        <x:v>其他/配置</x:v>
      </x:c>
      <x:c r="H350" s="19" t="str">
        <x:v>D:/Codex/GRL研究/outputs/grid05/GRID05_report.md</x:v>
      </x:c>
    </x:row>
    <x:row r="351" ht="36" customHeight="1">
      <x:c r="A351" s="19" t="str">
        <x:v>GRID05</x:v>
      </x:c>
      <x:c r="B351" s="19" t="str">
        <x:v>GRID05_report.md</x:v>
      </x:c>
      <x:c r="C351" s="19" t="str">
        <x:v>3. 扩展、缓存与成本</x:v>
      </x:c>
      <x:c r="D351" s="19" t="str">
        <x:v>开发周=2035-07-23_10；NN20 总模拟数=7102</x:v>
      </x:c>
      <x:c r="E351" s="19" t="str">
        <x:v>NN20 总模拟数</x:v>
      </x:c>
      <x:c r="F351" s="19" t="str">
        <x:v>7102</x:v>
      </x:c>
      <x:c r="G351" s="19" t="str">
        <x:v>其他/配置</x:v>
      </x:c>
      <x:c r="H351" s="19" t="str">
        <x:v>D:/Codex/GRL研究/outputs/grid05/GRID05_report.md</x:v>
      </x:c>
    </x:row>
    <x:row r="352" ht="36" customHeight="1">
      <x:c r="A352" s="19" t="str">
        <x:v>GRID05</x:v>
      </x:c>
      <x:c r="B352" s="19" t="str">
        <x:v>GRID05_report.md</x:v>
      </x:c>
      <x:c r="C352" s="19" t="str">
        <x:v>3. 扩展、缓存与成本</x:v>
      </x:c>
      <x:c r="D352" s="19" t="str">
        <x:v>开发周=2035-07-23_10；NN20 总模拟数=7102</x:v>
      </x:c>
      <x:c r="E352" s="19" t="str">
        <x:v>回退总模拟数</x:v>
      </x:c>
      <x:c r="F352" s="19" t="str">
        <x:v>7102</x:v>
      </x:c>
      <x:c r="G352" s="19" t="str">
        <x:v>其他/配置</x:v>
      </x:c>
      <x:c r="H352" s="19" t="str">
        <x:v>D:/Codex/GRL研究/outputs/grid05/GRID05_report.md</x:v>
      </x:c>
    </x:row>
    <x:row r="353" ht="36" customHeight="1">
      <x:c r="A353" s="19" t="str">
        <x:v>GRID05</x:v>
      </x:c>
      <x:c r="B353" s="19" t="str">
        <x:v>GRID05_report.md</x:v>
      </x:c>
      <x:c r="C353" s="19" t="str">
        <x:v>3. 扩展、缓存与成本</x:v>
      </x:c>
      <x:c r="D353" s="19" t="str">
        <x:v>开发周=2035-07-23_10；NN20 总模拟数=7102</x:v>
      </x:c>
      <x:c r="E353" s="19" t="str">
        <x:v>历史 NN352 总模拟数</x:v>
      </x:c>
      <x:c r="F353" s="19" t="str">
        <x:v>7766</x:v>
      </x:c>
      <x:c r="G353" s="19" t="str">
        <x:v>其他/配置</x:v>
      </x:c>
      <x:c r="H353" s="19" t="str">
        <x:v>D:/Codex/GRL研究/outputs/grid05/GRID05_report.md</x:v>
      </x:c>
    </x:row>
    <x:row r="354" ht="36" customHeight="1">
      <x:c r="A354" s="19" t="str">
        <x:v>GRID05</x:v>
      </x:c>
      <x:c r="B354" s="19" t="str">
        <x:v>GRID05_report.md</x:v>
      </x:c>
      <x:c r="C354" s="19" t="str">
        <x:v>3. 扩展、缓存与成本</x:v>
      </x:c>
      <x:c r="D354" s="19" t="str">
        <x:v>开发周=2035-10-29_15；NN20 总模拟数=12031</x:v>
      </x:c>
      <x:c r="E354" s="19" t="str">
        <x:v>NN20 总模拟数</x:v>
      </x:c>
      <x:c r="F354" s="19" t="str">
        <x:v>12031</x:v>
      </x:c>
      <x:c r="G354" s="19" t="str">
        <x:v>其他/配置</x:v>
      </x:c>
      <x:c r="H354" s="19" t="str">
        <x:v>D:/Codex/GRL研究/outputs/grid05/GRID05_report.md</x:v>
      </x:c>
    </x:row>
    <x:row r="355" ht="36" customHeight="1">
      <x:c r="A355" s="19" t="str">
        <x:v>GRID05</x:v>
      </x:c>
      <x:c r="B355" s="19" t="str">
        <x:v>GRID05_report.md</x:v>
      </x:c>
      <x:c r="C355" s="19" t="str">
        <x:v>3. 扩展、缓存与成本</x:v>
      </x:c>
      <x:c r="D355" s="19" t="str">
        <x:v>开发周=2035-10-29_15；NN20 总模拟数=12031</x:v>
      </x:c>
      <x:c r="E355" s="19" t="str">
        <x:v>回退总模拟数</x:v>
      </x:c>
      <x:c r="F355" s="19" t="str">
        <x:v>14023</x:v>
      </x:c>
      <x:c r="G355" s="19" t="str">
        <x:v>其他/配置</x:v>
      </x:c>
      <x:c r="H355" s="19" t="str">
        <x:v>D:/Codex/GRL研究/outputs/grid05/GRID05_report.md</x:v>
      </x:c>
    </x:row>
    <x:row r="356" ht="36" customHeight="1">
      <x:c r="A356" s="19" t="str">
        <x:v>GRID05</x:v>
      </x:c>
      <x:c r="B356" s="19" t="str">
        <x:v>GRID05_report.md</x:v>
      </x:c>
      <x:c r="C356" s="19" t="str">
        <x:v>3. 扩展、缓存与成本</x:v>
      </x:c>
      <x:c r="D356" s="19" t="str">
        <x:v>开发周=2035-10-29_15；NN20 总模拟数=12031</x:v>
      </x:c>
      <x:c r="E356" s="19" t="str">
        <x:v>历史 NN352 总模拟数</x:v>
      </x:c>
      <x:c r="F356" s="19" t="str">
        <x:v>15351</x:v>
      </x:c>
      <x:c r="G356" s="19" t="str">
        <x:v>其他/配置</x:v>
      </x:c>
      <x:c r="H356" s="19" t="str">
        <x:v>D:/Codex/GRL研究/outputs/grid05/GRID05_report.md</x:v>
      </x:c>
    </x:row>
    <x:row r="357" ht="36" customHeight="1">
      <x:c r="A357" s="19" t="str">
        <x:v>GRID05</x:v>
      </x:c>
      <x:c r="B357" s="19" t="str">
        <x:v>GRID05_report.md</x:v>
      </x:c>
      <x:c r="C357" s="19" t="str">
        <x:v>4. 扩展、缓存与成本</x:v>
      </x:c>
      <x:c r="D357" s="19" t="str">
        <x:v>开发周=2035-01-29_4；相同决策前状态前缀步数=225</x:v>
      </x:c>
      <x:c r="E357" s="19" t="str">
        <x:v>相同决策前状态前缀步数</x:v>
      </x:c>
      <x:c r="F357" s="19" t="str">
        <x:v>225</x:v>
      </x:c>
      <x:c r="G357" s="19" t="str">
        <x:v>质量/成本</x:v>
      </x:c>
      <x:c r="H357" s="19" t="str">
        <x:v>D:/Codex/GRL研究/outputs/grid05/GRID05_report.md</x:v>
      </x:c>
    </x:row>
    <x:row r="358" ht="36" customHeight="1">
      <x:c r="A358" s="19" t="str">
        <x:v>GRID05</x:v>
      </x:c>
      <x:c r="B358" s="19" t="str">
        <x:v>GRID05_report.md</x:v>
      </x:c>
      <x:c r="C358" s="19" t="str">
        <x:v>4. 扩展、缓存与成本</x:v>
      </x:c>
      <x:c r="D358" s="19" t="str">
        <x:v>开发周=2035-01-29_4；相同决策前状态前缀步数=225</x:v>
      </x:c>
      <x:c r="E358" s="19" t="str">
        <x:v>NN20 模拟数 / 动作秒</x:v>
      </x:c>
      <x:c r="F358" s="19" t="str">
        <x:v>507 / 14.419674</x:v>
      </x:c>
      <x:c r="G358" s="19" t="str">
        <x:v>速度/计算</x:v>
      </x:c>
      <x:c r="H358" s="19" t="str">
        <x:v>D:/Codex/GRL研究/outputs/grid05/GRID05_report.md</x:v>
      </x:c>
    </x:row>
    <x:row r="359" ht="36" customHeight="1">
      <x:c r="A359" s="19" t="str">
        <x:v>GRID05</x:v>
      </x:c>
      <x:c r="B359" s="19" t="str">
        <x:v>GRID05_report.md</x:v>
      </x:c>
      <x:c r="C359" s="19" t="str">
        <x:v>4. 扩展、缓存与成本</x:v>
      </x:c>
      <x:c r="D359" s="19" t="str">
        <x:v>开发周=2035-01-29_4；相同决策前状态前缀步数=225</x:v>
      </x:c>
      <x:c r="E359" s="19" t="str">
        <x:v>回退模拟数 / 动作秒</x:v>
      </x:c>
      <x:c r="F359" s="19" t="str">
        <x:v>2831 / 22.351663</x:v>
      </x:c>
      <x:c r="G359" s="19" t="str">
        <x:v>速度/计算</x:v>
      </x:c>
      <x:c r="H359" s="19" t="str">
        <x:v>D:/Codex/GRL研究/outputs/grid05/GRID05_report.md</x:v>
      </x:c>
    </x:row>
    <x:row r="360" ht="36" customHeight="1">
      <x:c r="A360" s="19" t="str">
        <x:v>GRID05</x:v>
      </x:c>
      <x:c r="B360" s="19" t="str">
        <x:v>GRID05_report.md</x:v>
      </x:c>
      <x:c r="C360" s="19" t="str">
        <x:v>4. 扩展、缓存与成本</x:v>
      </x:c>
      <x:c r="D360" s="19" t="str">
        <x:v>开发周=2035-04-16_2；相同决策前状态前缀步数=1271</x:v>
      </x:c>
      <x:c r="E360" s="19" t="str">
        <x:v>相同决策前状态前缀步数</x:v>
      </x:c>
      <x:c r="F360" s="19" t="str">
        <x:v>1271</x:v>
      </x:c>
      <x:c r="G360" s="19" t="str">
        <x:v>质量/成本</x:v>
      </x:c>
      <x:c r="H360" s="19" t="str">
        <x:v>D:/Codex/GRL研究/outputs/grid05/GRID05_report.md</x:v>
      </x:c>
    </x:row>
    <x:row r="361" ht="36" customHeight="1">
      <x:c r="A361" s="19" t="str">
        <x:v>GRID05</x:v>
      </x:c>
      <x:c r="B361" s="19" t="str">
        <x:v>GRID05_report.md</x:v>
      </x:c>
      <x:c r="C361" s="19" t="str">
        <x:v>4. 扩展、缓存与成本</x:v>
      </x:c>
      <x:c r="D361" s="19" t="str">
        <x:v>开发周=2035-04-16_2；相同决策前状态前缀步数=1271</x:v>
      </x:c>
      <x:c r="E361" s="19" t="str">
        <x:v>NN20 模拟数 / 动作秒</x:v>
      </x:c>
      <x:c r="F361" s="19" t="str">
        <x:v>7361 / 38.782473</x:v>
      </x:c>
      <x:c r="G361" s="19" t="str">
        <x:v>速度/计算</x:v>
      </x:c>
      <x:c r="H361" s="19" t="str">
        <x:v>D:/Codex/GRL研究/outputs/grid05/GRID05_report.md</x:v>
      </x:c>
    </x:row>
    <x:row r="362" ht="36" customHeight="1">
      <x:c r="A362" s="19" t="str">
        <x:v>GRID05</x:v>
      </x:c>
      <x:c r="B362" s="19" t="str">
        <x:v>GRID05_report.md</x:v>
      </x:c>
      <x:c r="C362" s="19" t="str">
        <x:v>4. 扩展、缓存与成本</x:v>
      </x:c>
      <x:c r="D362" s="19" t="str">
        <x:v>开发周=2035-04-16_2；相同决策前状态前缀步数=1271</x:v>
      </x:c>
      <x:c r="E362" s="19" t="str">
        <x:v>回退模拟数 / 动作秒</x:v>
      </x:c>
      <x:c r="F362" s="19" t="str">
        <x:v>8689 / 46.363319</x:v>
      </x:c>
      <x:c r="G362" s="19" t="str">
        <x:v>速度/计算</x:v>
      </x:c>
      <x:c r="H362" s="19" t="str">
        <x:v>D:/Codex/GRL研究/outputs/grid05/GRID05_report.md</x:v>
      </x:c>
    </x:row>
    <x:row r="363" ht="36" customHeight="1">
      <x:c r="A363" s="19" t="str">
        <x:v>GRID05</x:v>
      </x:c>
      <x:c r="B363" s="19" t="str">
        <x:v>GRID05_report.md</x:v>
      </x:c>
      <x:c r="C363" s="19" t="str">
        <x:v>4. 扩展、缓存与成本</x:v>
      </x:c>
      <x:c r="D363" s="19" t="str">
        <x:v>开发周=2035-07-23_10；相同决策前状态前缀步数=2017</x:v>
      </x:c>
      <x:c r="E363" s="19" t="str">
        <x:v>相同决策前状态前缀步数</x:v>
      </x:c>
      <x:c r="F363" s="19" t="str">
        <x:v>2017</x:v>
      </x:c>
      <x:c r="G363" s="19" t="str">
        <x:v>质量/成本</x:v>
      </x:c>
      <x:c r="H363" s="19" t="str">
        <x:v>D:/Codex/GRL研究/outputs/grid05/GRID05_report.md</x:v>
      </x:c>
    </x:row>
    <x:row r="364" ht="36" customHeight="1">
      <x:c r="A364" s="19" t="str">
        <x:v>GRID05</x:v>
      </x:c>
      <x:c r="B364" s="19" t="str">
        <x:v>GRID05_report.md</x:v>
      </x:c>
      <x:c r="C364" s="19" t="str">
        <x:v>4. 扩展、缓存与成本</x:v>
      </x:c>
      <x:c r="D364" s="19" t="str">
        <x:v>开发周=2035-07-23_10；相同决策前状态前缀步数=2017</x:v>
      </x:c>
      <x:c r="E364" s="19" t="str">
        <x:v>NN20 模拟数 / 动作秒</x:v>
      </x:c>
      <x:c r="F364" s="19" t="str">
        <x:v>7102 / 19.213906</x:v>
      </x:c>
      <x:c r="G364" s="19" t="str">
        <x:v>速度/计算</x:v>
      </x:c>
      <x:c r="H364" s="19" t="str">
        <x:v>D:/Codex/GRL研究/outputs/grid05/GRID05_report.md</x:v>
      </x:c>
    </x:row>
    <x:row r="365" ht="36" customHeight="1">
      <x:c r="A365" s="19" t="str">
        <x:v>GRID05</x:v>
      </x:c>
      <x:c r="B365" s="19" t="str">
        <x:v>GRID05_report.md</x:v>
      </x:c>
      <x:c r="C365" s="19" t="str">
        <x:v>4. 扩展、缓存与成本</x:v>
      </x:c>
      <x:c r="D365" s="19" t="str">
        <x:v>开发周=2035-07-23_10；相同决策前状态前缀步数=2017</x:v>
      </x:c>
      <x:c r="E365" s="19" t="str">
        <x:v>回退模拟数 / 动作秒</x:v>
      </x:c>
      <x:c r="F365" s="19" t="str">
        <x:v>7102 / 19.146619</x:v>
      </x:c>
      <x:c r="G365" s="19" t="str">
        <x:v>速度/计算</x:v>
      </x:c>
      <x:c r="H365" s="19" t="str">
        <x:v>D:/Codex/GRL研究/outputs/grid05/GRID05_report.md</x:v>
      </x:c>
    </x:row>
    <x:row r="366" ht="36" customHeight="1">
      <x:c r="A366" s="19" t="str">
        <x:v>GRID05</x:v>
      </x:c>
      <x:c r="B366" s="19" t="str">
        <x:v>GRID05_report.md</x:v>
      </x:c>
      <x:c r="C366" s="19" t="str">
        <x:v>4. 扩展、缓存与成本</x:v>
      </x:c>
      <x:c r="D366" s="19" t="str">
        <x:v>开发周=2035-10-29_15；相同决策前状态前缀步数=2017</x:v>
      </x:c>
      <x:c r="E366" s="19" t="str">
        <x:v>相同决策前状态前缀步数</x:v>
      </x:c>
      <x:c r="F366" s="19" t="str">
        <x:v>2017</x:v>
      </x:c>
      <x:c r="G366" s="19" t="str">
        <x:v>质量/成本</x:v>
      </x:c>
      <x:c r="H366" s="19" t="str">
        <x:v>D:/Codex/GRL研究/outputs/grid05/GRID05_report.md</x:v>
      </x:c>
    </x:row>
    <x:row r="367" ht="36" customHeight="1">
      <x:c r="A367" s="19" t="str">
        <x:v>GRID05</x:v>
      </x:c>
      <x:c r="B367" s="19" t="str">
        <x:v>GRID05_report.md</x:v>
      </x:c>
      <x:c r="C367" s="19" t="str">
        <x:v>4. 扩展、缓存与成本</x:v>
      </x:c>
      <x:c r="D367" s="19" t="str">
        <x:v>开发周=2035-10-29_15；相同决策前状态前缀步数=2017</x:v>
      </x:c>
      <x:c r="E367" s="19" t="str">
        <x:v>NN20 模拟数 / 动作秒</x:v>
      </x:c>
      <x:c r="F367" s="19" t="str">
        <x:v>12031 / 60.021099</x:v>
      </x:c>
      <x:c r="G367" s="19" t="str">
        <x:v>速度/计算</x:v>
      </x:c>
      <x:c r="H367" s="19" t="str">
        <x:v>D:/Codex/GRL研究/outputs/grid05/GRID05_report.md</x:v>
      </x:c>
    </x:row>
    <x:row r="368" ht="36" customHeight="1">
      <x:c r="A368" s="19" t="str">
        <x:v>GRID05</x:v>
      </x:c>
      <x:c r="B368" s="19" t="str">
        <x:v>GRID05_report.md</x:v>
      </x:c>
      <x:c r="C368" s="19" t="str">
        <x:v>4. 扩展、缓存与成本</x:v>
      </x:c>
      <x:c r="D368" s="19" t="str">
        <x:v>开发周=2035-10-29_15；相同决策前状态前缀步数=2017</x:v>
      </x:c>
      <x:c r="E368" s="19" t="str">
        <x:v>回退模拟数 / 动作秒</x:v>
      </x:c>
      <x:c r="F368" s="19" t="str">
        <x:v>14023 / 65.797891</x:v>
      </x:c>
      <x:c r="G368" s="19" t="str">
        <x:v>速度/计算</x:v>
      </x:c>
      <x:c r="H368" s="19" t="str">
        <x:v>D:/Codex/GRL研究/outputs/grid05/GRID05_report.md</x:v>
      </x:c>
    </x:row>
    <x:row r="369" ht="36" customHeight="1">
      <x:c r="A369" s="19" t="str">
        <x:v>GRID06</x:v>
      </x:c>
      <x:c r="B369" s="19" t="str">
        <x:v>GRID06_report.md</x:v>
      </x:c>
      <x:c r="C369" s="19" t="str">
        <x:v>1. 已核验结果与缺失</x:v>
      </x:c>
      <x:c r="D369" s="19" t="str">
        <x:v>验证周=2035-01-08_5；NN20结束步=2017</x:v>
      </x:c>
      <x:c r="E369" s="19" t="str">
        <x:v>NN20结束步</x:v>
      </x:c>
      <x:c r="F369" s="19" t="str">
        <x:v>2017</x:v>
      </x:c>
      <x:c r="G369" s="19" t="str">
        <x:v>其他/配置</x:v>
      </x:c>
      <x:c r="H369" s="19" t="str">
        <x:v>D:/Codex/GRL研究/outputs/grid06/GRID06_report.md</x:v>
      </x:c>
    </x:row>
    <x:row r="370" ht="36" customHeight="1">
      <x:c r="A370" s="19" t="str">
        <x:v>GRID06</x:v>
      </x:c>
      <x:c r="B370" s="19" t="str">
        <x:v>GRID06_report.md</x:v>
      </x:c>
      <x:c r="C370" s="19" t="str">
        <x:v>1. 已核验结果与缺失</x:v>
      </x:c>
      <x:c r="D370" s="19" t="str">
        <x:v>验证周=2035-01-08_5；NN20结束步=2017</x:v>
      </x:c>
      <x:c r="E370" s="19" t="str">
        <x:v>回退结束步</x:v>
      </x:c>
      <x:c r="F370" s="19" t="str">
        <x:v>2017</x:v>
      </x:c>
      <x:c r="G370" s="19" t="str">
        <x:v>其他/配置</x:v>
      </x:c>
      <x:c r="H370" s="19" t="str">
        <x:v>D:/Codex/GRL研究/outputs/grid06/GRID06_report.md</x:v>
      </x:c>
    </x:row>
    <x:row r="371" ht="36" customHeight="1">
      <x:c r="A371" s="19" t="str">
        <x:v>GRID06</x:v>
      </x:c>
      <x:c r="B371" s="19" t="str">
        <x:v>GRID06_report.md</x:v>
      </x:c>
      <x:c r="C371" s="19" t="str">
        <x:v>1. 已核验结果与缺失</x:v>
      </x:c>
      <x:c r="D371" s="19" t="str">
        <x:v>验证周=2035-01-08_5；NN20结束步=2017</x:v>
      </x:c>
      <x:c r="E371" s="19" t="str">
        <x:v>NN352结束步</x:v>
      </x:c>
      <x:c r="F371" s="19" t="str">
        <x:v>2017</x:v>
      </x:c>
      <x:c r="G371" s="19" t="str">
        <x:v>其他/配置</x:v>
      </x:c>
      <x:c r="H371" s="19" t="str">
        <x:v>D:/Codex/GRL研究/outputs/grid06/GRID06_report.md</x:v>
      </x:c>
    </x:row>
    <x:row r="372" ht="36" customHeight="1">
      <x:c r="A372" s="19" t="str">
        <x:v>GRID06</x:v>
      </x:c>
      <x:c r="B372" s="19" t="str">
        <x:v>GRID06_report.md</x:v>
      </x:c>
      <x:c r="C372" s="19" t="str">
        <x:v>1. 已核验结果与缺失</x:v>
      </x:c>
      <x:c r="D372" s="19" t="str">
        <x:v>验证周=2035-01-08_5；NN20结束步=2017</x:v>
      </x:c>
      <x:c r="E372" s="19" t="str">
        <x:v>回退相对NN20成本降幅</x:v>
      </x:c>
      <x:c r="F372" s="19" t="str">
        <x:v>-25.4377%</x:v>
      </x:c>
      <x:c r="G372" s="19" t="str">
        <x:v>质量/成本</x:v>
      </x:c>
      <x:c r="H372" s="19" t="str">
        <x:v>D:/Codex/GRL研究/outputs/grid06/GRID06_report.md</x:v>
      </x:c>
    </x:row>
    <x:row r="373" ht="36" customHeight="1">
      <x:c r="A373" s="19" t="str">
        <x:v>GRID06</x:v>
      </x:c>
      <x:c r="B373" s="19" t="str">
        <x:v>GRID06_report.md</x:v>
      </x:c>
      <x:c r="C373" s="19" t="str">
        <x:v>1. 已核验结果与缺失</x:v>
      </x:c>
      <x:c r="D373" s="19" t="str">
        <x:v>验证周=2035-04-30_12；NN20结束步=176</x:v>
      </x:c>
      <x:c r="E373" s="19" t="str">
        <x:v>NN20结束步</x:v>
      </x:c>
      <x:c r="F373" s="19" t="str">
        <x:v>176</x:v>
      </x:c>
      <x:c r="G373" s="19" t="str">
        <x:v>其他/配置</x:v>
      </x:c>
      <x:c r="H373" s="19" t="str">
        <x:v>D:/Codex/GRL研究/outputs/grid06/GRID06_report.md</x:v>
      </x:c>
    </x:row>
    <x:row r="374" ht="36" customHeight="1">
      <x:c r="A374" s="19" t="str">
        <x:v>GRID06</x:v>
      </x:c>
      <x:c r="B374" s="19" t="str">
        <x:v>GRID06_report.md</x:v>
      </x:c>
      <x:c r="C374" s="19" t="str">
        <x:v>1. 已核验结果与缺失</x:v>
      </x:c>
      <x:c r="D374" s="19" t="str">
        <x:v>验证周=2035-04-30_12；NN20结束步=176</x:v>
      </x:c>
      <x:c r="E374" s="19" t="str">
        <x:v>回退结束步</x:v>
      </x:c>
      <x:c r="F374" s="19" t="str">
        <x:v>176</x:v>
      </x:c>
      <x:c r="G374" s="19" t="str">
        <x:v>其他/配置</x:v>
      </x:c>
      <x:c r="H374" s="19" t="str">
        <x:v>D:/Codex/GRL研究/outputs/grid06/GRID06_report.md</x:v>
      </x:c>
    </x:row>
    <x:row r="375" ht="36" customHeight="1">
      <x:c r="A375" s="19" t="str">
        <x:v>GRID06</x:v>
      </x:c>
      <x:c r="B375" s="19" t="str">
        <x:v>GRID06_report.md</x:v>
      </x:c>
      <x:c r="C375" s="19" t="str">
        <x:v>1. 已核验结果与缺失</x:v>
      </x:c>
      <x:c r="D375" s="19" t="str">
        <x:v>验证周=2035-04-30_12；NN20结束步=176</x:v>
      </x:c>
      <x:c r="E375" s="19" t="str">
        <x:v>NN352结束步</x:v>
      </x:c>
      <x:c r="F375" s="19" t="str">
        <x:v>176</x:v>
      </x:c>
      <x:c r="G375" s="19" t="str">
        <x:v>其他/配置</x:v>
      </x:c>
      <x:c r="H375" s="19" t="str">
        <x:v>D:/Codex/GRL研究/outputs/grid06/GRID06_report.md</x:v>
      </x:c>
    </x:row>
    <x:row r="376" ht="36" customHeight="1">
      <x:c r="A376" s="19" t="str">
        <x:v>GRID06</x:v>
      </x:c>
      <x:c r="B376" s="19" t="str">
        <x:v>GRID06_report.md</x:v>
      </x:c>
      <x:c r="C376" s="19" t="str">
        <x:v>1. 已核验结果与缺失</x:v>
      </x:c>
      <x:c r="D376" s="19" t="str">
        <x:v>验证周=2035-04-30_12；NN20结束步=176</x:v>
      </x:c>
      <x:c r="E376" s="19" t="str">
        <x:v>回退相对NN20成本降幅</x:v>
      </x:c>
      <x:c r="F376" s="19" t="str">
        <x:v>不比较：未共同完成</x:v>
      </x:c>
      <x:c r="G376" s="19" t="str">
        <x:v>质量/成本</x:v>
      </x:c>
      <x:c r="H376" s="19" t="str">
        <x:v>D:/Codex/GRL研究/outputs/grid06/GRID06_report.md</x:v>
      </x:c>
    </x:row>
    <x:row r="377" ht="36" customHeight="1">
      <x:c r="A377" s="19" t="str">
        <x:v>GRID06</x:v>
      </x:c>
      <x:c r="B377" s="19" t="str">
        <x:v>GRID06_report.md</x:v>
      </x:c>
      <x:c r="C377" s="19" t="str">
        <x:v>1. 已核验结果与缺失</x:v>
      </x:c>
      <x:c r="D377" s="19" t="str">
        <x:v>验证周=2035-07-16_5；NN20结束步=2017</x:v>
      </x:c>
      <x:c r="E377" s="19" t="str">
        <x:v>NN20结束步</x:v>
      </x:c>
      <x:c r="F377" s="19" t="str">
        <x:v>2017</x:v>
      </x:c>
      <x:c r="G377" s="19" t="str">
        <x:v>其他/配置</x:v>
      </x:c>
      <x:c r="H377" s="19" t="str">
        <x:v>D:/Codex/GRL研究/outputs/grid06/GRID06_report.md</x:v>
      </x:c>
    </x:row>
    <x:row r="378" ht="36" customHeight="1">
      <x:c r="A378" s="19" t="str">
        <x:v>GRID06</x:v>
      </x:c>
      <x:c r="B378" s="19" t="str">
        <x:v>GRID06_report.md</x:v>
      </x:c>
      <x:c r="C378" s="19" t="str">
        <x:v>1. 已核验结果与缺失</x:v>
      </x:c>
      <x:c r="D378" s="19" t="str">
        <x:v>验证周=2035-07-16_5；NN20结束步=2017</x:v>
      </x:c>
      <x:c r="E378" s="19" t="str">
        <x:v>回退结束步</x:v>
      </x:c>
      <x:c r="F378" s="19" t="str">
        <x:v>2017</x:v>
      </x:c>
      <x:c r="G378" s="19" t="str">
        <x:v>其他/配置</x:v>
      </x:c>
      <x:c r="H378" s="19" t="str">
        <x:v>D:/Codex/GRL研究/outputs/grid06/GRID06_report.md</x:v>
      </x:c>
    </x:row>
    <x:row r="379" ht="36" customHeight="1">
      <x:c r="A379" s="19" t="str">
        <x:v>GRID06</x:v>
      </x:c>
      <x:c r="B379" s="19" t="str">
        <x:v>GRID06_report.md</x:v>
      </x:c>
      <x:c r="C379" s="19" t="str">
        <x:v>1. 已核验结果与缺失</x:v>
      </x:c>
      <x:c r="D379" s="19" t="str">
        <x:v>验证周=2035-07-16_5；NN20结束步=2017</x:v>
      </x:c>
      <x:c r="E379" s="19" t="str">
        <x:v>NN352结束步</x:v>
      </x:c>
      <x:c r="F379" s="19" t="str">
        <x:v>2017</x:v>
      </x:c>
      <x:c r="G379" s="19" t="str">
        <x:v>其他/配置</x:v>
      </x:c>
      <x:c r="H379" s="19" t="str">
        <x:v>D:/Codex/GRL研究/outputs/grid06/GRID06_report.md</x:v>
      </x:c>
    </x:row>
    <x:row r="380" ht="36" customHeight="1">
      <x:c r="A380" s="19" t="str">
        <x:v>GRID06</x:v>
      </x:c>
      <x:c r="B380" s="19" t="str">
        <x:v>GRID06_report.md</x:v>
      </x:c>
      <x:c r="C380" s="19" t="str">
        <x:v>1. 已核验结果与缺失</x:v>
      </x:c>
      <x:c r="D380" s="19" t="str">
        <x:v>验证周=2035-07-16_5；NN20结束步=2017</x:v>
      </x:c>
      <x:c r="E380" s="19" t="str">
        <x:v>回退相对NN20成本降幅</x:v>
      </x:c>
      <x:c r="F380" s="19" t="str">
        <x:v>+0.0000%</x:v>
      </x:c>
      <x:c r="G380" s="19" t="str">
        <x:v>质量/成本</x:v>
      </x:c>
      <x:c r="H380" s="19" t="str">
        <x:v>D:/Codex/GRL研究/outputs/grid06/GRID06_report.md</x:v>
      </x:c>
    </x:row>
    <x:row r="381" ht="36" customHeight="1">
      <x:c r="A381" s="19" t="str">
        <x:v>GRID06</x:v>
      </x:c>
      <x:c r="B381" s="19" t="str">
        <x:v>GRID06_report.md</x:v>
      </x:c>
      <x:c r="C381" s="19" t="str">
        <x:v>1. 已核验结果与缺失</x:v>
      </x:c>
      <x:c r="D381" s="19" t="str">
        <x:v>验证周=2035-10-01_5；NN20结束步=未启动</x:v>
      </x:c>
      <x:c r="E381" s="19" t="str">
        <x:v>NN20结束步</x:v>
      </x:c>
      <x:c r="F381" s="19" t="str">
        <x:v>未启动</x:v>
      </x:c>
      <x:c r="G381" s="19" t="str">
        <x:v>其他/配置</x:v>
      </x:c>
      <x:c r="H381" s="19" t="str">
        <x:v>D:/Codex/GRL研究/outputs/grid06/GRID06_report.md</x:v>
      </x:c>
    </x:row>
    <x:row r="382" ht="36" customHeight="1">
      <x:c r="A382" s="19" t="str">
        <x:v>GRID06</x:v>
      </x:c>
      <x:c r="B382" s="19" t="str">
        <x:v>GRID06_report.md</x:v>
      </x:c>
      <x:c r="C382" s="19" t="str">
        <x:v>1. 已核验结果与缺失</x:v>
      </x:c>
      <x:c r="D382" s="19" t="str">
        <x:v>验证周=2035-10-01_5；NN20结束步=未启动</x:v>
      </x:c>
      <x:c r="E382" s="19" t="str">
        <x:v>回退结束步</x:v>
      </x:c>
      <x:c r="F382" s="19" t="str">
        <x:v>未启动</x:v>
      </x:c>
      <x:c r="G382" s="19" t="str">
        <x:v>其他/配置</x:v>
      </x:c>
      <x:c r="H382" s="19" t="str">
        <x:v>D:/Codex/GRL研究/outputs/grid06/GRID06_report.md</x:v>
      </x:c>
    </x:row>
    <x:row r="383" ht="36" customHeight="1">
      <x:c r="A383" s="19" t="str">
        <x:v>GRID06</x:v>
      </x:c>
      <x:c r="B383" s="19" t="str">
        <x:v>GRID06_report.md</x:v>
      </x:c>
      <x:c r="C383" s="19" t="str">
        <x:v>1. 已核验结果与缺失</x:v>
      </x:c>
      <x:c r="D383" s="19" t="str">
        <x:v>验证周=2035-10-01_5；NN20结束步=未启动</x:v>
      </x:c>
      <x:c r="E383" s="19" t="str">
        <x:v>NN352结束步</x:v>
      </x:c>
      <x:c r="F383" s="19" t="str">
        <x:v>导入标记前终止，无策略结果</x:v>
      </x:c>
      <x:c r="G383" s="19" t="str">
        <x:v>其他/配置</x:v>
      </x:c>
      <x:c r="H383" s="19" t="str">
        <x:v>D:/Codex/GRL研究/outputs/grid06/GRID06_report.md</x:v>
      </x:c>
    </x:row>
    <x:row r="384" ht="36" customHeight="1">
      <x:c r="A384" s="19" t="str">
        <x:v>GRID06</x:v>
      </x:c>
      <x:c r="B384" s="19" t="str">
        <x:v>GRID06_report.md</x:v>
      </x:c>
      <x:c r="C384" s="19" t="str">
        <x:v>1. 已核验结果与缺失</x:v>
      </x:c>
      <x:c r="D384" s="19" t="str">
        <x:v>验证周=2035-10-01_5；NN20结束步=未启动</x:v>
      </x:c>
      <x:c r="E384" s="19" t="str">
        <x:v>回退相对NN20成本降幅</x:v>
      </x:c>
      <x:c r="F384" s="19" t="str">
        <x:v>缺失，不补值</x:v>
      </x:c>
      <x:c r="G384" s="19" t="str">
        <x:v>质量/成本</x:v>
      </x:c>
      <x:c r="H384" s="19" t="str">
        <x:v>D:/Codex/GRL研究/outputs/grid06/GRID06_report.md</x:v>
      </x:c>
    </x:row>
    <x:row r="385" ht="36" customHeight="1">
      <x:c r="A385" s="19" t="str">
        <x:v>GRID06</x:v>
      </x:c>
      <x:c r="B385" s="19" t="str">
        <x:v>GRID06_report.md</x:v>
      </x:c>
      <x:c r="C385" s="19" t="str">
        <x:v>2. 已核验结果与缺失</x:v>
      </x:c>
      <x:c r="D385" s="19" t="str">
        <x:v>验证周=2035-01-08_5；NN20完整成本=6707772.520813</x:v>
      </x:c>
      <x:c r="E385" s="19" t="str">
        <x:v>NN20完整成本</x:v>
      </x:c>
      <x:c r="F385" s="19" t="str">
        <x:v>6707772.520813</x:v>
      </x:c>
      <x:c r="G385" s="19" t="str">
        <x:v>质量/成本</x:v>
      </x:c>
      <x:c r="H385" s="19" t="str">
        <x:v>D:/Codex/GRL研究/outputs/grid06/GRID06_report.md</x:v>
      </x:c>
    </x:row>
    <x:row r="386" ht="36" customHeight="1">
      <x:c r="A386" s="19" t="str">
        <x:v>GRID06</x:v>
      </x:c>
      <x:c r="B386" s="19" t="str">
        <x:v>GRID06_report.md</x:v>
      </x:c>
      <x:c r="C386" s="19" t="str">
        <x:v>2. 已核验结果与缺失</x:v>
      </x:c>
      <x:c r="D386" s="19" t="str">
        <x:v>验证周=2035-01-08_5；NN20完整成本=6707772.520813</x:v>
      </x:c>
      <x:c r="E386" s="19" t="str">
        <x:v>回退完整成本</x:v>
      </x:c>
      <x:c r="F386" s="19" t="str">
        <x:v>8414074.452332</x:v>
      </x:c>
      <x:c r="G386" s="19" t="str">
        <x:v>质量/成本</x:v>
      </x:c>
      <x:c r="H386" s="19" t="str">
        <x:v>D:/Codex/GRL研究/outputs/grid06/GRID06_report.md</x:v>
      </x:c>
    </x:row>
    <x:row r="387" ht="36" customHeight="1">
      <x:c r="A387" s="19" t="str">
        <x:v>GRID06</x:v>
      </x:c>
      <x:c r="B387" s="19" t="str">
        <x:v>GRID06_report.md</x:v>
      </x:c>
      <x:c r="C387" s="19" t="str">
        <x:v>2. 已核验结果与缺失</x:v>
      </x:c>
      <x:c r="D387" s="19" t="str">
        <x:v>验证周=2035-01-08_5；NN20完整成本=6707772.520813</x:v>
      </x:c>
      <x:c r="E387" s="19" t="str">
        <x:v>NN352完整成本</x:v>
      </x:c>
      <x:c r="F387" s="19" t="str">
        <x:v>8494068.365540</x:v>
      </x:c>
      <x:c r="G387" s="19" t="str">
        <x:v>质量/成本</x:v>
      </x:c>
      <x:c r="H387" s="19" t="str">
        <x:v>D:/Codex/GRL研究/outputs/grid06/GRID06_report.md</x:v>
      </x:c>
    </x:row>
    <x:row r="388" ht="36" customHeight="1">
      <x:c r="A388" s="19" t="str">
        <x:v>GRID06</x:v>
      </x:c>
      <x:c r="B388" s="19" t="str">
        <x:v>GRID06_report.md</x:v>
      </x:c>
      <x:c r="C388" s="19" t="str">
        <x:v>2. 已核验结果与缺失</x:v>
      </x:c>
      <x:c r="D388" s="19" t="str">
        <x:v>验证周=2035-04-30_12；NN20完整成本=不排名</x:v>
      </x:c>
      <x:c r="E388" s="19" t="str">
        <x:v>NN20完整成本</x:v>
      </x:c>
      <x:c r="F388" s="19" t="str">
        <x:v>不排名</x:v>
      </x:c>
      <x:c r="G388" s="19" t="str">
        <x:v>质量/成本</x:v>
      </x:c>
      <x:c r="H388" s="19" t="str">
        <x:v>D:/Codex/GRL研究/outputs/grid06/GRID06_report.md</x:v>
      </x:c>
    </x:row>
    <x:row r="389" ht="36" customHeight="1">
      <x:c r="A389" s="19" t="str">
        <x:v>GRID06</x:v>
      </x:c>
      <x:c r="B389" s="19" t="str">
        <x:v>GRID06_report.md</x:v>
      </x:c>
      <x:c r="C389" s="19" t="str">
        <x:v>2. 已核验结果与缺失</x:v>
      </x:c>
      <x:c r="D389" s="19" t="str">
        <x:v>验证周=2035-04-30_12；NN20完整成本=不排名</x:v>
      </x:c>
      <x:c r="E389" s="19" t="str">
        <x:v>回退完整成本</x:v>
      </x:c>
      <x:c r="F389" s="19" t="str">
        <x:v>不排名</x:v>
      </x:c>
      <x:c r="G389" s="19" t="str">
        <x:v>质量/成本</x:v>
      </x:c>
      <x:c r="H389" s="19" t="str">
        <x:v>D:/Codex/GRL研究/outputs/grid06/GRID06_report.md</x:v>
      </x:c>
    </x:row>
    <x:row r="390" ht="36" customHeight="1">
      <x:c r="A390" s="19" t="str">
        <x:v>GRID06</x:v>
      </x:c>
      <x:c r="B390" s="19" t="str">
        <x:v>GRID06_report.md</x:v>
      </x:c>
      <x:c r="C390" s="19" t="str">
        <x:v>2. 已核验结果与缺失</x:v>
      </x:c>
      <x:c r="D390" s="19" t="str">
        <x:v>验证周=2035-04-30_12；NN20完整成本=不排名</x:v>
      </x:c>
      <x:c r="E390" s="19" t="str">
        <x:v>NN352完整成本</x:v>
      </x:c>
      <x:c r="F390" s="19" t="str">
        <x:v>不排名</x:v>
      </x:c>
      <x:c r="G390" s="19" t="str">
        <x:v>质量/成本</x:v>
      </x:c>
      <x:c r="H390" s="19" t="str">
        <x:v>D:/Codex/GRL研究/outputs/grid06/GRID06_report.md</x:v>
      </x:c>
    </x:row>
    <x:row r="391" ht="36" customHeight="1">
      <x:c r="A391" s="19" t="str">
        <x:v>GRID06</x:v>
      </x:c>
      <x:c r="B391" s="19" t="str">
        <x:v>GRID06_report.md</x:v>
      </x:c>
      <x:c r="C391" s="19" t="str">
        <x:v>2. 已核验结果与缺失</x:v>
      </x:c>
      <x:c r="D391" s="19" t="str">
        <x:v>验证周=2035-07-16_5；NN20完整成本=2258630.490448</x:v>
      </x:c>
      <x:c r="E391" s="19" t="str">
        <x:v>NN20完整成本</x:v>
      </x:c>
      <x:c r="F391" s="19" t="str">
        <x:v>2258630.490448</x:v>
      </x:c>
      <x:c r="G391" s="19" t="str">
        <x:v>质量/成本</x:v>
      </x:c>
      <x:c r="H391" s="19" t="str">
        <x:v>D:/Codex/GRL研究/outputs/grid06/GRID06_report.md</x:v>
      </x:c>
    </x:row>
    <x:row r="392" ht="36" customHeight="1">
      <x:c r="A392" s="19" t="str">
        <x:v>GRID06</x:v>
      </x:c>
      <x:c r="B392" s="19" t="str">
        <x:v>GRID06_report.md</x:v>
      </x:c>
      <x:c r="C392" s="19" t="str">
        <x:v>2. 已核验结果与缺失</x:v>
      </x:c>
      <x:c r="D392" s="19" t="str">
        <x:v>验证周=2035-07-16_5；NN20完整成本=2258630.490448</x:v>
      </x:c>
      <x:c r="E392" s="19" t="str">
        <x:v>回退完整成本</x:v>
      </x:c>
      <x:c r="F392" s="19" t="str">
        <x:v>2258630.490448</x:v>
      </x:c>
      <x:c r="G392" s="19" t="str">
        <x:v>质量/成本</x:v>
      </x:c>
      <x:c r="H392" s="19" t="str">
        <x:v>D:/Codex/GRL研究/outputs/grid06/GRID06_report.md</x:v>
      </x:c>
    </x:row>
    <x:row r="393" ht="36" customHeight="1">
      <x:c r="A393" s="19" t="str">
        <x:v>GRID06</x:v>
      </x:c>
      <x:c r="B393" s="19" t="str">
        <x:v>GRID06_report.md</x:v>
      </x:c>
      <x:c r="C393" s="19" t="str">
        <x:v>2. 已核验结果与缺失</x:v>
      </x:c>
      <x:c r="D393" s="19" t="str">
        <x:v>验证周=2035-07-16_5；NN20完整成本=2258630.490448</x:v>
      </x:c>
      <x:c r="E393" s="19" t="str">
        <x:v>NN352完整成本</x:v>
      </x:c>
      <x:c r="F393" s="19" t="str">
        <x:v>2258999.907013</x:v>
      </x:c>
      <x:c r="G393" s="19" t="str">
        <x:v>质量/成本</x:v>
      </x:c>
      <x:c r="H393" s="19" t="str">
        <x:v>D:/Codex/GRL研究/outputs/grid06/GRID06_report.md</x:v>
      </x:c>
    </x:row>
    <x:row r="394" ht="36" customHeight="1">
      <x:c r="A394" s="19" t="str">
        <x:v>GRID06</x:v>
      </x:c>
      <x:c r="B394" s="19" t="str">
        <x:v>GRID06_report.md</x:v>
      </x:c>
      <x:c r="C394" s="19" t="str">
        <x:v>3. 模拟与计量</x:v>
      </x:c>
      <x:c r="D394" s="19" t="str">
        <x:v>验证周=2035-01-08_5；NN20模拟数=25636</x:v>
      </x:c>
      <x:c r="E394" s="19" t="str">
        <x:v>NN20模拟数</x:v>
      </x:c>
      <x:c r="F394" s="19" t="str">
        <x:v>25636</x:v>
      </x:c>
      <x:c r="G394" s="19" t="str">
        <x:v>其他/配置</x:v>
      </x:c>
      <x:c r="H394" s="19" t="str">
        <x:v>D:/Codex/GRL研究/outputs/grid06/GRID06_report.md</x:v>
      </x:c>
    </x:row>
    <x:row r="395" ht="36" customHeight="1">
      <x:c r="A395" s="19" t="str">
        <x:v>GRID06</x:v>
      </x:c>
      <x:c r="B395" s="19" t="str">
        <x:v>GRID06_report.md</x:v>
      </x:c>
      <x:c r="C395" s="19" t="str">
        <x:v>3. 模拟与计量</x:v>
      </x:c>
      <x:c r="D395" s="19" t="str">
        <x:v>验证周=2035-01-08_5；NN20模拟数=25636</x:v>
      </x:c>
      <x:c r="E395" s="19" t="str">
        <x:v>回退模拟数</x:v>
      </x:c>
      <x:c r="F395" s="19" t="str">
        <x:v>34967</x:v>
      </x:c>
      <x:c r="G395" s="19" t="str">
        <x:v>其他/配置</x:v>
      </x:c>
      <x:c r="H395" s="19" t="str">
        <x:v>D:/Codex/GRL研究/outputs/grid06/GRID06_report.md</x:v>
      </x:c>
    </x:row>
    <x:row r="396" ht="36" customHeight="1">
      <x:c r="A396" s="19" t="str">
        <x:v>GRID06</x:v>
      </x:c>
      <x:c r="B396" s="19" t="str">
        <x:v>GRID06_report.md</x:v>
      </x:c>
      <x:c r="C396" s="19" t="str">
        <x:v>3. 模拟与计量</x:v>
      </x:c>
      <x:c r="D396" s="19" t="str">
        <x:v>验证周=2035-01-08_5；NN20模拟数=25636</x:v>
      </x:c>
      <x:c r="E396" s="19" t="str">
        <x:v>NN352模拟数</x:v>
      </x:c>
      <x:c r="F396" s="19" t="str">
        <x:v>39330</x:v>
      </x:c>
      <x:c r="G396" s="19" t="str">
        <x:v>其他/配置</x:v>
      </x:c>
      <x:c r="H396" s="19" t="str">
        <x:v>D:/Codex/GRL研究/outputs/grid06/GRID06_report.md</x:v>
      </x:c>
    </x:row>
    <x:row r="397" ht="36" customHeight="1">
      <x:c r="A397" s="19" t="str">
        <x:v>GRID06</x:v>
      </x:c>
      <x:c r="B397" s="19" t="str">
        <x:v>GRID06_report.md</x:v>
      </x:c>
      <x:c r="C397" s="19" t="str">
        <x:v>3. 模拟与计量</x:v>
      </x:c>
      <x:c r="D397" s="19" t="str">
        <x:v>验证周=2035-01-08_5；NN20模拟数=25636</x:v>
      </x:c>
      <x:c r="E397" s="19" t="str">
        <x:v>回退扩展/检查</x:v>
      </x:c>
      <x:c r="F397" s="19" t="str">
        <x:v>19/31</x:v>
      </x:c>
      <x:c r="G397" s="19" t="str">
        <x:v>其他/配置</x:v>
      </x:c>
      <x:c r="H397" s="19" t="str">
        <x:v>D:/Codex/GRL研究/outputs/grid06/GRID06_report.md</x:v>
      </x:c>
    </x:row>
    <x:row r="398" ht="36" customHeight="1">
      <x:c r="A398" s="19" t="str">
        <x:v>GRID06</x:v>
      </x:c>
      <x:c r="B398" s="19" t="str">
        <x:v>GRID06_report.md</x:v>
      </x:c>
      <x:c r="C398" s="19" t="str">
        <x:v>3. 模拟与计量</x:v>
      </x:c>
      <x:c r="D398" s="19" t="str">
        <x:v>验证周=2035-04-30_12；NN20模拟数=4068</x:v>
      </x:c>
      <x:c r="E398" s="19" t="str">
        <x:v>NN20模拟数</x:v>
      </x:c>
      <x:c r="F398" s="19" t="str">
        <x:v>4068</x:v>
      </x:c>
      <x:c r="G398" s="19" t="str">
        <x:v>其他/配置</x:v>
      </x:c>
      <x:c r="H398" s="19" t="str">
        <x:v>D:/Codex/GRL研究/outputs/grid06/GRID06_report.md</x:v>
      </x:c>
    </x:row>
    <x:row r="399" ht="36" customHeight="1">
      <x:c r="A399" s="19" t="str">
        <x:v>GRID06</x:v>
      </x:c>
      <x:c r="B399" s="19" t="str">
        <x:v>GRID06_report.md</x:v>
      </x:c>
      <x:c r="C399" s="19" t="str">
        <x:v>3. 模拟与计量</x:v>
      </x:c>
      <x:c r="D399" s="19" t="str">
        <x:v>验证周=2035-04-30_12；NN20模拟数=4068</x:v>
      </x:c>
      <x:c r="E399" s="19" t="str">
        <x:v>回退模拟数</x:v>
      </x:c>
      <x:c r="F399" s="19" t="str">
        <x:v>4400</x:v>
      </x:c>
      <x:c r="G399" s="19" t="str">
        <x:v>其他/配置</x:v>
      </x:c>
      <x:c r="H399" s="19" t="str">
        <x:v>D:/Codex/GRL研究/outputs/grid06/GRID06_report.md</x:v>
      </x:c>
    </x:row>
    <x:row r="400" ht="36" customHeight="1">
      <x:c r="A400" s="19" t="str">
        <x:v>GRID06</x:v>
      </x:c>
      <x:c r="B400" s="19" t="str">
        <x:v>GRID06_report.md</x:v>
      </x:c>
      <x:c r="C400" s="19" t="str">
        <x:v>3. 模拟与计量</x:v>
      </x:c>
      <x:c r="D400" s="19" t="str">
        <x:v>验证周=2035-04-30_12；NN20模拟数=4068</x:v>
      </x:c>
      <x:c r="E400" s="19" t="str">
        <x:v>NN352模拟数</x:v>
      </x:c>
      <x:c r="F400" s="19" t="str">
        <x:v>4400</x:v>
      </x:c>
      <x:c r="G400" s="19" t="str">
        <x:v>其他/配置</x:v>
      </x:c>
      <x:c r="H400" s="19" t="str">
        <x:v>D:/Codex/GRL研究/outputs/grid06/GRID06_report.md</x:v>
      </x:c>
    </x:row>
    <x:row r="401" ht="36" customHeight="1">
      <x:c r="A401" s="19" t="str">
        <x:v>GRID06</x:v>
      </x:c>
      <x:c r="B401" s="19" t="str">
        <x:v>GRID06_report.md</x:v>
      </x:c>
      <x:c r="C401" s="19" t="str">
        <x:v>3. 模拟与计量</x:v>
      </x:c>
      <x:c r="D401" s="19" t="str">
        <x:v>验证周=2035-04-30_12；NN20模拟数=4068</x:v>
      </x:c>
      <x:c r="E401" s="19" t="str">
        <x:v>回退扩展/检查</x:v>
      </x:c>
      <x:c r="F401" s="19" t="str">
        <x:v>1/1</x:v>
      </x:c>
      <x:c r="G401" s="19" t="str">
        <x:v>其他/配置</x:v>
      </x:c>
      <x:c r="H401" s="19" t="str">
        <x:v>D:/Codex/GRL研究/outputs/grid06/GRID06_report.md</x:v>
      </x:c>
    </x:row>
    <x:row r="402" ht="36" customHeight="1">
      <x:c r="A402" s="19" t="str">
        <x:v>GRID06</x:v>
      </x:c>
      <x:c r="B402" s="19" t="str">
        <x:v>GRID06_report.md</x:v>
      </x:c>
      <x:c r="C402" s="19" t="str">
        <x:v>3. 模拟与计量</x:v>
      </x:c>
      <x:c r="D402" s="19" t="str">
        <x:v>验证周=2035-07-16_5；NN20模拟数=12869</x:v>
      </x:c>
      <x:c r="E402" s="19" t="str">
        <x:v>NN20模拟数</x:v>
      </x:c>
      <x:c r="F402" s="19" t="str">
        <x:v>12869</x:v>
      </x:c>
      <x:c r="G402" s="19" t="str">
        <x:v>其他/配置</x:v>
      </x:c>
      <x:c r="H402" s="19" t="str">
        <x:v>D:/Codex/GRL研究/outputs/grid06/GRID06_report.md</x:v>
      </x:c>
    </x:row>
    <x:row r="403" ht="36" customHeight="1">
      <x:c r="A403" s="19" t="str">
        <x:v>GRID06</x:v>
      </x:c>
      <x:c r="B403" s="19" t="str">
        <x:v>GRID06_report.md</x:v>
      </x:c>
      <x:c r="C403" s="19" t="str">
        <x:v>3. 模拟与计量</x:v>
      </x:c>
      <x:c r="D403" s="19" t="str">
        <x:v>验证周=2035-07-16_5；NN20模拟数=12869</x:v>
      </x:c>
      <x:c r="E403" s="19" t="str">
        <x:v>回退模拟数</x:v>
      </x:c>
      <x:c r="F403" s="19" t="str">
        <x:v>13201</x:v>
      </x:c>
      <x:c r="G403" s="19" t="str">
        <x:v>其他/配置</x:v>
      </x:c>
      <x:c r="H403" s="19" t="str">
        <x:v>D:/Codex/GRL研究/outputs/grid06/GRID06_report.md</x:v>
      </x:c>
    </x:row>
    <x:row r="404" ht="36" customHeight="1">
      <x:c r="A404" s="19" t="str">
        <x:v>GRID06</x:v>
      </x:c>
      <x:c r="B404" s="19" t="str">
        <x:v>GRID06_report.md</x:v>
      </x:c>
      <x:c r="C404" s="19" t="str">
        <x:v>3. 模拟与计量</x:v>
      </x:c>
      <x:c r="D404" s="19" t="str">
        <x:v>验证周=2035-07-16_5；NN20模拟数=12869</x:v>
      </x:c>
      <x:c r="E404" s="19" t="str">
        <x:v>NN352模拟数</x:v>
      </x:c>
      <x:c r="F404" s="19" t="str">
        <x:v>15193</x:v>
      </x:c>
      <x:c r="G404" s="19" t="str">
        <x:v>其他/配置</x:v>
      </x:c>
      <x:c r="H404" s="19" t="str">
        <x:v>D:/Codex/GRL研究/outputs/grid06/GRID06_report.md</x:v>
      </x:c>
    </x:row>
    <x:row r="405" ht="36" customHeight="1">
      <x:c r="A405" s="19" t="str">
        <x:v>GRID06</x:v>
      </x:c>
      <x:c r="B405" s="19" t="str">
        <x:v>GRID06_report.md</x:v>
      </x:c>
      <x:c r="C405" s="19" t="str">
        <x:v>3. 模拟与计量</x:v>
      </x:c>
      <x:c r="D405" s="19" t="str">
        <x:v>验证周=2035-07-16_5；NN20模拟数=12869</x:v>
      </x:c>
      <x:c r="E405" s="19" t="str">
        <x:v>回退扩展/检查</x:v>
      </x:c>
      <x:c r="F405" s="19" t="str">
        <x:v>1/7</x:v>
      </x:c>
      <x:c r="G405" s="19" t="str">
        <x:v>其他/配置</x:v>
      </x:c>
      <x:c r="H405" s="19" t="str">
        <x:v>D:/Codex/GRL研究/outputs/grid06/GRID06_report.md</x:v>
      </x:c>
    </x:row>
    <x:row r="406" ht="36" customHeight="1">
      <x:c r="A406" s="19" t="str">
        <x:v>GRID06</x:v>
      </x:c>
      <x:c r="B406" s="19" t="str">
        <x:v>GRID06_report.md</x:v>
      </x:c>
      <x:c r="C406" s="19" t="str">
        <x:v>4. 模拟与计量</x:v>
      </x:c>
      <x:c r="D406" s="19" t="str">
        <x:v>验证周=2035-01-08_5；参照→另一臂=NN20→FALLBACK90</x:v>
      </x:c>
      <x:c r="E406" s="19" t="str">
        <x:v>参照→另一臂</x:v>
      </x:c>
      <x:c r="F406" s="19" t="str">
        <x:v>NN20→FALLBACK90</x:v>
      </x:c>
      <x:c r="G406" s="19" t="str">
        <x:v>其他/配置</x:v>
      </x:c>
      <x:c r="H406" s="19" t="str">
        <x:v>D:/Codex/GRL研究/outputs/grid06/GRID06_report.md</x:v>
      </x:c>
    </x:row>
    <x:row r="407" ht="36" customHeight="1">
      <x:c r="A407" s="19" t="str">
        <x:v>GRID06</x:v>
      </x:c>
      <x:c r="B407" s="19" t="str">
        <x:v>GRID06_report.md</x:v>
      </x:c>
      <x:c r="C407" s="19" t="str">
        <x:v>4. 模拟与计量</x:v>
      </x:c>
      <x:c r="D407" s="19" t="str">
        <x:v>验证周=2035-01-08_5；参照→另一臂=NN20→FALLBACK90</x:v>
      </x:c>
      <x:c r="E407" s="19" t="str">
        <x:v>同状态前缀步数</x:v>
      </x:c>
      <x:c r="F407" s="19" t="str">
        <x:v>221</x:v>
      </x:c>
      <x:c r="G407" s="19" t="str">
        <x:v>质量/成本</x:v>
      </x:c>
      <x:c r="H407" s="19" t="str">
        <x:v>D:/Codex/GRL研究/outputs/grid06/GRID06_report.md</x:v>
      </x:c>
    </x:row>
    <x:row r="408" ht="36" customHeight="1">
      <x:c r="A408" s="19" t="str">
        <x:v>GRID06</x:v>
      </x:c>
      <x:c r="B408" s="19" t="str">
        <x:v>GRID06_report.md</x:v>
      </x:c>
      <x:c r="C408" s="19" t="str">
        <x:v>4. 模拟与计量</x:v>
      </x:c>
      <x:c r="D408" s="19" t="str">
        <x:v>验证周=2035-01-08_5；参照→另一臂=NN20→FALLBACK90</x:v>
      </x:c>
      <x:c r="E408" s="19" t="str">
        <x:v>参照模拟数/动作秒</x:v>
      </x:c>
      <x:c r="F408" s="19" t="str">
        <x:v>317/7.1275</x:v>
      </x:c>
      <x:c r="G408" s="19" t="str">
        <x:v>速度/计算</x:v>
      </x:c>
      <x:c r="H408" s="19" t="str">
        <x:v>D:/Codex/GRL研究/outputs/grid06/GRID06_report.md</x:v>
      </x:c>
    </x:row>
    <x:row r="409" ht="36" customHeight="1">
      <x:c r="A409" s="19" t="str">
        <x:v>GRID06</x:v>
      </x:c>
      <x:c r="B409" s="19" t="str">
        <x:v>GRID06_report.md</x:v>
      </x:c>
      <x:c r="C409" s="19" t="str">
        <x:v>4. 模拟与计量</x:v>
      </x:c>
      <x:c r="D409" s="19" t="str">
        <x:v>验证周=2035-01-08_5；参照→另一臂=NN20→FALLBACK90</x:v>
      </x:c>
      <x:c r="E409" s="19" t="str">
        <x:v>另一臂模拟数/动作秒</x:v>
      </x:c>
      <x:c r="F409" s="19" t="str">
        <x:v>1313/9.7271</x:v>
      </x:c>
      <x:c r="G409" s="19" t="str">
        <x:v>速度/计算</x:v>
      </x:c>
      <x:c r="H409" s="19" t="str">
        <x:v>D:/Codex/GRL研究/outputs/grid06/GRID06_report.md</x:v>
      </x:c>
    </x:row>
    <x:row r="410" ht="36" customHeight="1">
      <x:c r="A410" s="19" t="str">
        <x:v>GRID06</x:v>
      </x:c>
      <x:c r="B410" s="19" t="str">
        <x:v>GRID06_report.md</x:v>
      </x:c>
      <x:c r="C410" s="19" t="str">
        <x:v>4. 模拟与计量</x:v>
      </x:c>
      <x:c r="D410" s="19" t="str">
        <x:v>验证周=2035-01-08_5；参照→另一臂=NN20→NN352</x:v>
      </x:c>
      <x:c r="E410" s="19" t="str">
        <x:v>参照→另一臂</x:v>
      </x:c>
      <x:c r="F410" s="19" t="str">
        <x:v>NN20→NN352</x:v>
      </x:c>
      <x:c r="G410" s="19" t="str">
        <x:v>其他/配置</x:v>
      </x:c>
      <x:c r="H410" s="19" t="str">
        <x:v>D:/Codex/GRL研究/outputs/grid06/GRID06_report.md</x:v>
      </x:c>
    </x:row>
    <x:row r="411" ht="36" customHeight="1">
      <x:c r="A411" s="19" t="str">
        <x:v>GRID06</x:v>
      </x:c>
      <x:c r="B411" s="19" t="str">
        <x:v>GRID06_report.md</x:v>
      </x:c>
      <x:c r="C411" s="19" t="str">
        <x:v>4. 模拟与计量</x:v>
      </x:c>
      <x:c r="D411" s="19" t="str">
        <x:v>验证周=2035-01-08_5；参照→另一臂=NN20→NN352</x:v>
      </x:c>
      <x:c r="E411" s="19" t="str">
        <x:v>同状态前缀步数</x:v>
      </x:c>
      <x:c r="F411" s="19" t="str">
        <x:v>221</x:v>
      </x:c>
      <x:c r="G411" s="19" t="str">
        <x:v>质量/成本</x:v>
      </x:c>
      <x:c r="H411" s="19" t="str">
        <x:v>D:/Codex/GRL研究/outputs/grid06/GRID06_report.md</x:v>
      </x:c>
    </x:row>
    <x:row r="412" ht="36" customHeight="1">
      <x:c r="A412" s="19" t="str">
        <x:v>GRID06</x:v>
      </x:c>
      <x:c r="B412" s="19" t="str">
        <x:v>GRID06_report.md</x:v>
      </x:c>
      <x:c r="C412" s="19" t="str">
        <x:v>4. 模拟与计量</x:v>
      </x:c>
      <x:c r="D412" s="19" t="str">
        <x:v>验证周=2035-01-08_5；参照→另一臂=NN20→NN352</x:v>
      </x:c>
      <x:c r="E412" s="19" t="str">
        <x:v>参照模拟数/动作秒</x:v>
      </x:c>
      <x:c r="F412" s="19" t="str">
        <x:v>317/7.1275</x:v>
      </x:c>
      <x:c r="G412" s="19" t="str">
        <x:v>速度/计算</x:v>
      </x:c>
      <x:c r="H412" s="19" t="str">
        <x:v>D:/Codex/GRL研究/outputs/grid06/GRID06_report.md</x:v>
      </x:c>
    </x:row>
    <x:row r="413" ht="36" customHeight="1">
      <x:c r="A413" s="19" t="str">
        <x:v>GRID06</x:v>
      </x:c>
      <x:c r="B413" s="19" t="str">
        <x:v>GRID06_report.md</x:v>
      </x:c>
      <x:c r="C413" s="19" t="str">
        <x:v>4. 模拟与计量</x:v>
      </x:c>
      <x:c r="D413" s="19" t="str">
        <x:v>验证周=2035-01-08_5；参照→另一臂=NN20→NN352</x:v>
      </x:c>
      <x:c r="E413" s="19" t="str">
        <x:v>另一臂模拟数/动作秒</x:v>
      </x:c>
      <x:c r="F413" s="19" t="str">
        <x:v>1313/9.7652</x:v>
      </x:c>
      <x:c r="G413" s="19" t="str">
        <x:v>速度/计算</x:v>
      </x:c>
      <x:c r="H413" s="19" t="str">
        <x:v>D:/Codex/GRL研究/outputs/grid06/GRID06_report.md</x:v>
      </x:c>
    </x:row>
    <x:row r="414" ht="36" customHeight="1">
      <x:c r="A414" s="19" t="str">
        <x:v>GRID06</x:v>
      </x:c>
      <x:c r="B414" s="19" t="str">
        <x:v>GRID06_report.md</x:v>
      </x:c>
      <x:c r="C414" s="19" t="str">
        <x:v>4. 模拟与计量</x:v>
      </x:c>
      <x:c r="D414" s="19" t="str">
        <x:v>验证周=2035-01-08_5；参照→另一臂=FALLBACK90→NN352</x:v>
      </x:c>
      <x:c r="E414" s="19" t="str">
        <x:v>参照→另一臂</x:v>
      </x:c>
      <x:c r="F414" s="19" t="str">
        <x:v>FALLBACK90→NN352</x:v>
      </x:c>
      <x:c r="G414" s="19" t="str">
        <x:v>其他/配置</x:v>
      </x:c>
      <x:c r="H414" s="19" t="str">
        <x:v>D:/Codex/GRL研究/outputs/grid06/GRID06_report.md</x:v>
      </x:c>
    </x:row>
    <x:row r="415" ht="36" customHeight="1">
      <x:c r="A415" s="19" t="str">
        <x:v>GRID06</x:v>
      </x:c>
      <x:c r="B415" s="19" t="str">
        <x:v>GRID06_report.md</x:v>
      </x:c>
      <x:c r="C415" s="19" t="str">
        <x:v>4. 模拟与计量</x:v>
      </x:c>
      <x:c r="D415" s="19" t="str">
        <x:v>验证周=2035-01-08_5；参照→另一臂=FALLBACK90→NN352</x:v>
      </x:c>
      <x:c r="E415" s="19" t="str">
        <x:v>同状态前缀步数</x:v>
      </x:c>
      <x:c r="F415" s="19" t="str">
        <x:v>414</x:v>
      </x:c>
      <x:c r="G415" s="19" t="str">
        <x:v>质量/成本</x:v>
      </x:c>
      <x:c r="H415" s="19" t="str">
        <x:v>D:/Codex/GRL研究/outputs/grid06/GRID06_report.md</x:v>
      </x:c>
    </x:row>
    <x:row r="416" ht="36" customHeight="1">
      <x:c r="A416" s="19" t="str">
        <x:v>GRID06</x:v>
      </x:c>
      <x:c r="B416" s="19" t="str">
        <x:v>GRID06_report.md</x:v>
      </x:c>
      <x:c r="C416" s="19" t="str">
        <x:v>4. 模拟与计量</x:v>
      </x:c>
      <x:c r="D416" s="19" t="str">
        <x:v>验证周=2035-01-08_5；参照→另一臂=FALLBACK90→NN352</x:v>
      </x:c>
      <x:c r="E416" s="19" t="str">
        <x:v>参照模拟数/动作秒</x:v>
      </x:c>
      <x:c r="F416" s="19" t="str">
        <x:v>1660/10.8685</x:v>
      </x:c>
      <x:c r="G416" s="19" t="str">
        <x:v>速度/计算</x:v>
      </x:c>
      <x:c r="H416" s="19" t="str">
        <x:v>D:/Codex/GRL研究/outputs/grid06/GRID06_report.md</x:v>
      </x:c>
    </x:row>
    <x:row r="417" ht="36" customHeight="1">
      <x:c r="A417" s="19" t="str">
        <x:v>GRID06</x:v>
      </x:c>
      <x:c r="B417" s="19" t="str">
        <x:v>GRID06_report.md</x:v>
      </x:c>
      <x:c r="C417" s="19" t="str">
        <x:v>4. 模拟与计量</x:v>
      </x:c>
      <x:c r="D417" s="19" t="str">
        <x:v>验证周=2035-01-08_5；参照→另一臂=FALLBACK90→NN352</x:v>
      </x:c>
      <x:c r="E417" s="19" t="str">
        <x:v>另一臂模拟数/动作秒</x:v>
      </x:c>
      <x:c r="F417" s="19" t="str">
        <x:v>2324/12.9895</x:v>
      </x:c>
      <x:c r="G417" s="19" t="str">
        <x:v>速度/计算</x:v>
      </x:c>
      <x:c r="H417" s="19" t="str">
        <x:v>D:/Codex/GRL研究/outputs/grid06/GRID06_report.md</x:v>
      </x:c>
    </x:row>
    <x:row r="418" ht="36" customHeight="1">
      <x:c r="A418" s="19" t="str">
        <x:v>GRID06</x:v>
      </x:c>
      <x:c r="B418" s="19" t="str">
        <x:v>GRID06_report.md</x:v>
      </x:c>
      <x:c r="C418" s="19" t="str">
        <x:v>4. 模拟与计量</x:v>
      </x:c>
      <x:c r="D418" s="19" t="str">
        <x:v>验证周=2035-04-30_12；参照→另一臂=NN20→FALLBACK90</x:v>
      </x:c>
      <x:c r="E418" s="19" t="str">
        <x:v>参照→另一臂</x:v>
      </x:c>
      <x:c r="F418" s="19" t="str">
        <x:v>NN20→FALLBACK90</x:v>
      </x:c>
      <x:c r="G418" s="19" t="str">
        <x:v>其他/配置</x:v>
      </x:c>
      <x:c r="H418" s="19" t="str">
        <x:v>D:/Codex/GRL研究/outputs/grid06/GRID06_report.md</x:v>
      </x:c>
    </x:row>
    <x:row r="419" ht="36" customHeight="1">
      <x:c r="A419" s="19" t="str">
        <x:v>GRID06</x:v>
      </x:c>
      <x:c r="B419" s="19" t="str">
        <x:v>GRID06_report.md</x:v>
      </x:c>
      <x:c r="C419" s="19" t="str">
        <x:v>4. 模拟与计量</x:v>
      </x:c>
      <x:c r="D419" s="19" t="str">
        <x:v>验证周=2035-04-30_12；参照→另一臂=NN20→FALLBACK90</x:v>
      </x:c>
      <x:c r="E419" s="19" t="str">
        <x:v>同状态前缀步数</x:v>
      </x:c>
      <x:c r="F419" s="19" t="str">
        <x:v>176</x:v>
      </x:c>
      <x:c r="G419" s="19" t="str">
        <x:v>质量/成本</x:v>
      </x:c>
      <x:c r="H419" s="19" t="str">
        <x:v>D:/Codex/GRL研究/outputs/grid06/GRID06_report.md</x:v>
      </x:c>
    </x:row>
    <x:row r="420" ht="36" customHeight="1">
      <x:c r="A420" s="19" t="str">
        <x:v>GRID06</x:v>
      </x:c>
      <x:c r="B420" s="19" t="str">
        <x:v>GRID06_report.md</x:v>
      </x:c>
      <x:c r="C420" s="19" t="str">
        <x:v>4. 模拟与计量</x:v>
      </x:c>
      <x:c r="D420" s="19" t="str">
        <x:v>验证周=2035-04-30_12；参照→另一臂=NN20→FALLBACK90</x:v>
      </x:c>
      <x:c r="E420" s="19" t="str">
        <x:v>参照模拟数/动作秒</x:v>
      </x:c>
      <x:c r="F420" s="19" t="str">
        <x:v>4068/18.6604</x:v>
      </x:c>
      <x:c r="G420" s="19" t="str">
        <x:v>速度/计算</x:v>
      </x:c>
      <x:c r="H420" s="19" t="str">
        <x:v>D:/Codex/GRL研究/outputs/grid06/GRID06_report.md</x:v>
      </x:c>
    </x:row>
    <x:row r="421" ht="36" customHeight="1">
      <x:c r="A421" s="19" t="str">
        <x:v>GRID06</x:v>
      </x:c>
      <x:c r="B421" s="19" t="str">
        <x:v>GRID06_report.md</x:v>
      </x:c>
      <x:c r="C421" s="19" t="str">
        <x:v>4. 模拟与计量</x:v>
      </x:c>
      <x:c r="D421" s="19" t="str">
        <x:v>验证周=2035-04-30_12；参照→另一臂=NN20→FALLBACK90</x:v>
      </x:c>
      <x:c r="E421" s="19" t="str">
        <x:v>另一臂模拟数/动作秒</x:v>
      </x:c>
      <x:c r="F421" s="19" t="str">
        <x:v>4400/16.4811</x:v>
      </x:c>
      <x:c r="G421" s="19" t="str">
        <x:v>速度/计算</x:v>
      </x:c>
      <x:c r="H421" s="19" t="str">
        <x:v>D:/Codex/GRL研究/outputs/grid06/GRID06_report.md</x:v>
      </x:c>
    </x:row>
    <x:row r="422" ht="36" customHeight="1">
      <x:c r="A422" s="19" t="str">
        <x:v>GRID06</x:v>
      </x:c>
      <x:c r="B422" s="19" t="str">
        <x:v>GRID06_report.md</x:v>
      </x:c>
      <x:c r="C422" s="19" t="str">
        <x:v>4. 模拟与计量</x:v>
      </x:c>
      <x:c r="D422" s="19" t="str">
        <x:v>验证周=2035-04-30_12；参照→另一臂=NN20→NN352</x:v>
      </x:c>
      <x:c r="E422" s="19" t="str">
        <x:v>参照→另一臂</x:v>
      </x:c>
      <x:c r="F422" s="19" t="str">
        <x:v>NN20→NN352</x:v>
      </x:c>
      <x:c r="G422" s="19" t="str">
        <x:v>其他/配置</x:v>
      </x:c>
      <x:c r="H422" s="19" t="str">
        <x:v>D:/Codex/GRL研究/outputs/grid06/GRID06_report.md</x:v>
      </x:c>
    </x:row>
    <x:row r="423" ht="36" customHeight="1">
      <x:c r="A423" s="19" t="str">
        <x:v>GRID06</x:v>
      </x:c>
      <x:c r="B423" s="19" t="str">
        <x:v>GRID06_report.md</x:v>
      </x:c>
      <x:c r="C423" s="19" t="str">
        <x:v>4. 模拟与计量</x:v>
      </x:c>
      <x:c r="D423" s="19" t="str">
        <x:v>验证周=2035-04-30_12；参照→另一臂=NN20→NN352</x:v>
      </x:c>
      <x:c r="E423" s="19" t="str">
        <x:v>同状态前缀步数</x:v>
      </x:c>
      <x:c r="F423" s="19" t="str">
        <x:v>176</x:v>
      </x:c>
      <x:c r="G423" s="19" t="str">
        <x:v>质量/成本</x:v>
      </x:c>
      <x:c r="H423" s="19" t="str">
        <x:v>D:/Codex/GRL研究/outputs/grid06/GRID06_report.md</x:v>
      </x:c>
    </x:row>
    <x:row r="424" ht="36" customHeight="1">
      <x:c r="A424" s="19" t="str">
        <x:v>GRID06</x:v>
      </x:c>
      <x:c r="B424" s="19" t="str">
        <x:v>GRID06_report.md</x:v>
      </x:c>
      <x:c r="C424" s="19" t="str">
        <x:v>4. 模拟与计量</x:v>
      </x:c>
      <x:c r="D424" s="19" t="str">
        <x:v>验证周=2035-04-30_12；参照→另一臂=NN20→NN352</x:v>
      </x:c>
      <x:c r="E424" s="19" t="str">
        <x:v>参照模拟数/动作秒</x:v>
      </x:c>
      <x:c r="F424" s="19" t="str">
        <x:v>4068/18.6604</x:v>
      </x:c>
      <x:c r="G424" s="19" t="str">
        <x:v>速度/计算</x:v>
      </x:c>
      <x:c r="H424" s="19" t="str">
        <x:v>D:/Codex/GRL研究/outputs/grid06/GRID06_report.md</x:v>
      </x:c>
    </x:row>
    <x:row r="425" ht="36" customHeight="1">
      <x:c r="A425" s="19" t="str">
        <x:v>GRID06</x:v>
      </x:c>
      <x:c r="B425" s="19" t="str">
        <x:v>GRID06_report.md</x:v>
      </x:c>
      <x:c r="C425" s="19" t="str">
        <x:v>4. 模拟与计量</x:v>
      </x:c>
      <x:c r="D425" s="19" t="str">
        <x:v>验证周=2035-04-30_12；参照→另一臂=NN20→NN352</x:v>
      </x:c>
      <x:c r="E425" s="19" t="str">
        <x:v>另一臂模拟数/动作秒</x:v>
      </x:c>
      <x:c r="F425" s="19" t="str">
        <x:v>4400/16.2146</x:v>
      </x:c>
      <x:c r="G425" s="19" t="str">
        <x:v>速度/计算</x:v>
      </x:c>
      <x:c r="H425" s="19" t="str">
        <x:v>D:/Codex/GRL研究/outputs/grid06/GRID06_report.md</x:v>
      </x:c>
    </x:row>
    <x:row r="426" ht="36" customHeight="1">
      <x:c r="A426" s="19" t="str">
        <x:v>GRID06</x:v>
      </x:c>
      <x:c r="B426" s="19" t="str">
        <x:v>GRID06_report.md</x:v>
      </x:c>
      <x:c r="C426" s="19" t="str">
        <x:v>4. 模拟与计量</x:v>
      </x:c>
      <x:c r="D426" s="19" t="str">
        <x:v>验证周=2035-04-30_12；参照→另一臂=FALLBACK90→NN352</x:v>
      </x:c>
      <x:c r="E426" s="19" t="str">
        <x:v>参照→另一臂</x:v>
      </x:c>
      <x:c r="F426" s="19" t="str">
        <x:v>FALLBACK90→NN352</x:v>
      </x:c>
      <x:c r="G426" s="19" t="str">
        <x:v>其他/配置</x:v>
      </x:c>
      <x:c r="H426" s="19" t="str">
        <x:v>D:/Codex/GRL研究/outputs/grid06/GRID06_report.md</x:v>
      </x:c>
    </x:row>
    <x:row r="427" ht="36" customHeight="1">
      <x:c r="A427" s="19" t="str">
        <x:v>GRID06</x:v>
      </x:c>
      <x:c r="B427" s="19" t="str">
        <x:v>GRID06_report.md</x:v>
      </x:c>
      <x:c r="C427" s="19" t="str">
        <x:v>4. 模拟与计量</x:v>
      </x:c>
      <x:c r="D427" s="19" t="str">
        <x:v>验证周=2035-04-30_12；参照→另一臂=FALLBACK90→NN352</x:v>
      </x:c>
      <x:c r="E427" s="19" t="str">
        <x:v>同状态前缀步数</x:v>
      </x:c>
      <x:c r="F427" s="19" t="str">
        <x:v>176</x:v>
      </x:c>
      <x:c r="G427" s="19" t="str">
        <x:v>质量/成本</x:v>
      </x:c>
      <x:c r="H427" s="19" t="str">
        <x:v>D:/Codex/GRL研究/outputs/grid06/GRID06_report.md</x:v>
      </x:c>
    </x:row>
    <x:row r="428" ht="36" customHeight="1">
      <x:c r="A428" s="19" t="str">
        <x:v>GRID06</x:v>
      </x:c>
      <x:c r="B428" s="19" t="str">
        <x:v>GRID06_report.md</x:v>
      </x:c>
      <x:c r="C428" s="19" t="str">
        <x:v>4. 模拟与计量</x:v>
      </x:c>
      <x:c r="D428" s="19" t="str">
        <x:v>验证周=2035-04-30_12；参照→另一臂=FALLBACK90→NN352</x:v>
      </x:c>
      <x:c r="E428" s="19" t="str">
        <x:v>参照模拟数/动作秒</x:v>
      </x:c>
      <x:c r="F428" s="19" t="str">
        <x:v>4400/16.4811</x:v>
      </x:c>
      <x:c r="G428" s="19" t="str">
        <x:v>速度/计算</x:v>
      </x:c>
      <x:c r="H428" s="19" t="str">
        <x:v>D:/Codex/GRL研究/outputs/grid06/GRID06_report.md</x:v>
      </x:c>
    </x:row>
    <x:row r="429" ht="36" customHeight="1">
      <x:c r="A429" s="19" t="str">
        <x:v>GRID06</x:v>
      </x:c>
      <x:c r="B429" s="19" t="str">
        <x:v>GRID06_report.md</x:v>
      </x:c>
      <x:c r="C429" s="19" t="str">
        <x:v>4. 模拟与计量</x:v>
      </x:c>
      <x:c r="D429" s="19" t="str">
        <x:v>验证周=2035-04-30_12；参照→另一臂=FALLBACK90→NN352</x:v>
      </x:c>
      <x:c r="E429" s="19" t="str">
        <x:v>另一臂模拟数/动作秒</x:v>
      </x:c>
      <x:c r="F429" s="19" t="str">
        <x:v>4400/16.2146</x:v>
      </x:c>
      <x:c r="G429" s="19" t="str">
        <x:v>速度/计算</x:v>
      </x:c>
      <x:c r="H429" s="19" t="str">
        <x:v>D:/Codex/GRL研究/outputs/grid06/GRID06_report.md</x:v>
      </x:c>
    </x:row>
    <x:row r="430" ht="36" customHeight="1">
      <x:c r="A430" s="19" t="str">
        <x:v>GRID06</x:v>
      </x:c>
      <x:c r="B430" s="19" t="str">
        <x:v>GRID06_report.md</x:v>
      </x:c>
      <x:c r="C430" s="19" t="str">
        <x:v>4. 模拟与计量</x:v>
      </x:c>
      <x:c r="D430" s="19" t="str">
        <x:v>验证周=2035-07-16_5；参照→另一臂=NN20→FALLBACK90</x:v>
      </x:c>
      <x:c r="E430" s="19" t="str">
        <x:v>参照→另一臂</x:v>
      </x:c>
      <x:c r="F430" s="19" t="str">
        <x:v>NN20→FALLBACK90</x:v>
      </x:c>
      <x:c r="G430" s="19" t="str">
        <x:v>其他/配置</x:v>
      </x:c>
      <x:c r="H430" s="19" t="str">
        <x:v>D:/Codex/GRL研究/outputs/grid06/GRID06_report.md</x:v>
      </x:c>
    </x:row>
    <x:row r="431" ht="36" customHeight="1">
      <x:c r="A431" s="19" t="str">
        <x:v>GRID06</x:v>
      </x:c>
      <x:c r="B431" s="19" t="str">
        <x:v>GRID06_report.md</x:v>
      </x:c>
      <x:c r="C431" s="19" t="str">
        <x:v>4. 模拟与计量</x:v>
      </x:c>
      <x:c r="D431" s="19" t="str">
        <x:v>验证周=2035-07-16_5；参照→另一臂=NN20→FALLBACK90</x:v>
      </x:c>
      <x:c r="E431" s="19" t="str">
        <x:v>同状态前缀步数</x:v>
      </x:c>
      <x:c r="F431" s="19" t="str">
        <x:v>2017</x:v>
      </x:c>
      <x:c r="G431" s="19" t="str">
        <x:v>质量/成本</x:v>
      </x:c>
      <x:c r="H431" s="19" t="str">
        <x:v>D:/Codex/GRL研究/outputs/grid06/GRID06_report.md</x:v>
      </x:c>
    </x:row>
    <x:row r="432" ht="36" customHeight="1">
      <x:c r="A432" s="19" t="str">
        <x:v>GRID06</x:v>
      </x:c>
      <x:c r="B432" s="19" t="str">
        <x:v>GRID06_report.md</x:v>
      </x:c>
      <x:c r="C432" s="19" t="str">
        <x:v>4. 模拟与计量</x:v>
      </x:c>
      <x:c r="D432" s="19" t="str">
        <x:v>验证周=2035-07-16_5；参照→另一臂=NN20→FALLBACK90</x:v>
      </x:c>
      <x:c r="E432" s="19" t="str">
        <x:v>参照模拟数/动作秒</x:v>
      </x:c>
      <x:c r="F432" s="19" t="str">
        <x:v>12869/47.0167</x:v>
      </x:c>
      <x:c r="G432" s="19" t="str">
        <x:v>速度/计算</x:v>
      </x:c>
      <x:c r="H432" s="19" t="str">
        <x:v>D:/Codex/GRL研究/outputs/grid06/GRID06_report.md</x:v>
      </x:c>
    </x:row>
    <x:row r="433" ht="36" customHeight="1">
      <x:c r="A433" s="19" t="str">
        <x:v>GRID06</x:v>
      </x:c>
      <x:c r="B433" s="19" t="str">
        <x:v>GRID06_report.md</x:v>
      </x:c>
      <x:c r="C433" s="19" t="str">
        <x:v>4. 模拟与计量</x:v>
      </x:c>
      <x:c r="D433" s="19" t="str">
        <x:v>验证周=2035-07-16_5；参照→另一臂=NN20→FALLBACK90</x:v>
      </x:c>
      <x:c r="E433" s="19" t="str">
        <x:v>另一臂模拟数/动作秒</x:v>
      </x:c>
      <x:c r="F433" s="19" t="str">
        <x:v>13201/47.3517</x:v>
      </x:c>
      <x:c r="G433" s="19" t="str">
        <x:v>速度/计算</x:v>
      </x:c>
      <x:c r="H433" s="19" t="str">
        <x:v>D:/Codex/GRL研究/outputs/grid06/GRID06_report.md</x:v>
      </x:c>
    </x:row>
    <x:row r="434" ht="36" customHeight="1">
      <x:c r="A434" s="19" t="str">
        <x:v>GRID06</x:v>
      </x:c>
      <x:c r="B434" s="19" t="str">
        <x:v>GRID06_report.md</x:v>
      </x:c>
      <x:c r="C434" s="19" t="str">
        <x:v>4. 模拟与计量</x:v>
      </x:c>
      <x:c r="D434" s="19" t="str">
        <x:v>验证周=2035-07-16_5；参照→另一臂=NN20→NN352</x:v>
      </x:c>
      <x:c r="E434" s="19" t="str">
        <x:v>参照→另一臂</x:v>
      </x:c>
      <x:c r="F434" s="19" t="str">
        <x:v>NN20→NN352</x:v>
      </x:c>
      <x:c r="G434" s="19" t="str">
        <x:v>其他/配置</x:v>
      </x:c>
      <x:c r="H434" s="19" t="str">
        <x:v>D:/Codex/GRL研究/outputs/grid06/GRID06_report.md</x:v>
      </x:c>
    </x:row>
    <x:row r="435" ht="36" customHeight="1">
      <x:c r="A435" s="19" t="str">
        <x:v>GRID06</x:v>
      </x:c>
      <x:c r="B435" s="19" t="str">
        <x:v>GRID06_report.md</x:v>
      </x:c>
      <x:c r="C435" s="19" t="str">
        <x:v>4. 模拟与计量</x:v>
      </x:c>
      <x:c r="D435" s="19" t="str">
        <x:v>验证周=2035-07-16_5；参照→另一臂=NN20→NN352</x:v>
      </x:c>
      <x:c r="E435" s="19" t="str">
        <x:v>同状态前缀步数</x:v>
      </x:c>
      <x:c r="F435" s="19" t="str">
        <x:v>139</x:v>
      </x:c>
      <x:c r="G435" s="19" t="str">
        <x:v>质量/成本</x:v>
      </x:c>
      <x:c r="H435" s="19" t="str">
        <x:v>D:/Codex/GRL研究/outputs/grid06/GRID06_report.md</x:v>
      </x:c>
    </x:row>
    <x:row r="436" ht="36" customHeight="1">
      <x:c r="A436" s="19" t="str">
        <x:v>GRID06</x:v>
      </x:c>
      <x:c r="B436" s="19" t="str">
        <x:v>GRID06_report.md</x:v>
      </x:c>
      <x:c r="C436" s="19" t="str">
        <x:v>4. 模拟与计量</x:v>
      </x:c>
      <x:c r="D436" s="19" t="str">
        <x:v>验证周=2035-07-16_5；参照→另一臂=NN20→NN352</x:v>
      </x:c>
      <x:c r="E436" s="19" t="str">
        <x:v>参照模拟数/动作秒</x:v>
      </x:c>
      <x:c r="F436" s="19" t="str">
        <x:v>1084/2.9074</x:v>
      </x:c>
      <x:c r="G436" s="19" t="str">
        <x:v>速度/计算</x:v>
      </x:c>
      <x:c r="H436" s="19" t="str">
        <x:v>D:/Codex/GRL研究/outputs/grid06/GRID06_report.md</x:v>
      </x:c>
    </x:row>
    <x:row r="437" ht="36" customHeight="1">
      <x:c r="A437" s="19" t="str">
        <x:v>GRID06</x:v>
      </x:c>
      <x:c r="B437" s="19" t="str">
        <x:v>GRID06_report.md</x:v>
      </x:c>
      <x:c r="C437" s="19" t="str">
        <x:v>4. 模拟与计量</x:v>
      </x:c>
      <x:c r="D437" s="19" t="str">
        <x:v>验证周=2035-07-16_5；参照→另一臂=NN20→NN352</x:v>
      </x:c>
      <x:c r="E437" s="19" t="str">
        <x:v>另一臂模拟数/动作秒</x:v>
      </x:c>
      <x:c r="F437" s="19" t="str">
        <x:v>1416/4.9246</x:v>
      </x:c>
      <x:c r="G437" s="19" t="str">
        <x:v>速度/计算</x:v>
      </x:c>
      <x:c r="H437" s="19" t="str">
        <x:v>D:/Codex/GRL研究/outputs/grid06/GRID06_report.md</x:v>
      </x:c>
    </x:row>
    <x:row r="438" ht="36" customHeight="1">
      <x:c r="A438" s="19" t="str">
        <x:v>GRID06</x:v>
      </x:c>
      <x:c r="B438" s="19" t="str">
        <x:v>GRID06_report.md</x:v>
      </x:c>
      <x:c r="C438" s="19" t="str">
        <x:v>4. 模拟与计量</x:v>
      </x:c>
      <x:c r="D438" s="19" t="str">
        <x:v>验证周=2035-07-16_5；参照→另一臂=FALLBACK90→NN352</x:v>
      </x:c>
      <x:c r="E438" s="19" t="str">
        <x:v>参照→另一臂</x:v>
      </x:c>
      <x:c r="F438" s="19" t="str">
        <x:v>FALLBACK90→NN352</x:v>
      </x:c>
      <x:c r="G438" s="19" t="str">
        <x:v>其他/配置</x:v>
      </x:c>
      <x:c r="H438" s="19" t="str">
        <x:v>D:/Codex/GRL研究/outputs/grid06/GRID06_report.md</x:v>
      </x:c>
    </x:row>
    <x:row r="439" ht="36" customHeight="1">
      <x:c r="A439" s="19" t="str">
        <x:v>GRID06</x:v>
      </x:c>
      <x:c r="B439" s="19" t="str">
        <x:v>GRID06_report.md</x:v>
      </x:c>
      <x:c r="C439" s="19" t="str">
        <x:v>4. 模拟与计量</x:v>
      </x:c>
      <x:c r="D439" s="19" t="str">
        <x:v>验证周=2035-07-16_5；参照→另一臂=FALLBACK90→NN352</x:v>
      </x:c>
      <x:c r="E439" s="19" t="str">
        <x:v>同状态前缀步数</x:v>
      </x:c>
      <x:c r="F439" s="19" t="str">
        <x:v>139</x:v>
      </x:c>
      <x:c r="G439" s="19" t="str">
        <x:v>质量/成本</x:v>
      </x:c>
      <x:c r="H439" s="19" t="str">
        <x:v>D:/Codex/GRL研究/outputs/grid06/GRID06_report.md</x:v>
      </x:c>
    </x:row>
    <x:row r="440" ht="36" customHeight="1">
      <x:c r="A440" s="19" t="str">
        <x:v>GRID06</x:v>
      </x:c>
      <x:c r="B440" s="19" t="str">
        <x:v>GRID06_report.md</x:v>
      </x:c>
      <x:c r="C440" s="19" t="str">
        <x:v>4. 模拟与计量</x:v>
      </x:c>
      <x:c r="D440" s="19" t="str">
        <x:v>验证周=2035-07-16_5；参照→另一臂=FALLBACK90→NN352</x:v>
      </x:c>
      <x:c r="E440" s="19" t="str">
        <x:v>参照模拟数/动作秒</x:v>
      </x:c>
      <x:c r="F440" s="19" t="str">
        <x:v>1084/2.8276</x:v>
      </x:c>
      <x:c r="G440" s="19" t="str">
        <x:v>速度/计算</x:v>
      </x:c>
      <x:c r="H440" s="19" t="str">
        <x:v>D:/Codex/GRL研究/outputs/grid06/GRID06_report.md</x:v>
      </x:c>
    </x:row>
    <x:row r="441" ht="36" customHeight="1">
      <x:c r="A441" s="19" t="str">
        <x:v>GRID06</x:v>
      </x:c>
      <x:c r="B441" s="19" t="str">
        <x:v>GRID06_report.md</x:v>
      </x:c>
      <x:c r="C441" s="19" t="str">
        <x:v>4. 模拟与计量</x:v>
      </x:c>
      <x:c r="D441" s="19" t="str">
        <x:v>验证周=2035-07-16_5；参照→另一臂=FALLBACK90→NN352</x:v>
      </x:c>
      <x:c r="E441" s="19" t="str">
        <x:v>另一臂模拟数/动作秒</x:v>
      </x:c>
      <x:c r="F441" s="19" t="str">
        <x:v>1416/4.9246</x:v>
      </x:c>
      <x:c r="G441" s="19" t="str">
        <x:v>速度/计算</x:v>
      </x:c>
      <x:c r="H441" s="19" t="str">
        <x:v>D:/Codex/GRL研究/outputs/grid06/GRID06_report.md</x:v>
      </x:c>
    </x:row>
    <x:row r="442" ht="36" customHeight="1">
      <x:c r="A442" s="19" t="str">
        <x:v>GRID07</x:v>
      </x:c>
      <x:c r="B442" s="19" t="str">
        <x:v>GRID07_report.md</x:v>
      </x:c>
      <x:c r="C442" s="19" t="str">
        <x:v>1. 第一处分歧：立即看并不贵</x:v>
      </x:c>
      <x:c r="D442" s="19" t="str">
        <x:v>项目=拓扑候选预测最大rho；NN20=0.952896237</x:v>
      </x:c>
      <x:c r="E442" s="19" t="str">
        <x:v>NN20</x:v>
      </x:c>
      <x:c r="F442" s="19" t="str">
        <x:v>0.952896237</x:v>
      </x:c>
      <x:c r="G442" s="19" t="str">
        <x:v>其他/配置</x:v>
      </x:c>
      <x:c r="H442" s="19" t="str">
        <x:v>D:/Codex/GRL研究/outputs/grid07/GRID07_report.md</x:v>
      </x:c>
    </x:row>
    <x:row r="443" ht="36" customHeight="1">
      <x:c r="A443" s="19" t="str">
        <x:v>GRID07</x:v>
      </x:c>
      <x:c r="B443" s="19" t="str">
        <x:v>GRID07_report.md</x:v>
      </x:c>
      <x:c r="C443" s="19" t="str">
        <x:v>1. 第一处分歧：立即看并不贵</x:v>
      </x:c>
      <x:c r="D443" s="19" t="str">
        <x:v>项目=拓扑候选预测最大rho；NN20=0.952896237</x:v>
      </x:c>
      <x:c r="E443" s="19" t="str">
        <x:v>扩展搜索</x:v>
      </x:c>
      <x:c r="F443" s="19" t="str">
        <x:v>0.951505005</x:v>
      </x:c>
      <x:c r="G443" s="19" t="str">
        <x:v>其他/配置</x:v>
      </x:c>
      <x:c r="H443" s="19" t="str">
        <x:v>D:/Codex/GRL研究/outputs/grid07/GRID07_report.md</x:v>
      </x:c>
    </x:row>
    <x:row r="444" ht="36" customHeight="1">
      <x:c r="A444" s="19" t="str">
        <x:v>GRID07</x:v>
      </x:c>
      <x:c r="B444" s="19" t="str">
        <x:v>GRID07_report.md</x:v>
      </x:c>
      <x:c r="C444" s="19" t="str">
        <x:v>1. 第一处分歧：立即看并不贵</x:v>
      </x:c>
      <x:c r="D444" s="19" t="str">
        <x:v>项目=加连续控制后的实际最大rho；NN20=0.965442061</x:v>
      </x:c>
      <x:c r="E444" s="19" t="str">
        <x:v>NN20</x:v>
      </x:c>
      <x:c r="F444" s="19" t="str">
        <x:v>0.965442061</x:v>
      </x:c>
      <x:c r="G444" s="19" t="str">
        <x:v>其他/配置</x:v>
      </x:c>
      <x:c r="H444" s="19" t="str">
        <x:v>D:/Codex/GRL研究/outputs/grid07/GRID07_report.md</x:v>
      </x:c>
    </x:row>
    <x:row r="445" ht="36" customHeight="1">
      <x:c r="A445" s="19" t="str">
        <x:v>GRID07</x:v>
      </x:c>
      <x:c r="B445" s="19" t="str">
        <x:v>GRID07_report.md</x:v>
      </x:c>
      <x:c r="C445" s="19" t="str">
        <x:v>1. 第一处分歧：立即看并不贵</x:v>
      </x:c>
      <x:c r="D445" s="19" t="str">
        <x:v>项目=加连续控制后的实际最大rho；NN20=0.965442061</x:v>
      </x:c>
      <x:c r="E445" s="19" t="str">
        <x:v>扩展搜索</x:v>
      </x:c>
      <x:c r="F445" s="19" t="str">
        <x:v>0.971538603</x:v>
      </x:c>
      <x:c r="G445" s="19" t="str">
        <x:v>其他/配置</x:v>
      </x:c>
      <x:c r="H445" s="19" t="str">
        <x:v>D:/Codex/GRL研究/outputs/grid07/GRID07_report.md</x:v>
      </x:c>
    </x:row>
    <x:row r="446" ht="36" customHeight="1">
      <x:c r="A446" s="19" t="str">
        <x:v>GRID07</x:v>
      </x:c>
      <x:c r="B446" s="19" t="str">
        <x:v>GRID07_report.md</x:v>
      </x:c>
      <x:c r="C446" s="19" t="str">
        <x:v>1. 第一处分歧：立即看并不贵</x:v>
      </x:c>
      <x:c r="D446" s="19" t="str">
        <x:v>项目=实际当步原生成本；NN20=2347.657471</x:v>
      </x:c>
      <x:c r="E446" s="19" t="str">
        <x:v>NN20</x:v>
      </x:c>
      <x:c r="F446" s="19" t="str">
        <x:v>2347.657471</x:v>
      </x:c>
      <x:c r="G446" s="19" t="str">
        <x:v>其他/配置</x:v>
      </x:c>
      <x:c r="H446" s="19" t="str">
        <x:v>D:/Codex/GRL研究/outputs/grid07/GRID07_report.md</x:v>
      </x:c>
    </x:row>
    <x:row r="447" ht="36" customHeight="1">
      <x:c r="A447" s="19" t="str">
        <x:v>GRID07</x:v>
      </x:c>
      <x:c r="B447" s="19" t="str">
        <x:v>GRID07_report.md</x:v>
      </x:c>
      <x:c r="C447" s="19" t="str">
        <x:v>1. 第一处分歧：立即看并不贵</x:v>
      </x:c>
      <x:c r="D447" s="19" t="str">
        <x:v>项目=实际当步原生成本；NN20=2347.657471</x:v>
      </x:c>
      <x:c r="E447" s="19" t="str">
        <x:v>扩展搜索</x:v>
      </x:c>
      <x:c r="F447" s="19" t="str">
        <x:v>2097.054443</x:v>
      </x:c>
      <x:c r="G447" s="19" t="str">
        <x:v>其他/配置</x:v>
      </x:c>
      <x:c r="H447" s="19" t="str">
        <x:v>D:/Codex/GRL研究/outputs/grid07/GRID07_report.md</x:v>
      </x:c>
    </x:row>
    <x:row r="448" ht="36" customHeight="1">
      <x:c r="A448" s="19" t="str">
        <x:v>GRID07</x:v>
      </x:c>
      <x:c r="B448" s="19" t="str">
        <x:v>GRID07_report.md</x:v>
      </x:c>
      <x:c r="C448" s="19" t="str">
        <x:v>1. 第一处分歧：立即看并不贵</x:v>
      </x:c>
      <x:c r="D448" s="19" t="str">
        <x:v>项目=实际再调度L1，MW；NN20=57.818105</x:v>
      </x:c>
      <x:c r="E448" s="19" t="str">
        <x:v>NN20</x:v>
      </x:c>
      <x:c r="F448" s="19" t="str">
        <x:v>57.818105</x:v>
      </x:c>
      <x:c r="G448" s="19" t="str">
        <x:v>其他/配置</x:v>
      </x:c>
      <x:c r="H448" s="19" t="str">
        <x:v>D:/Codex/GRL研究/outputs/grid07/GRID07_report.md</x:v>
      </x:c>
    </x:row>
    <x:row r="449" ht="36" customHeight="1">
      <x:c r="A449" s="19" t="str">
        <x:v>GRID07</x:v>
      </x:c>
      <x:c r="B449" s="19" t="str">
        <x:v>GRID07_report.md</x:v>
      </x:c>
      <x:c r="C449" s="19" t="str">
        <x:v>1. 第一处分歧：立即看并不贵</x:v>
      </x:c>
      <x:c r="D449" s="19" t="str">
        <x:v>项目=实际再调度L1，MW；NN20=57.818105</x:v>
      </x:c>
      <x:c r="E449" s="19" t="str">
        <x:v>扩展搜索</x:v>
      </x:c>
      <x:c r="F449" s="19" t="str">
        <x:v>49.334212</x:v>
      </x:c>
      <x:c r="G449" s="19" t="str">
        <x:v>其他/配置</x:v>
      </x:c>
      <x:c r="H449" s="19" t="str">
        <x:v>D:/Codex/GRL研究/outputs/grid07/GRID07_report.md</x:v>
      </x:c>
    </x:row>
    <x:row r="450" ht="36" customHeight="1">
      <x:c r="A450" s="19" t="str">
        <x:v>GRID07</x:v>
      </x:c>
      <x:c r="B450" s="19" t="str">
        <x:v>GRID07_report.md</x:v>
      </x:c>
      <x:c r="C450" s="19" t="str">
        <x:v>2. 单次干预：把首个决定与后续回退分开</x:v>
      </x:c>
      <x:c r="D450" s="19" t="str">
        <x:v>策略=历史NN20；完整步数=2017</x:v>
      </x:c>
      <x:c r="E450" s="19" t="str">
        <x:v>完整步数</x:v>
      </x:c>
      <x:c r="F450" s="19" t="str">
        <x:v>2017</x:v>
      </x:c>
      <x:c r="G450" s="19" t="str">
        <x:v>质量/成本</x:v>
      </x:c>
      <x:c r="H450" s="19" t="str">
        <x:v>D:/Codex/GRL研究/outputs/grid07/GRID07_report.md</x:v>
      </x:c>
    </x:row>
    <x:row r="451" ht="36" customHeight="1">
      <x:c r="A451" s="19" t="str">
        <x:v>GRID07</x:v>
      </x:c>
      <x:c r="B451" s="19" t="str">
        <x:v>GRID07_report.md</x:v>
      </x:c>
      <x:c r="C451" s="19" t="str">
        <x:v>2. 单次干预：把首个决定与后续回退分开</x:v>
      </x:c>
      <x:c r="D451" s="19" t="str">
        <x:v>策略=历史NN20；完整步数=2017</x:v>
      </x:c>
      <x:c r="E451" s="19" t="str">
        <x:v>整周原生成本</x:v>
      </x:c>
      <x:c r="F451" s="19" t="str">
        <x:v>6707772.520813</x:v>
      </x:c>
      <x:c r="G451" s="19" t="str">
        <x:v>质量/成本</x:v>
      </x:c>
      <x:c r="H451" s="19" t="str">
        <x:v>D:/Codex/GRL研究/outputs/grid07/GRID07_report.md</x:v>
      </x:c>
    </x:row>
    <x:row r="452" ht="36" customHeight="1">
      <x:c r="A452" s="19" t="str">
        <x:v>GRID07</x:v>
      </x:c>
      <x:c r="B452" s="19" t="str">
        <x:v>GRID07_report.md</x:v>
      </x:c>
      <x:c r="C452" s="19" t="str">
        <x:v>2. 单次干预：把首个决定与后续回退分开</x:v>
      </x:c>
      <x:c r="D452" s="19" t="str">
        <x:v>策略=历史NN20；完整步数=2017</x:v>
      </x:c>
      <x:c r="E452" s="19" t="str">
        <x:v>相对原NN20</x:v>
      </x:c>
      <x:c r="F452" s="19" t="str">
        <x:v>参照</x:v>
      </x:c>
      <x:c r="G452" s="19" t="str">
        <x:v>其他/配置</x:v>
      </x:c>
      <x:c r="H452" s="19" t="str">
        <x:v>D:/Codex/GRL研究/outputs/grid07/GRID07_report.md</x:v>
      </x:c>
    </x:row>
    <x:row r="453" ht="36" customHeight="1">
      <x:c r="A453" s="19" t="str">
        <x:v>GRID07</x:v>
      </x:c>
      <x:c r="B453" s="19" t="str">
        <x:v>GRID07_report.md</x:v>
      </x:c>
      <x:c r="C453" s="19" t="str">
        <x:v>2. 单次干预：把首个决定与后续回退分开</x:v>
      </x:c>
      <x:c r="D453" s="19" t="str">
        <x:v>策略=只在221步扩展，后续NN20；完整步数=2017</x:v>
      </x:c>
      <x:c r="E453" s="19" t="str">
        <x:v>完整步数</x:v>
      </x:c>
      <x:c r="F453" s="19" t="str">
        <x:v>2017</x:v>
      </x:c>
      <x:c r="G453" s="19" t="str">
        <x:v>质量/成本</x:v>
      </x:c>
      <x:c r="H453" s="19" t="str">
        <x:v>D:/Codex/GRL研究/outputs/grid07/GRID07_report.md</x:v>
      </x:c>
    </x:row>
    <x:row r="454" ht="36" customHeight="1">
      <x:c r="A454" s="19" t="str">
        <x:v>GRID07</x:v>
      </x:c>
      <x:c r="B454" s="19" t="str">
        <x:v>GRID07_report.md</x:v>
      </x:c>
      <x:c r="C454" s="19" t="str">
        <x:v>2. 单次干预：把首个决定与后续回退分开</x:v>
      </x:c>
      <x:c r="D454" s="19" t="str">
        <x:v>策略=只在221步扩展，后续NN20；完整步数=2017</x:v>
      </x:c>
      <x:c r="E454" s="19" t="str">
        <x:v>整周原生成本</x:v>
      </x:c>
      <x:c r="F454" s="19" t="str">
        <x:v>7786842.523621</x:v>
      </x:c>
      <x:c r="G454" s="19" t="str">
        <x:v>质量/成本</x:v>
      </x:c>
      <x:c r="H454" s="19" t="str">
        <x:v>D:/Codex/GRL研究/outputs/grid07/GRID07_report.md</x:v>
      </x:c>
    </x:row>
    <x:row r="455" ht="36" customHeight="1">
      <x:c r="A455" s="19" t="str">
        <x:v>GRID07</x:v>
      </x:c>
      <x:c r="B455" s="19" t="str">
        <x:v>GRID07_report.md</x:v>
      </x:c>
      <x:c r="C455" s="19" t="str">
        <x:v>2. 单次干预：把首个决定与后续回退分开</x:v>
      </x:c>
      <x:c r="D455" s="19" t="str">
        <x:v>策略=只在221步扩展，后续NN20；完整步数=2017</x:v>
      </x:c>
      <x:c r="E455" s="19" t="str">
        <x:v>相对原NN20</x:v>
      </x:c>
      <x:c r="F455" s="19" t="str">
        <x:v>+16.0869%</x:v>
      </x:c>
      <x:c r="G455" s="19" t="str">
        <x:v>其他/配置</x:v>
      </x:c>
      <x:c r="H455" s="19" t="str">
        <x:v>D:/Codex/GRL研究/outputs/grid07/GRID07_report.md</x:v>
      </x:c>
    </x:row>
    <x:row r="456" ht="36" customHeight="1">
      <x:c r="A456" s="19" t="str">
        <x:v>GRID07</x:v>
      </x:c>
      <x:c r="B456" s="19" t="str">
        <x:v>GRID07_report.md</x:v>
      </x:c>
      <x:c r="C456" s="19" t="str">
        <x:v>2. 单次干预：把首个决定与后续回退分开</x:v>
      </x:c>
      <x:c r="D456" s="19" t="str">
        <x:v>策略=历史整套FALLBACK90；完整步数=2017</x:v>
      </x:c>
      <x:c r="E456" s="19" t="str">
        <x:v>完整步数</x:v>
      </x:c>
      <x:c r="F456" s="19" t="str">
        <x:v>2017</x:v>
      </x:c>
      <x:c r="G456" s="19" t="str">
        <x:v>质量/成本</x:v>
      </x:c>
      <x:c r="H456" s="19" t="str">
        <x:v>D:/Codex/GRL研究/outputs/grid07/GRID07_report.md</x:v>
      </x:c>
    </x:row>
    <x:row r="457" ht="36" customHeight="1">
      <x:c r="A457" s="19" t="str">
        <x:v>GRID07</x:v>
      </x:c>
      <x:c r="B457" s="19" t="str">
        <x:v>GRID07_report.md</x:v>
      </x:c>
      <x:c r="C457" s="19" t="str">
        <x:v>2. 单次干预：把首个决定与后续回退分开</x:v>
      </x:c>
      <x:c r="D457" s="19" t="str">
        <x:v>策略=历史整套FALLBACK90；完整步数=2017</x:v>
      </x:c>
      <x:c r="E457" s="19" t="str">
        <x:v>整周原生成本</x:v>
      </x:c>
      <x:c r="F457" s="19" t="str">
        <x:v>8414074.452332</x:v>
      </x:c>
      <x:c r="G457" s="19" t="str">
        <x:v>质量/成本</x:v>
      </x:c>
      <x:c r="H457" s="19" t="str">
        <x:v>D:/Codex/GRL研究/outputs/grid07/GRID07_report.md</x:v>
      </x:c>
    </x:row>
    <x:row r="458" ht="36" customHeight="1">
      <x:c r="A458" s="19" t="str">
        <x:v>GRID07</x:v>
      </x:c>
      <x:c r="B458" s="19" t="str">
        <x:v>GRID07_report.md</x:v>
      </x:c>
      <x:c r="C458" s="19" t="str">
        <x:v>2. 单次干预：把首个决定与后续回退分开</x:v>
      </x:c>
      <x:c r="D458" s="19" t="str">
        <x:v>策略=历史整套FALLBACK90；完整步数=2017</x:v>
      </x:c>
      <x:c r="E458" s="19" t="str">
        <x:v>相对原NN20</x:v>
      </x:c>
      <x:c r="F458" s="19" t="str">
        <x:v>+25.4377%</x:v>
      </x:c>
      <x:c r="G458" s="19" t="str">
        <x:v>其他/配置</x:v>
      </x:c>
      <x:c r="H458" s="19" t="str">
        <x:v>D:/Codex/GRL研究/outputs/grid07/GRID07_report.md</x:v>
      </x:c>
    </x:row>
    <x:row r="459" ht="36" customHeight="1">
      <x:c r="A459" s="19" t="str">
        <x:v>GRID08</x:v>
      </x:c>
      <x:c r="B459" s="19" t="str">
        <x:v>GRID08_report.md</x:v>
      </x:c>
      <x:c r="C459" s="19" t="str">
        <x:v>1. GRID08 training and adaptation delivery</x:v>
      </x:c>
      <x:c r="D459" s="19" t="str">
        <x:v>Version=v0；Model=gnn</x:v>
      </x:c>
      <x:c r="E459" s="19" t="str">
        <x:v>Model</x:v>
      </x:c>
      <x:c r="F459" s="19" t="str">
        <x:v>gnn</x:v>
      </x:c>
      <x:c r="G459" s="19" t="str">
        <x:v>其他/配置</x:v>
      </x:c>
      <x:c r="H459" s="19" t="str">
        <x:v>D:/Codex/GRL研究/outputs/grid08/GRID08_report.md</x:v>
      </x:c>
    </x:row>
    <x:row r="460" ht="36" customHeight="1">
      <x:c r="A460" s="19" t="str">
        <x:v>GRID08</x:v>
      </x:c>
      <x:c r="B460" s="19" t="str">
        <x:v>GRID08_report.md</x:v>
      </x:c>
      <x:c r="C460" s="19" t="str">
        <x:v>1. GRID08 training and adaptation delivery</x:v>
      </x:c>
      <x:c r="D460" s="19" t="str">
        <x:v>Version=v0；Model=gnn</x:v>
      </x:c>
      <x:c r="E460" s="19" t="str">
        <x:v>Reference</x:v>
      </x:c>
      <x:c r="F460" s="19" t="str">
        <x:v>NN20</x:v>
      </x:c>
      <x:c r="G460" s="19" t="str">
        <x:v>其他/配置</x:v>
      </x:c>
      <x:c r="H460" s="19" t="str">
        <x:v>D:/Codex/GRL研究/outputs/grid08/GRID08_report.md</x:v>
      </x:c>
    </x:row>
    <x:row r="461" ht="36" customHeight="1">
      <x:c r="A461" s="19" t="str">
        <x:v>GRID08</x:v>
      </x:c>
      <x:c r="B461" s="19" t="str">
        <x:v>GRID08_report.md</x:v>
      </x:c>
      <x:c r="C461" s="19" t="str">
        <x:v>1. GRID08 training and adaptation delivery</x:v>
      </x:c>
      <x:c r="D461" s="19" t="str">
        <x:v>Version=v0；Model=gnn</x:v>
      </x:c>
      <x:c r="E461" s="19" t="str">
        <x:v>Complete pairs</x:v>
      </x:c>
      <x:c r="F461" s="19" t="str">
        <x:v>4</x:v>
      </x:c>
      <x:c r="G461" s="19" t="str">
        <x:v>其他/配置</x:v>
      </x:c>
      <x:c r="H461" s="19" t="str">
        <x:v>D:/Codex/GRL研究/outputs/grid08/GRID08_report.md</x:v>
      </x:c>
    </x:row>
    <x:row r="462" ht="36" customHeight="1">
      <x:c r="A462" s="19" t="str">
        <x:v>GRID08</x:v>
      </x:c>
      <x:c r="B462" s="19" t="str">
        <x:v>GRID08_report.md</x:v>
      </x:c>
      <x:c r="C462" s="19" t="str">
        <x:v>1. GRID08 training and adaptation delivery</x:v>
      </x:c>
      <x:c r="D462" s="19" t="str">
        <x:v>Version=v0；Model=gnn</x:v>
      </x:c>
      <x:c r="E462" s="19" t="str">
        <x:v>Mean cost reduction</x:v>
      </x:c>
      <x:c r="F462" s="19" t="str">
        <x:v>63.8645%</x:v>
      </x:c>
      <x:c r="G462" s="19" t="str">
        <x:v>其他/配置</x:v>
      </x:c>
      <x:c r="H462" s="19" t="str">
        <x:v>D:/Codex/GRL研究/outputs/grid08/GRID08_report.md</x:v>
      </x:c>
    </x:row>
    <x:row r="463" ht="36" customHeight="1">
      <x:c r="A463" s="19" t="str">
        <x:v>GRID08</x:v>
      </x:c>
      <x:c r="B463" s="19" t="str">
        <x:v>GRID08_report.md</x:v>
      </x:c>
      <x:c r="C463" s="19" t="str">
        <x:v>1. GRID08 training and adaptation delivery</x:v>
      </x:c>
      <x:c r="D463" s="19" t="str">
        <x:v>Version=v0；Model=gnn</x:v>
      </x:c>
      <x:c r="E463" s="19" t="str">
        <x:v>Positive / negative</x:v>
      </x:c>
      <x:c r="F463" s="19" t="str">
        <x:v>4 / 0</x:v>
      </x:c>
      <x:c r="G463" s="19" t="str">
        <x:v>其他/配置</x:v>
      </x:c>
      <x:c r="H463" s="19" t="str">
        <x:v>D:/Codex/GRL研究/outputs/grid08/GRID08_report.md</x:v>
      </x:c>
    </x:row>
    <x:row r="464" ht="36" customHeight="1">
      <x:c r="A464" s="19" t="str">
        <x:v>GRID08</x:v>
      </x:c>
      <x:c r="B464" s="19" t="str">
        <x:v>GRID08_report.md</x:v>
      </x:c>
      <x:c r="C464" s="19" t="str">
        <x:v>1. GRID08 training and adaptation delivery</x:v>
      </x:c>
      <x:c r="D464" s="19" t="str">
        <x:v>Version=v0；Model=gnn</x:v>
      </x:c>
      <x:c r="E464" s="19" t="str">
        <x:v>Identical trajectories</x:v>
      </x:c>
      <x:c r="F464" s="19" t="str">
        <x:v>0</x:v>
      </x:c>
      <x:c r="G464" s="19" t="str">
        <x:v>其他/配置</x:v>
      </x:c>
      <x:c r="H464" s="19" t="str">
        <x:v>D:/Codex/GRL研究/outputs/grid08/GRID08_report.md</x:v>
      </x:c>
    </x:row>
    <x:row r="465" ht="36" customHeight="1">
      <x:c r="A465" s="19" t="str">
        <x:v>GRID08</x:v>
      </x:c>
      <x:c r="B465" s="19" t="str">
        <x:v>GRID08_report.md</x:v>
      </x:c>
      <x:c r="C465" s="19" t="str">
        <x:v>1. GRID08 training and adaptation delivery</x:v>
      </x:c>
      <x:c r="D465" s="19" t="str">
        <x:v>Version=v0；Model=gnn</x:v>
      </x:c>
      <x:c r="E465" s="19" t="str">
        <x:v>Model</x:v>
      </x:c>
      <x:c r="F465" s="19" t="str">
        <x:v>gnn</x:v>
      </x:c>
      <x:c r="G465" s="19" t="str">
        <x:v>其他/配置</x:v>
      </x:c>
      <x:c r="H465" s="19" t="str">
        <x:v>D:/Codex/GRL研究/outputs/grid08/GRID08_report.md</x:v>
      </x:c>
    </x:row>
    <x:row r="466" ht="36" customHeight="1">
      <x:c r="A466" s="19" t="str">
        <x:v>GRID08</x:v>
      </x:c>
      <x:c r="B466" s="19" t="str">
        <x:v>GRID08_report.md</x:v>
      </x:c>
      <x:c r="C466" s="19" t="str">
        <x:v>1. GRID08 training and adaptation delivery</x:v>
      </x:c>
      <x:c r="D466" s="19" t="str">
        <x:v>Version=v0；Model=gnn</x:v>
      </x:c>
      <x:c r="E466" s="19" t="str">
        <x:v>Reference</x:v>
      </x:c>
      <x:c r="F466" s="19" t="str">
        <x:v>ALWAYS_RESTORE</x:v>
      </x:c>
      <x:c r="G466" s="19" t="str">
        <x:v>其他/配置</x:v>
      </x:c>
      <x:c r="H466" s="19" t="str">
        <x:v>D:/Codex/GRL研究/outputs/grid08/GRID08_report.md</x:v>
      </x:c>
    </x:row>
    <x:row r="467" ht="36" customHeight="1">
      <x:c r="A467" s="19" t="str">
        <x:v>GRID08</x:v>
      </x:c>
      <x:c r="B467" s="19" t="str">
        <x:v>GRID08_report.md</x:v>
      </x:c>
      <x:c r="C467" s="19" t="str">
        <x:v>1. GRID08 training and adaptation delivery</x:v>
      </x:c>
      <x:c r="D467" s="19" t="str">
        <x:v>Version=v0；Model=gnn</x:v>
      </x:c>
      <x:c r="E467" s="19" t="str">
        <x:v>Complete pairs</x:v>
      </x:c>
      <x:c r="F467" s="19" t="str">
        <x:v>4</x:v>
      </x:c>
      <x:c r="G467" s="19" t="str">
        <x:v>其他/配置</x:v>
      </x:c>
      <x:c r="H467" s="19" t="str">
        <x:v>D:/Codex/GRL研究/outputs/grid08/GRID08_report.md</x:v>
      </x:c>
    </x:row>
    <x:row r="468" ht="36" customHeight="1">
      <x:c r="A468" s="19" t="str">
        <x:v>GRID08</x:v>
      </x:c>
      <x:c r="B468" s="19" t="str">
        <x:v>GRID08_report.md</x:v>
      </x:c>
      <x:c r="C468" s="19" t="str">
        <x:v>1. GRID08 training and adaptation delivery</x:v>
      </x:c>
      <x:c r="D468" s="19" t="str">
        <x:v>Version=v0；Model=gnn</x:v>
      </x:c>
      <x:c r="E468" s="19" t="str">
        <x:v>Mean cost reduction</x:v>
      </x:c>
      <x:c r="F468" s="19" t="str">
        <x:v>0.0000%</x:v>
      </x:c>
      <x:c r="G468" s="19" t="str">
        <x:v>其他/配置</x:v>
      </x:c>
      <x:c r="H468" s="19" t="str">
        <x:v>D:/Codex/GRL研究/outputs/grid08/GRID08_report.md</x:v>
      </x:c>
    </x:row>
    <x:row r="469" ht="36" customHeight="1">
      <x:c r="A469" s="19" t="str">
        <x:v>GRID08</x:v>
      </x:c>
      <x:c r="B469" s="19" t="str">
        <x:v>GRID08_report.md</x:v>
      </x:c>
      <x:c r="C469" s="19" t="str">
        <x:v>1. GRID08 training and adaptation delivery</x:v>
      </x:c>
      <x:c r="D469" s="19" t="str">
        <x:v>Version=v0；Model=gnn</x:v>
      </x:c>
      <x:c r="E469" s="19" t="str">
        <x:v>Positive / negative</x:v>
      </x:c>
      <x:c r="F469" s="19" t="str">
        <x:v>0 / 0</x:v>
      </x:c>
      <x:c r="G469" s="19" t="str">
        <x:v>其他/配置</x:v>
      </x:c>
      <x:c r="H469" s="19" t="str">
        <x:v>D:/Codex/GRL研究/outputs/grid08/GRID08_report.md</x:v>
      </x:c>
    </x:row>
    <x:row r="470" ht="36" customHeight="1">
      <x:c r="A470" s="19" t="str">
        <x:v>GRID08</x:v>
      </x:c>
      <x:c r="B470" s="19" t="str">
        <x:v>GRID08_report.md</x:v>
      </x:c>
      <x:c r="C470" s="19" t="str">
        <x:v>1. GRID08 training and adaptation delivery</x:v>
      </x:c>
      <x:c r="D470" s="19" t="str">
        <x:v>Version=v0；Model=gnn</x:v>
      </x:c>
      <x:c r="E470" s="19" t="str">
        <x:v>Identical trajectories</x:v>
      </x:c>
      <x:c r="F470" s="19" t="str">
        <x:v>4</x:v>
      </x:c>
      <x:c r="G470" s="19" t="str">
        <x:v>其他/配置</x:v>
      </x:c>
      <x:c r="H470" s="19" t="str">
        <x:v>D:/Codex/GRL研究/outputs/grid08/GRID08_report.md</x:v>
      </x:c>
    </x:row>
    <x:row r="471" ht="36" customHeight="1">
      <x:c r="A471" s="19" t="str">
        <x:v>GRID08</x:v>
      </x:c>
      <x:c r="B471" s="19" t="str">
        <x:v>GRID08_report.md</x:v>
      </x:c>
      <x:c r="C471" s="19" t="str">
        <x:v>1. GRID08 training and adaptation delivery</x:v>
      </x:c>
      <x:c r="D471" s="19" t="str">
        <x:v>Version=v0；Model=gnn</x:v>
      </x:c>
      <x:c r="E471" s="19" t="str">
        <x:v>Model</x:v>
      </x:c>
      <x:c r="F471" s="19" t="str">
        <x:v>gnn</x:v>
      </x:c>
      <x:c r="G471" s="19" t="str">
        <x:v>其他/配置</x:v>
      </x:c>
      <x:c r="H471" s="19" t="str">
        <x:v>D:/Codex/GRL研究/outputs/grid08/GRID08_report.md</x:v>
      </x:c>
    </x:row>
    <x:row r="472" ht="36" customHeight="1">
      <x:c r="A472" s="19" t="str">
        <x:v>GRID08</x:v>
      </x:c>
      <x:c r="B472" s="19" t="str">
        <x:v>GRID08_report.md</x:v>
      </x:c>
      <x:c r="C472" s="19" t="str">
        <x:v>1. GRID08 training and adaptation delivery</x:v>
      </x:c>
      <x:c r="D472" s="19" t="str">
        <x:v>Version=v0；Model=gnn</x:v>
      </x:c>
      <x:c r="E472" s="19" t="str">
        <x:v>Reference</x:v>
      </x:c>
      <x:c r="F472" s="19" t="str">
        <x:v>IMMEDIATE_COST</x:v>
      </x:c>
      <x:c r="G472" s="19" t="str">
        <x:v>其他/配置</x:v>
      </x:c>
      <x:c r="H472" s="19" t="str">
        <x:v>D:/Codex/GRL研究/outputs/grid08/GRID08_report.md</x:v>
      </x:c>
    </x:row>
    <x:row r="473" ht="36" customHeight="1">
      <x:c r="A473" s="19" t="str">
        <x:v>GRID08</x:v>
      </x:c>
      <x:c r="B473" s="19" t="str">
        <x:v>GRID08_report.md</x:v>
      </x:c>
      <x:c r="C473" s="19" t="str">
        <x:v>1. GRID08 training and adaptation delivery</x:v>
      </x:c>
      <x:c r="D473" s="19" t="str">
        <x:v>Version=v0；Model=gnn</x:v>
      </x:c>
      <x:c r="E473" s="19" t="str">
        <x:v>Complete pairs</x:v>
      </x:c>
      <x:c r="F473" s="19" t="str">
        <x:v>3</x:v>
      </x:c>
      <x:c r="G473" s="19" t="str">
        <x:v>其他/配置</x:v>
      </x:c>
      <x:c r="H473" s="19" t="str">
        <x:v>D:/Codex/GRL研究/outputs/grid08/GRID08_report.md</x:v>
      </x:c>
    </x:row>
    <x:row r="474" ht="36" customHeight="1">
      <x:c r="A474" s="19" t="str">
        <x:v>GRID08</x:v>
      </x:c>
      <x:c r="B474" s="19" t="str">
        <x:v>GRID08_report.md</x:v>
      </x:c>
      <x:c r="C474" s="19" t="str">
        <x:v>1. GRID08 training and adaptation delivery</x:v>
      </x:c>
      <x:c r="D474" s="19" t="str">
        <x:v>Version=v0；Model=gnn</x:v>
      </x:c>
      <x:c r="E474" s="19" t="str">
        <x:v>Mean cost reduction</x:v>
      </x:c>
      <x:c r="F474" s="19" t="str">
        <x:v>31.3110%</x:v>
      </x:c>
      <x:c r="G474" s="19" t="str">
        <x:v>其他/配置</x:v>
      </x:c>
      <x:c r="H474" s="19" t="str">
        <x:v>D:/Codex/GRL研究/outputs/grid08/GRID08_report.md</x:v>
      </x:c>
    </x:row>
    <x:row r="475" ht="36" customHeight="1">
      <x:c r="A475" s="19" t="str">
        <x:v>GRID08</x:v>
      </x:c>
      <x:c r="B475" s="19" t="str">
        <x:v>GRID08_report.md</x:v>
      </x:c>
      <x:c r="C475" s="19" t="str">
        <x:v>1. GRID08 training and adaptation delivery</x:v>
      </x:c>
      <x:c r="D475" s="19" t="str">
        <x:v>Version=v0；Model=gnn</x:v>
      </x:c>
      <x:c r="E475" s="19" t="str">
        <x:v>Positive / negative</x:v>
      </x:c>
      <x:c r="F475" s="19" t="str">
        <x:v>3 / 0</x:v>
      </x:c>
      <x:c r="G475" s="19" t="str">
        <x:v>其他/配置</x:v>
      </x:c>
      <x:c r="H475" s="19" t="str">
        <x:v>D:/Codex/GRL研究/outputs/grid08/GRID08_report.md</x:v>
      </x:c>
    </x:row>
    <x:row r="476" ht="36" customHeight="1">
      <x:c r="A476" s="19" t="str">
        <x:v>GRID08</x:v>
      </x:c>
      <x:c r="B476" s="19" t="str">
        <x:v>GRID08_report.md</x:v>
      </x:c>
      <x:c r="C476" s="19" t="str">
        <x:v>1. GRID08 training and adaptation delivery</x:v>
      </x:c>
      <x:c r="D476" s="19" t="str">
        <x:v>Version=v0；Model=gnn</x:v>
      </x:c>
      <x:c r="E476" s="19" t="str">
        <x:v>Identical trajectories</x:v>
      </x:c>
      <x:c r="F476" s="19" t="str">
        <x:v>0</x:v>
      </x:c>
      <x:c r="G476" s="19" t="str">
        <x:v>其他/配置</x:v>
      </x:c>
      <x:c r="H476" s="19" t="str">
        <x:v>D:/Codex/GRL研究/outputs/grid08/GRID08_report.md</x:v>
      </x:c>
    </x:row>
    <x:row r="477" ht="36" customHeight="1">
      <x:c r="A477" s="19" t="str">
        <x:v>GRID08</x:v>
      </x:c>
      <x:c r="B477" s="19" t="str">
        <x:v>GRID08_report.md</x:v>
      </x:c>
      <x:c r="C477" s="19" t="str">
        <x:v>1. GRID08 training and adaptation delivery</x:v>
      </x:c>
      <x:c r="D477" s="19" t="str">
        <x:v>Version=v0；Model=mlp</x:v>
      </x:c>
      <x:c r="E477" s="19" t="str">
        <x:v>Model</x:v>
      </x:c>
      <x:c r="F477" s="19" t="str">
        <x:v>mlp</x:v>
      </x:c>
      <x:c r="G477" s="19" t="str">
        <x:v>其他/配置</x:v>
      </x:c>
      <x:c r="H477" s="19" t="str">
        <x:v>D:/Codex/GRL研究/outputs/grid08/GRID08_report.md</x:v>
      </x:c>
    </x:row>
    <x:row r="478" ht="36" customHeight="1">
      <x:c r="A478" s="19" t="str">
        <x:v>GRID08</x:v>
      </x:c>
      <x:c r="B478" s="19" t="str">
        <x:v>GRID08_report.md</x:v>
      </x:c>
      <x:c r="C478" s="19" t="str">
        <x:v>1. GRID08 training and adaptation delivery</x:v>
      </x:c>
      <x:c r="D478" s="19" t="str">
        <x:v>Version=v0；Model=mlp</x:v>
      </x:c>
      <x:c r="E478" s="19" t="str">
        <x:v>Reference</x:v>
      </x:c>
      <x:c r="F478" s="19" t="str">
        <x:v>NN20</x:v>
      </x:c>
      <x:c r="G478" s="19" t="str">
        <x:v>其他/配置</x:v>
      </x:c>
      <x:c r="H478" s="19" t="str">
        <x:v>D:/Codex/GRL研究/outputs/grid08/GRID08_report.md</x:v>
      </x:c>
    </x:row>
    <x:row r="479" ht="36" customHeight="1">
      <x:c r="A479" s="19" t="str">
        <x:v>GRID08</x:v>
      </x:c>
      <x:c r="B479" s="19" t="str">
        <x:v>GRID08_report.md</x:v>
      </x:c>
      <x:c r="C479" s="19" t="str">
        <x:v>1. GRID08 training and adaptation delivery</x:v>
      </x:c>
      <x:c r="D479" s="19" t="str">
        <x:v>Version=v0；Model=mlp</x:v>
      </x:c>
      <x:c r="E479" s="19" t="str">
        <x:v>Complete pairs</x:v>
      </x:c>
      <x:c r="F479" s="19" t="str">
        <x:v>4</x:v>
      </x:c>
      <x:c r="G479" s="19" t="str">
        <x:v>其他/配置</x:v>
      </x:c>
      <x:c r="H479" s="19" t="str">
        <x:v>D:/Codex/GRL研究/outputs/grid08/GRID08_report.md</x:v>
      </x:c>
    </x:row>
    <x:row r="480" ht="36" customHeight="1">
      <x:c r="A480" s="19" t="str">
        <x:v>GRID08</x:v>
      </x:c>
      <x:c r="B480" s="19" t="str">
        <x:v>GRID08_report.md</x:v>
      </x:c>
      <x:c r="C480" s="19" t="str">
        <x:v>1. GRID08 training and adaptation delivery</x:v>
      </x:c>
      <x:c r="D480" s="19" t="str">
        <x:v>Version=v0；Model=mlp</x:v>
      </x:c>
      <x:c r="E480" s="19" t="str">
        <x:v>Mean cost reduction</x:v>
      </x:c>
      <x:c r="F480" s="19" t="str">
        <x:v>63.8645%</x:v>
      </x:c>
      <x:c r="G480" s="19" t="str">
        <x:v>其他/配置</x:v>
      </x:c>
      <x:c r="H480" s="19" t="str">
        <x:v>D:/Codex/GRL研究/outputs/grid08/GRID08_report.md</x:v>
      </x:c>
    </x:row>
    <x:row r="481" ht="36" customHeight="1">
      <x:c r="A481" s="19" t="str">
        <x:v>GRID08</x:v>
      </x:c>
      <x:c r="B481" s="19" t="str">
        <x:v>GRID08_report.md</x:v>
      </x:c>
      <x:c r="C481" s="19" t="str">
        <x:v>1. GRID08 training and adaptation delivery</x:v>
      </x:c>
      <x:c r="D481" s="19" t="str">
        <x:v>Version=v0；Model=mlp</x:v>
      </x:c>
      <x:c r="E481" s="19" t="str">
        <x:v>Positive / negative</x:v>
      </x:c>
      <x:c r="F481" s="19" t="str">
        <x:v>4 / 0</x:v>
      </x:c>
      <x:c r="G481" s="19" t="str">
        <x:v>其他/配置</x:v>
      </x:c>
      <x:c r="H481" s="19" t="str">
        <x:v>D:/Codex/GRL研究/outputs/grid08/GRID08_report.md</x:v>
      </x:c>
    </x:row>
    <x:row r="482" ht="36" customHeight="1">
      <x:c r="A482" s="19" t="str">
        <x:v>GRID08</x:v>
      </x:c>
      <x:c r="B482" s="19" t="str">
        <x:v>GRID08_report.md</x:v>
      </x:c>
      <x:c r="C482" s="19" t="str">
        <x:v>1. GRID08 training and adaptation delivery</x:v>
      </x:c>
      <x:c r="D482" s="19" t="str">
        <x:v>Version=v0；Model=mlp</x:v>
      </x:c>
      <x:c r="E482" s="19" t="str">
        <x:v>Identical trajectories</x:v>
      </x:c>
      <x:c r="F482" s="19" t="str">
        <x:v>0</x:v>
      </x:c>
      <x:c r="G482" s="19" t="str">
        <x:v>其他/配置</x:v>
      </x:c>
      <x:c r="H482" s="19" t="str">
        <x:v>D:/Codex/GRL研究/outputs/grid08/GRID08_report.md</x:v>
      </x:c>
    </x:row>
    <x:row r="483" ht="36" customHeight="1">
      <x:c r="A483" s="19" t="str">
        <x:v>GRID08</x:v>
      </x:c>
      <x:c r="B483" s="19" t="str">
        <x:v>GRID08_report.md</x:v>
      </x:c>
      <x:c r="C483" s="19" t="str">
        <x:v>1. GRID08 training and adaptation delivery</x:v>
      </x:c>
      <x:c r="D483" s="19" t="str">
        <x:v>Version=v0；Model=mlp</x:v>
      </x:c>
      <x:c r="E483" s="19" t="str">
        <x:v>Model</x:v>
      </x:c>
      <x:c r="F483" s="19" t="str">
        <x:v>mlp</x:v>
      </x:c>
      <x:c r="G483" s="19" t="str">
        <x:v>其他/配置</x:v>
      </x:c>
      <x:c r="H483" s="19" t="str">
        <x:v>D:/Codex/GRL研究/outputs/grid08/GRID08_report.md</x:v>
      </x:c>
    </x:row>
    <x:row r="484" ht="36" customHeight="1">
      <x:c r="A484" s="19" t="str">
        <x:v>GRID08</x:v>
      </x:c>
      <x:c r="B484" s="19" t="str">
        <x:v>GRID08_report.md</x:v>
      </x:c>
      <x:c r="C484" s="19" t="str">
        <x:v>1. GRID08 training and adaptation delivery</x:v>
      </x:c>
      <x:c r="D484" s="19" t="str">
        <x:v>Version=v0；Model=mlp</x:v>
      </x:c>
      <x:c r="E484" s="19" t="str">
        <x:v>Reference</x:v>
      </x:c>
      <x:c r="F484" s="19" t="str">
        <x:v>ALWAYS_RESTORE</x:v>
      </x:c>
      <x:c r="G484" s="19" t="str">
        <x:v>其他/配置</x:v>
      </x:c>
      <x:c r="H484" s="19" t="str">
        <x:v>D:/Codex/GRL研究/outputs/grid08/GRID08_report.md</x:v>
      </x:c>
    </x:row>
    <x:row r="485" ht="36" customHeight="1">
      <x:c r="A485" s="19" t="str">
        <x:v>GRID08</x:v>
      </x:c>
      <x:c r="B485" s="19" t="str">
        <x:v>GRID08_report.md</x:v>
      </x:c>
      <x:c r="C485" s="19" t="str">
        <x:v>1. GRID08 training and adaptation delivery</x:v>
      </x:c>
      <x:c r="D485" s="19" t="str">
        <x:v>Version=v0；Model=mlp</x:v>
      </x:c>
      <x:c r="E485" s="19" t="str">
        <x:v>Complete pairs</x:v>
      </x:c>
      <x:c r="F485" s="19" t="str">
        <x:v>4</x:v>
      </x:c>
      <x:c r="G485" s="19" t="str">
        <x:v>其他/配置</x:v>
      </x:c>
      <x:c r="H485" s="19" t="str">
        <x:v>D:/Codex/GRL研究/outputs/grid08/GRID08_report.md</x:v>
      </x:c>
    </x:row>
    <x:row r="486" ht="36" customHeight="1">
      <x:c r="A486" s="19" t="str">
        <x:v>GRID08</x:v>
      </x:c>
      <x:c r="B486" s="19" t="str">
        <x:v>GRID08_report.md</x:v>
      </x:c>
      <x:c r="C486" s="19" t="str">
        <x:v>1. GRID08 training and adaptation delivery</x:v>
      </x:c>
      <x:c r="D486" s="19" t="str">
        <x:v>Version=v0；Model=mlp</x:v>
      </x:c>
      <x:c r="E486" s="19" t="str">
        <x:v>Mean cost reduction</x:v>
      </x:c>
      <x:c r="F486" s="19" t="str">
        <x:v>0.0000%</x:v>
      </x:c>
      <x:c r="G486" s="19" t="str">
        <x:v>其他/配置</x:v>
      </x:c>
      <x:c r="H486" s="19" t="str">
        <x:v>D:/Codex/GRL研究/outputs/grid08/GRID08_report.md</x:v>
      </x:c>
    </x:row>
    <x:row r="487" ht="36" customHeight="1">
      <x:c r="A487" s="19" t="str">
        <x:v>GRID08</x:v>
      </x:c>
      <x:c r="B487" s="19" t="str">
        <x:v>GRID08_report.md</x:v>
      </x:c>
      <x:c r="C487" s="19" t="str">
        <x:v>1. GRID08 training and adaptation delivery</x:v>
      </x:c>
      <x:c r="D487" s="19" t="str">
        <x:v>Version=v0；Model=mlp</x:v>
      </x:c>
      <x:c r="E487" s="19" t="str">
        <x:v>Positive / negative</x:v>
      </x:c>
      <x:c r="F487" s="19" t="str">
        <x:v>0 / 0</x:v>
      </x:c>
      <x:c r="G487" s="19" t="str">
        <x:v>其他/配置</x:v>
      </x:c>
      <x:c r="H487" s="19" t="str">
        <x:v>D:/Codex/GRL研究/outputs/grid08/GRID08_report.md</x:v>
      </x:c>
    </x:row>
    <x:row r="488" ht="36" customHeight="1">
      <x:c r="A488" s="19" t="str">
        <x:v>GRID08</x:v>
      </x:c>
      <x:c r="B488" s="19" t="str">
        <x:v>GRID08_report.md</x:v>
      </x:c>
      <x:c r="C488" s="19" t="str">
        <x:v>1. GRID08 training and adaptation delivery</x:v>
      </x:c>
      <x:c r="D488" s="19" t="str">
        <x:v>Version=v0；Model=mlp</x:v>
      </x:c>
      <x:c r="E488" s="19" t="str">
        <x:v>Identical trajectories</x:v>
      </x:c>
      <x:c r="F488" s="19" t="str">
        <x:v>4</x:v>
      </x:c>
      <x:c r="G488" s="19" t="str">
        <x:v>其他/配置</x:v>
      </x:c>
      <x:c r="H488" s="19" t="str">
        <x:v>D:/Codex/GRL研究/outputs/grid08/GRID08_report.md</x:v>
      </x:c>
    </x:row>
    <x:row r="489" ht="36" customHeight="1">
      <x:c r="A489" s="19" t="str">
        <x:v>GRID08</x:v>
      </x:c>
      <x:c r="B489" s="19" t="str">
        <x:v>GRID08_report.md</x:v>
      </x:c>
      <x:c r="C489" s="19" t="str">
        <x:v>1. GRID08 training and adaptation delivery</x:v>
      </x:c>
      <x:c r="D489" s="19" t="str">
        <x:v>Version=v0；Model=mlp</x:v>
      </x:c>
      <x:c r="E489" s="19" t="str">
        <x:v>Model</x:v>
      </x:c>
      <x:c r="F489" s="19" t="str">
        <x:v>mlp</x:v>
      </x:c>
      <x:c r="G489" s="19" t="str">
        <x:v>其他/配置</x:v>
      </x:c>
      <x:c r="H489" s="19" t="str">
        <x:v>D:/Codex/GRL研究/outputs/grid08/GRID08_report.md</x:v>
      </x:c>
    </x:row>
    <x:row r="490" ht="36" customHeight="1">
      <x:c r="A490" s="19" t="str">
        <x:v>GRID08</x:v>
      </x:c>
      <x:c r="B490" s="19" t="str">
        <x:v>GRID08_report.md</x:v>
      </x:c>
      <x:c r="C490" s="19" t="str">
        <x:v>1. GRID08 training and adaptation delivery</x:v>
      </x:c>
      <x:c r="D490" s="19" t="str">
        <x:v>Version=v0；Model=mlp</x:v>
      </x:c>
      <x:c r="E490" s="19" t="str">
        <x:v>Reference</x:v>
      </x:c>
      <x:c r="F490" s="19" t="str">
        <x:v>IMMEDIATE_COST</x:v>
      </x:c>
      <x:c r="G490" s="19" t="str">
        <x:v>其他/配置</x:v>
      </x:c>
      <x:c r="H490" s="19" t="str">
        <x:v>D:/Codex/GRL研究/outputs/grid08/GRID08_report.md</x:v>
      </x:c>
    </x:row>
    <x:row r="491" ht="36" customHeight="1">
      <x:c r="A491" s="19" t="str">
        <x:v>GRID08</x:v>
      </x:c>
      <x:c r="B491" s="19" t="str">
        <x:v>GRID08_report.md</x:v>
      </x:c>
      <x:c r="C491" s="19" t="str">
        <x:v>1. GRID08 training and adaptation delivery</x:v>
      </x:c>
      <x:c r="D491" s="19" t="str">
        <x:v>Version=v0；Model=mlp</x:v>
      </x:c>
      <x:c r="E491" s="19" t="str">
        <x:v>Complete pairs</x:v>
      </x:c>
      <x:c r="F491" s="19" t="str">
        <x:v>3</x:v>
      </x:c>
      <x:c r="G491" s="19" t="str">
        <x:v>其他/配置</x:v>
      </x:c>
      <x:c r="H491" s="19" t="str">
        <x:v>D:/Codex/GRL研究/outputs/grid08/GRID08_report.md</x:v>
      </x:c>
    </x:row>
    <x:row r="492" ht="36" customHeight="1">
      <x:c r="A492" s="19" t="str">
        <x:v>GRID08</x:v>
      </x:c>
      <x:c r="B492" s="19" t="str">
        <x:v>GRID08_report.md</x:v>
      </x:c>
      <x:c r="C492" s="19" t="str">
        <x:v>1. GRID08 training and adaptation delivery</x:v>
      </x:c>
      <x:c r="D492" s="19" t="str">
        <x:v>Version=v0；Model=mlp</x:v>
      </x:c>
      <x:c r="E492" s="19" t="str">
        <x:v>Mean cost reduction</x:v>
      </x:c>
      <x:c r="F492" s="19" t="str">
        <x:v>31.3110%</x:v>
      </x:c>
      <x:c r="G492" s="19" t="str">
        <x:v>其他/配置</x:v>
      </x:c>
      <x:c r="H492" s="19" t="str">
        <x:v>D:/Codex/GRL研究/outputs/grid08/GRID08_report.md</x:v>
      </x:c>
    </x:row>
    <x:row r="493" ht="36" customHeight="1">
      <x:c r="A493" s="19" t="str">
        <x:v>GRID08</x:v>
      </x:c>
      <x:c r="B493" s="19" t="str">
        <x:v>GRID08_report.md</x:v>
      </x:c>
      <x:c r="C493" s="19" t="str">
        <x:v>1. GRID08 training and adaptation delivery</x:v>
      </x:c>
      <x:c r="D493" s="19" t="str">
        <x:v>Version=v0；Model=mlp</x:v>
      </x:c>
      <x:c r="E493" s="19" t="str">
        <x:v>Positive / negative</x:v>
      </x:c>
      <x:c r="F493" s="19" t="str">
        <x:v>3 / 0</x:v>
      </x:c>
      <x:c r="G493" s="19" t="str">
        <x:v>其他/配置</x:v>
      </x:c>
      <x:c r="H493" s="19" t="str">
        <x:v>D:/Codex/GRL研究/outputs/grid08/GRID08_report.md</x:v>
      </x:c>
    </x:row>
    <x:row r="494" ht="36" customHeight="1">
      <x:c r="A494" s="19" t="str">
        <x:v>GRID08</x:v>
      </x:c>
      <x:c r="B494" s="19" t="str">
        <x:v>GRID08_report.md</x:v>
      </x:c>
      <x:c r="C494" s="19" t="str">
        <x:v>1. GRID08 training and adaptation delivery</x:v>
      </x:c>
      <x:c r="D494" s="19" t="str">
        <x:v>Version=v0；Model=mlp</x:v>
      </x:c>
      <x:c r="E494" s="19" t="str">
        <x:v>Identical trajectories</x:v>
      </x:c>
      <x:c r="F494" s="19" t="str">
        <x:v>0</x:v>
      </x:c>
      <x:c r="G494" s="19" t="str">
        <x:v>其他/配置</x:v>
      </x:c>
      <x:c r="H494" s="19" t="str">
        <x:v>D:/Codex/GRL研究/outputs/grid08/GRID08_report.md</x:v>
      </x:c>
    </x:row>
    <x:row r="495" ht="36" customHeight="1">
      <x:c r="A495" s="19" t="str">
        <x:v>GRID08</x:v>
      </x:c>
      <x:c r="B495" s="19" t="str">
        <x:v>GRID08_report.md</x:v>
      </x:c>
      <x:c r="C495" s="19" t="str">
        <x:v>1. GRID08 training and adaptation delivery</x:v>
      </x:c>
      <x:c r="D495" s="19" t="str">
        <x:v>Version=v1；Model=gnn</x:v>
      </x:c>
      <x:c r="E495" s="19" t="str">
        <x:v>Model</x:v>
      </x:c>
      <x:c r="F495" s="19" t="str">
        <x:v>gnn</x:v>
      </x:c>
      <x:c r="G495" s="19" t="str">
        <x:v>其他/配置</x:v>
      </x:c>
      <x:c r="H495" s="19" t="str">
        <x:v>D:/Codex/GRL研究/outputs/grid08/GRID08_report.md</x:v>
      </x:c>
    </x:row>
    <x:row r="496" ht="36" customHeight="1">
      <x:c r="A496" s="19" t="str">
        <x:v>GRID08</x:v>
      </x:c>
      <x:c r="B496" s="19" t="str">
        <x:v>GRID08_report.md</x:v>
      </x:c>
      <x:c r="C496" s="19" t="str">
        <x:v>1. GRID08 training and adaptation delivery</x:v>
      </x:c>
      <x:c r="D496" s="19" t="str">
        <x:v>Version=v1；Model=gnn</x:v>
      </x:c>
      <x:c r="E496" s="19" t="str">
        <x:v>Reference</x:v>
      </x:c>
      <x:c r="F496" s="19" t="str">
        <x:v>NN20</x:v>
      </x:c>
      <x:c r="G496" s="19" t="str">
        <x:v>其他/配置</x:v>
      </x:c>
      <x:c r="H496" s="19" t="str">
        <x:v>D:/Codex/GRL研究/outputs/grid08/GRID08_report.md</x:v>
      </x:c>
    </x:row>
    <x:row r="497" ht="36" customHeight="1">
      <x:c r="A497" s="19" t="str">
        <x:v>GRID08</x:v>
      </x:c>
      <x:c r="B497" s="19" t="str">
        <x:v>GRID08_report.md</x:v>
      </x:c>
      <x:c r="C497" s="19" t="str">
        <x:v>1. GRID08 training and adaptation delivery</x:v>
      </x:c>
      <x:c r="D497" s="19" t="str">
        <x:v>Version=v1；Model=gnn</x:v>
      </x:c>
      <x:c r="E497" s="19" t="str">
        <x:v>Complete pairs</x:v>
      </x:c>
      <x:c r="F497" s="19" t="str">
        <x:v>4</x:v>
      </x:c>
      <x:c r="G497" s="19" t="str">
        <x:v>其他/配置</x:v>
      </x:c>
      <x:c r="H497" s="19" t="str">
        <x:v>D:/Codex/GRL研究/outputs/grid08/GRID08_report.md</x:v>
      </x:c>
    </x:row>
    <x:row r="498" ht="36" customHeight="1">
      <x:c r="A498" s="19" t="str">
        <x:v>GRID08</x:v>
      </x:c>
      <x:c r="B498" s="19" t="str">
        <x:v>GRID08_report.md</x:v>
      </x:c>
      <x:c r="C498" s="19" t="str">
        <x:v>1. GRID08 training and adaptation delivery</x:v>
      </x:c>
      <x:c r="D498" s="19" t="str">
        <x:v>Version=v1；Model=gnn</x:v>
      </x:c>
      <x:c r="E498" s="19" t="str">
        <x:v>Mean cost reduction</x:v>
      </x:c>
      <x:c r="F498" s="19" t="str">
        <x:v>0.0000%</x:v>
      </x:c>
      <x:c r="G498" s="19" t="str">
        <x:v>其他/配置</x:v>
      </x:c>
      <x:c r="H498" s="19" t="str">
        <x:v>D:/Codex/GRL研究/outputs/grid08/GRID08_report.md</x:v>
      </x:c>
    </x:row>
    <x:row r="499" ht="36" customHeight="1">
      <x:c r="A499" s="19" t="str">
        <x:v>GRID08</x:v>
      </x:c>
      <x:c r="B499" s="19" t="str">
        <x:v>GRID08_report.md</x:v>
      </x:c>
      <x:c r="C499" s="19" t="str">
        <x:v>1. GRID08 training and adaptation delivery</x:v>
      </x:c>
      <x:c r="D499" s="19" t="str">
        <x:v>Version=v1；Model=gnn</x:v>
      </x:c>
      <x:c r="E499" s="19" t="str">
        <x:v>Positive / negative</x:v>
      </x:c>
      <x:c r="F499" s="19" t="str">
        <x:v>0 / 0</x:v>
      </x:c>
      <x:c r="G499" s="19" t="str">
        <x:v>其他/配置</x:v>
      </x:c>
      <x:c r="H499" s="19" t="str">
        <x:v>D:/Codex/GRL研究/outputs/grid08/GRID08_report.md</x:v>
      </x:c>
    </x:row>
    <x:row r="500" ht="36" customHeight="1">
      <x:c r="A500" s="19" t="str">
        <x:v>GRID08</x:v>
      </x:c>
      <x:c r="B500" s="19" t="str">
        <x:v>GRID08_report.md</x:v>
      </x:c>
      <x:c r="C500" s="19" t="str">
        <x:v>1. GRID08 training and adaptation delivery</x:v>
      </x:c>
      <x:c r="D500" s="19" t="str">
        <x:v>Version=v1；Model=gnn</x:v>
      </x:c>
      <x:c r="E500" s="19" t="str">
        <x:v>Identical trajectories</x:v>
      </x:c>
      <x:c r="F500" s="19" t="str">
        <x:v>4</x:v>
      </x:c>
      <x:c r="G500" s="19" t="str">
        <x:v>其他/配置</x:v>
      </x:c>
      <x:c r="H500" s="19" t="str">
        <x:v>D:/Codex/GRL研究/outputs/grid08/GRID08_report.md</x:v>
      </x:c>
    </x:row>
    <x:row r="501" ht="36" customHeight="1">
      <x:c r="A501" s="19" t="str">
        <x:v>GRID08</x:v>
      </x:c>
      <x:c r="B501" s="19" t="str">
        <x:v>GRID08_report.md</x:v>
      </x:c>
      <x:c r="C501" s="19" t="str">
        <x:v>1. GRID08 training and adaptation delivery</x:v>
      </x:c>
      <x:c r="D501" s="19" t="str">
        <x:v>Version=v1；Model=gnn</x:v>
      </x:c>
      <x:c r="E501" s="19" t="str">
        <x:v>Model</x:v>
      </x:c>
      <x:c r="F501" s="19" t="str">
        <x:v>gnn</x:v>
      </x:c>
      <x:c r="G501" s="19" t="str">
        <x:v>其他/配置</x:v>
      </x:c>
      <x:c r="H501" s="19" t="str">
        <x:v>D:/Codex/GRL研究/outputs/grid08/GRID08_report.md</x:v>
      </x:c>
    </x:row>
    <x:row r="502" ht="36" customHeight="1">
      <x:c r="A502" s="19" t="str">
        <x:v>GRID08</x:v>
      </x:c>
      <x:c r="B502" s="19" t="str">
        <x:v>GRID08_report.md</x:v>
      </x:c>
      <x:c r="C502" s="19" t="str">
        <x:v>1. GRID08 training and adaptation delivery</x:v>
      </x:c>
      <x:c r="D502" s="19" t="str">
        <x:v>Version=v1；Model=gnn</x:v>
      </x:c>
      <x:c r="E502" s="19" t="str">
        <x:v>Reference</x:v>
      </x:c>
      <x:c r="F502" s="19" t="str">
        <x:v>ALWAYS_RESTORE</x:v>
      </x:c>
      <x:c r="G502" s="19" t="str">
        <x:v>其他/配置</x:v>
      </x:c>
      <x:c r="H502" s="19" t="str">
        <x:v>D:/Codex/GRL研究/outputs/grid08/GRID08_report.md</x:v>
      </x:c>
    </x:row>
    <x:row r="503" ht="36" customHeight="1">
      <x:c r="A503" s="19" t="str">
        <x:v>GRID08</x:v>
      </x:c>
      <x:c r="B503" s="19" t="str">
        <x:v>GRID08_report.md</x:v>
      </x:c>
      <x:c r="C503" s="19" t="str">
        <x:v>1. GRID08 training and adaptation delivery</x:v>
      </x:c>
      <x:c r="D503" s="19" t="str">
        <x:v>Version=v1；Model=gnn</x:v>
      </x:c>
      <x:c r="E503" s="19" t="str">
        <x:v>Complete pairs</x:v>
      </x:c>
      <x:c r="F503" s="19" t="str">
        <x:v>4</x:v>
      </x:c>
      <x:c r="G503" s="19" t="str">
        <x:v>其他/配置</x:v>
      </x:c>
      <x:c r="H503" s="19" t="str">
        <x:v>D:/Codex/GRL研究/outputs/grid08/GRID08_report.md</x:v>
      </x:c>
    </x:row>
    <x:row r="504" ht="36" customHeight="1">
      <x:c r="A504" s="19" t="str">
        <x:v>GRID08</x:v>
      </x:c>
      <x:c r="B504" s="19" t="str">
        <x:v>GRID08_report.md</x:v>
      </x:c>
      <x:c r="C504" s="19" t="str">
        <x:v>1. GRID08 training and adaptation delivery</x:v>
      </x:c>
      <x:c r="D504" s="19" t="str">
        <x:v>Version=v1；Model=gnn</x:v>
      </x:c>
      <x:c r="E504" s="19" t="str">
        <x:v>Mean cost reduction</x:v>
      </x:c>
      <x:c r="F504" s="19" t="str">
        <x:v>-190.4942%</x:v>
      </x:c>
      <x:c r="G504" s="19" t="str">
        <x:v>其他/配置</x:v>
      </x:c>
      <x:c r="H504" s="19" t="str">
        <x:v>D:/Codex/GRL研究/outputs/grid08/GRID08_report.md</x:v>
      </x:c>
    </x:row>
    <x:row r="505" ht="36" customHeight="1">
      <x:c r="A505" s="19" t="str">
        <x:v>GRID08</x:v>
      </x:c>
      <x:c r="B505" s="19" t="str">
        <x:v>GRID08_report.md</x:v>
      </x:c>
      <x:c r="C505" s="19" t="str">
        <x:v>1. GRID08 training and adaptation delivery</x:v>
      </x:c>
      <x:c r="D505" s="19" t="str">
        <x:v>Version=v1；Model=gnn</x:v>
      </x:c>
      <x:c r="E505" s="19" t="str">
        <x:v>Positive / negative</x:v>
      </x:c>
      <x:c r="F505" s="19" t="str">
        <x:v>0 / 4</x:v>
      </x:c>
      <x:c r="G505" s="19" t="str">
        <x:v>其他/配置</x:v>
      </x:c>
      <x:c r="H505" s="19" t="str">
        <x:v>D:/Codex/GRL研究/outputs/grid08/GRID08_report.md</x:v>
      </x:c>
    </x:row>
    <x:row r="506" ht="36" customHeight="1">
      <x:c r="A506" s="19" t="str">
        <x:v>GRID08</x:v>
      </x:c>
      <x:c r="B506" s="19" t="str">
        <x:v>GRID08_report.md</x:v>
      </x:c>
      <x:c r="C506" s="19" t="str">
        <x:v>1. GRID08 training and adaptation delivery</x:v>
      </x:c>
      <x:c r="D506" s="19" t="str">
        <x:v>Version=v1；Model=gnn</x:v>
      </x:c>
      <x:c r="E506" s="19" t="str">
        <x:v>Identical trajectories</x:v>
      </x:c>
      <x:c r="F506" s="19" t="str">
        <x:v>0</x:v>
      </x:c>
      <x:c r="G506" s="19" t="str">
        <x:v>其他/配置</x:v>
      </x:c>
      <x:c r="H506" s="19" t="str">
        <x:v>D:/Codex/GRL研究/outputs/grid08/GRID08_report.md</x:v>
      </x:c>
    </x:row>
    <x:row r="507" ht="36" customHeight="1">
      <x:c r="A507" s="19" t="str">
        <x:v>GRID08</x:v>
      </x:c>
      <x:c r="B507" s="19" t="str">
        <x:v>GRID08_report.md</x:v>
      </x:c>
      <x:c r="C507" s="19" t="str">
        <x:v>1. GRID08 training and adaptation delivery</x:v>
      </x:c>
      <x:c r="D507" s="19" t="str">
        <x:v>Version=v1；Model=gnn</x:v>
      </x:c>
      <x:c r="E507" s="19" t="str">
        <x:v>Model</x:v>
      </x:c>
      <x:c r="F507" s="19" t="str">
        <x:v>gnn</x:v>
      </x:c>
      <x:c r="G507" s="19" t="str">
        <x:v>其他/配置</x:v>
      </x:c>
      <x:c r="H507" s="19" t="str">
        <x:v>D:/Codex/GRL研究/outputs/grid08/GRID08_report.md</x:v>
      </x:c>
    </x:row>
    <x:row r="508" ht="36" customHeight="1">
      <x:c r="A508" s="19" t="str">
        <x:v>GRID08</x:v>
      </x:c>
      <x:c r="B508" s="19" t="str">
        <x:v>GRID08_report.md</x:v>
      </x:c>
      <x:c r="C508" s="19" t="str">
        <x:v>1. GRID08 training and adaptation delivery</x:v>
      </x:c>
      <x:c r="D508" s="19" t="str">
        <x:v>Version=v1；Model=gnn</x:v>
      </x:c>
      <x:c r="E508" s="19" t="str">
        <x:v>Reference</x:v>
      </x:c>
      <x:c r="F508" s="19" t="str">
        <x:v>IMMEDIATE_COST</x:v>
      </x:c>
      <x:c r="G508" s="19" t="str">
        <x:v>其他/配置</x:v>
      </x:c>
      <x:c r="H508" s="19" t="str">
        <x:v>D:/Codex/GRL研究/outputs/grid08/GRID08_report.md</x:v>
      </x:c>
    </x:row>
    <x:row r="509" ht="36" customHeight="1">
      <x:c r="A509" s="19" t="str">
        <x:v>GRID08</x:v>
      </x:c>
      <x:c r="B509" s="19" t="str">
        <x:v>GRID08_report.md</x:v>
      </x:c>
      <x:c r="C509" s="19" t="str">
        <x:v>1. GRID08 training and adaptation delivery</x:v>
      </x:c>
      <x:c r="D509" s="19" t="str">
        <x:v>Version=v1；Model=gnn</x:v>
      </x:c>
      <x:c r="E509" s="19" t="str">
        <x:v>Complete pairs</x:v>
      </x:c>
      <x:c r="F509" s="19" t="str">
        <x:v>3</x:v>
      </x:c>
      <x:c r="G509" s="19" t="str">
        <x:v>其他/配置</x:v>
      </x:c>
      <x:c r="H509" s="19" t="str">
        <x:v>D:/Codex/GRL研究/outputs/grid08/GRID08_report.md</x:v>
      </x:c>
    </x:row>
    <x:row r="510" ht="36" customHeight="1">
      <x:c r="A510" s="19" t="str">
        <x:v>GRID08</x:v>
      </x:c>
      <x:c r="B510" s="19" t="str">
        <x:v>GRID08_report.md</x:v>
      </x:c>
      <x:c r="C510" s="19" t="str">
        <x:v>1. GRID08 training and adaptation delivery</x:v>
      </x:c>
      <x:c r="D510" s="19" t="str">
        <x:v>Version=v1；Model=gnn</x:v>
      </x:c>
      <x:c r="E510" s="19" t="str">
        <x:v>Mean cost reduction</x:v>
      </x:c>
      <x:c r="F510" s="19" t="str">
        <x:v>-73.1950%</x:v>
      </x:c>
      <x:c r="G510" s="19" t="str">
        <x:v>其他/配置</x:v>
      </x:c>
      <x:c r="H510" s="19" t="str">
        <x:v>D:/Codex/GRL研究/outputs/grid08/GRID08_report.md</x:v>
      </x:c>
    </x:row>
    <x:row r="511" ht="36" customHeight="1">
      <x:c r="A511" s="19" t="str">
        <x:v>GRID08</x:v>
      </x:c>
      <x:c r="B511" s="19" t="str">
        <x:v>GRID08_report.md</x:v>
      </x:c>
      <x:c r="C511" s="19" t="str">
        <x:v>1. GRID08 training and adaptation delivery</x:v>
      </x:c>
      <x:c r="D511" s="19" t="str">
        <x:v>Version=v1；Model=gnn</x:v>
      </x:c>
      <x:c r="E511" s="19" t="str">
        <x:v>Positive / negative</x:v>
      </x:c>
      <x:c r="F511" s="19" t="str">
        <x:v>0 / 3</x:v>
      </x:c>
      <x:c r="G511" s="19" t="str">
        <x:v>其他/配置</x:v>
      </x:c>
      <x:c r="H511" s="19" t="str">
        <x:v>D:/Codex/GRL研究/outputs/grid08/GRID08_report.md</x:v>
      </x:c>
    </x:row>
    <x:row r="512" ht="36" customHeight="1">
      <x:c r="A512" s="19" t="str">
        <x:v>GRID08</x:v>
      </x:c>
      <x:c r="B512" s="19" t="str">
        <x:v>GRID08_report.md</x:v>
      </x:c>
      <x:c r="C512" s="19" t="str">
        <x:v>1. GRID08 training and adaptation delivery</x:v>
      </x:c>
      <x:c r="D512" s="19" t="str">
        <x:v>Version=v1；Model=gnn</x:v>
      </x:c>
      <x:c r="E512" s="19" t="str">
        <x:v>Identical trajectories</x:v>
      </x:c>
      <x:c r="F512" s="19" t="str">
        <x:v>0</x:v>
      </x:c>
      <x:c r="G512" s="19" t="str">
        <x:v>其他/配置</x:v>
      </x:c>
      <x:c r="H512" s="19" t="str">
        <x:v>D:/Codex/GRL研究/outputs/grid08/GRID08_report.md</x:v>
      </x:c>
    </x:row>
    <x:row r="513" ht="36" customHeight="1">
      <x:c r="A513" s="19" t="str">
        <x:v>GRID08</x:v>
      </x:c>
      <x:c r="B513" s="19" t="str">
        <x:v>GRID08_report.md</x:v>
      </x:c>
      <x:c r="C513" s="19" t="str">
        <x:v>1. GRID08 training and adaptation delivery</x:v>
      </x:c>
      <x:c r="D513" s="19" t="str">
        <x:v>Version=v1；Model=mlp</x:v>
      </x:c>
      <x:c r="E513" s="19" t="str">
        <x:v>Model</x:v>
      </x:c>
      <x:c r="F513" s="19" t="str">
        <x:v>mlp</x:v>
      </x:c>
      <x:c r="G513" s="19" t="str">
        <x:v>其他/配置</x:v>
      </x:c>
      <x:c r="H513" s="19" t="str">
        <x:v>D:/Codex/GRL研究/outputs/grid08/GRID08_report.md</x:v>
      </x:c>
    </x:row>
    <x:row r="514" ht="36" customHeight="1">
      <x:c r="A514" s="19" t="str">
        <x:v>GRID08</x:v>
      </x:c>
      <x:c r="B514" s="19" t="str">
        <x:v>GRID08_report.md</x:v>
      </x:c>
      <x:c r="C514" s="19" t="str">
        <x:v>1. GRID08 training and adaptation delivery</x:v>
      </x:c>
      <x:c r="D514" s="19" t="str">
        <x:v>Version=v1；Model=mlp</x:v>
      </x:c>
      <x:c r="E514" s="19" t="str">
        <x:v>Reference</x:v>
      </x:c>
      <x:c r="F514" s="19" t="str">
        <x:v>NN20</x:v>
      </x:c>
      <x:c r="G514" s="19" t="str">
        <x:v>其他/配置</x:v>
      </x:c>
      <x:c r="H514" s="19" t="str">
        <x:v>D:/Codex/GRL研究/outputs/grid08/GRID08_report.md</x:v>
      </x:c>
    </x:row>
    <x:row r="515" ht="36" customHeight="1">
      <x:c r="A515" s="19" t="str">
        <x:v>GRID08</x:v>
      </x:c>
      <x:c r="B515" s="19" t="str">
        <x:v>GRID08_report.md</x:v>
      </x:c>
      <x:c r="C515" s="19" t="str">
        <x:v>1. GRID08 training and adaptation delivery</x:v>
      </x:c>
      <x:c r="D515" s="19" t="str">
        <x:v>Version=v1；Model=mlp</x:v>
      </x:c>
      <x:c r="E515" s="19" t="str">
        <x:v>Complete pairs</x:v>
      </x:c>
      <x:c r="F515" s="19" t="str">
        <x:v>4</x:v>
      </x:c>
      <x:c r="G515" s="19" t="str">
        <x:v>其他/配置</x:v>
      </x:c>
      <x:c r="H515" s="19" t="str">
        <x:v>D:/Codex/GRL研究/outputs/grid08/GRID08_report.md</x:v>
      </x:c>
    </x:row>
    <x:row r="516" ht="36" customHeight="1">
      <x:c r="A516" s="19" t="str">
        <x:v>GRID08</x:v>
      </x:c>
      <x:c r="B516" s="19" t="str">
        <x:v>GRID08_report.md</x:v>
      </x:c>
      <x:c r="C516" s="19" t="str">
        <x:v>1. GRID08 training and adaptation delivery</x:v>
      </x:c>
      <x:c r="D516" s="19" t="str">
        <x:v>Version=v1；Model=mlp</x:v>
      </x:c>
      <x:c r="E516" s="19" t="str">
        <x:v>Mean cost reduction</x:v>
      </x:c>
      <x:c r="F516" s="19" t="str">
        <x:v>63.8645%</x:v>
      </x:c>
      <x:c r="G516" s="19" t="str">
        <x:v>其他/配置</x:v>
      </x:c>
      <x:c r="H516" s="19" t="str">
        <x:v>D:/Codex/GRL研究/outputs/grid08/GRID08_report.md</x:v>
      </x:c>
    </x:row>
    <x:row r="517" ht="36" customHeight="1">
      <x:c r="A517" s="19" t="str">
        <x:v>GRID08</x:v>
      </x:c>
      <x:c r="B517" s="19" t="str">
        <x:v>GRID08_report.md</x:v>
      </x:c>
      <x:c r="C517" s="19" t="str">
        <x:v>1. GRID08 training and adaptation delivery</x:v>
      </x:c>
      <x:c r="D517" s="19" t="str">
        <x:v>Version=v1；Model=mlp</x:v>
      </x:c>
      <x:c r="E517" s="19" t="str">
        <x:v>Positive / negative</x:v>
      </x:c>
      <x:c r="F517" s="19" t="str">
        <x:v>4 / 0</x:v>
      </x:c>
      <x:c r="G517" s="19" t="str">
        <x:v>其他/配置</x:v>
      </x:c>
      <x:c r="H517" s="19" t="str">
        <x:v>D:/Codex/GRL研究/outputs/grid08/GRID08_report.md</x:v>
      </x:c>
    </x:row>
    <x:row r="518" ht="36" customHeight="1">
      <x:c r="A518" s="19" t="str">
        <x:v>GRID08</x:v>
      </x:c>
      <x:c r="B518" s="19" t="str">
        <x:v>GRID08_report.md</x:v>
      </x:c>
      <x:c r="C518" s="19" t="str">
        <x:v>1. GRID08 training and adaptation delivery</x:v>
      </x:c>
      <x:c r="D518" s="19" t="str">
        <x:v>Version=v1；Model=mlp</x:v>
      </x:c>
      <x:c r="E518" s="19" t="str">
        <x:v>Identical trajectories</x:v>
      </x:c>
      <x:c r="F518" s="19" t="str">
        <x:v>0</x:v>
      </x:c>
      <x:c r="G518" s="19" t="str">
        <x:v>其他/配置</x:v>
      </x:c>
      <x:c r="H518" s="19" t="str">
        <x:v>D:/Codex/GRL研究/outputs/grid08/GRID08_report.md</x:v>
      </x:c>
    </x:row>
    <x:row r="519" ht="36" customHeight="1">
      <x:c r="A519" s="19" t="str">
        <x:v>GRID08</x:v>
      </x:c>
      <x:c r="B519" s="19" t="str">
        <x:v>GRID08_report.md</x:v>
      </x:c>
      <x:c r="C519" s="19" t="str">
        <x:v>1. GRID08 training and adaptation delivery</x:v>
      </x:c>
      <x:c r="D519" s="19" t="str">
        <x:v>Version=v1；Model=mlp</x:v>
      </x:c>
      <x:c r="E519" s="19" t="str">
        <x:v>Model</x:v>
      </x:c>
      <x:c r="F519" s="19" t="str">
        <x:v>mlp</x:v>
      </x:c>
      <x:c r="G519" s="19" t="str">
        <x:v>其他/配置</x:v>
      </x:c>
      <x:c r="H519" s="19" t="str">
        <x:v>D:/Codex/GRL研究/outputs/grid08/GRID08_report.md</x:v>
      </x:c>
    </x:row>
    <x:row r="520" ht="36" customHeight="1">
      <x:c r="A520" s="19" t="str">
        <x:v>GRID08</x:v>
      </x:c>
      <x:c r="B520" s="19" t="str">
        <x:v>GRID08_report.md</x:v>
      </x:c>
      <x:c r="C520" s="19" t="str">
        <x:v>1. GRID08 training and adaptation delivery</x:v>
      </x:c>
      <x:c r="D520" s="19" t="str">
        <x:v>Version=v1；Model=mlp</x:v>
      </x:c>
      <x:c r="E520" s="19" t="str">
        <x:v>Reference</x:v>
      </x:c>
      <x:c r="F520" s="19" t="str">
        <x:v>ALWAYS_RESTORE</x:v>
      </x:c>
      <x:c r="G520" s="19" t="str">
        <x:v>其他/配置</x:v>
      </x:c>
      <x:c r="H520" s="19" t="str">
        <x:v>D:/Codex/GRL研究/outputs/grid08/GRID08_report.md</x:v>
      </x:c>
    </x:row>
    <x:row r="521" ht="36" customHeight="1">
      <x:c r="A521" s="19" t="str">
        <x:v>GRID08</x:v>
      </x:c>
      <x:c r="B521" s="19" t="str">
        <x:v>GRID08_report.md</x:v>
      </x:c>
      <x:c r="C521" s="19" t="str">
        <x:v>1. GRID08 training and adaptation delivery</x:v>
      </x:c>
      <x:c r="D521" s="19" t="str">
        <x:v>Version=v1；Model=mlp</x:v>
      </x:c>
      <x:c r="E521" s="19" t="str">
        <x:v>Complete pairs</x:v>
      </x:c>
      <x:c r="F521" s="19" t="str">
        <x:v>4</x:v>
      </x:c>
      <x:c r="G521" s="19" t="str">
        <x:v>其他/配置</x:v>
      </x:c>
      <x:c r="H521" s="19" t="str">
        <x:v>D:/Codex/GRL研究/outputs/grid08/GRID08_report.md</x:v>
      </x:c>
    </x:row>
    <x:row r="522" ht="36" customHeight="1">
      <x:c r="A522" s="19" t="str">
        <x:v>GRID08</x:v>
      </x:c>
      <x:c r="B522" s="19" t="str">
        <x:v>GRID08_report.md</x:v>
      </x:c>
      <x:c r="C522" s="19" t="str">
        <x:v>1. GRID08 training and adaptation delivery</x:v>
      </x:c>
      <x:c r="D522" s="19" t="str">
        <x:v>Version=v1；Model=mlp</x:v>
      </x:c>
      <x:c r="E522" s="19" t="str">
        <x:v>Mean cost reduction</x:v>
      </x:c>
      <x:c r="F522" s="19" t="str">
        <x:v>0.0000%</x:v>
      </x:c>
      <x:c r="G522" s="19" t="str">
        <x:v>其他/配置</x:v>
      </x:c>
      <x:c r="H522" s="19" t="str">
        <x:v>D:/Codex/GRL研究/outputs/grid08/GRID08_report.md</x:v>
      </x:c>
    </x:row>
    <x:row r="523" ht="36" customHeight="1">
      <x:c r="A523" s="19" t="str">
        <x:v>GRID08</x:v>
      </x:c>
      <x:c r="B523" s="19" t="str">
        <x:v>GRID08_report.md</x:v>
      </x:c>
      <x:c r="C523" s="19" t="str">
        <x:v>1. GRID08 training and adaptation delivery</x:v>
      </x:c>
      <x:c r="D523" s="19" t="str">
        <x:v>Version=v1；Model=mlp</x:v>
      </x:c>
      <x:c r="E523" s="19" t="str">
        <x:v>Positive / negative</x:v>
      </x:c>
      <x:c r="F523" s="19" t="str">
        <x:v>0 / 0</x:v>
      </x:c>
      <x:c r="G523" s="19" t="str">
        <x:v>其他/配置</x:v>
      </x:c>
      <x:c r="H523" s="19" t="str">
        <x:v>D:/Codex/GRL研究/outputs/grid08/GRID08_report.md</x:v>
      </x:c>
    </x:row>
    <x:row r="524" ht="36" customHeight="1">
      <x:c r="A524" s="19" t="str">
        <x:v>GRID08</x:v>
      </x:c>
      <x:c r="B524" s="19" t="str">
        <x:v>GRID08_report.md</x:v>
      </x:c>
      <x:c r="C524" s="19" t="str">
        <x:v>1. GRID08 training and adaptation delivery</x:v>
      </x:c>
      <x:c r="D524" s="19" t="str">
        <x:v>Version=v1；Model=mlp</x:v>
      </x:c>
      <x:c r="E524" s="19" t="str">
        <x:v>Identical trajectories</x:v>
      </x:c>
      <x:c r="F524" s="19" t="str">
        <x:v>4</x:v>
      </x:c>
      <x:c r="G524" s="19" t="str">
        <x:v>其他/配置</x:v>
      </x:c>
      <x:c r="H524" s="19" t="str">
        <x:v>D:/Codex/GRL研究/outputs/grid08/GRID08_report.md</x:v>
      </x:c>
    </x:row>
    <x:row r="525" ht="36" customHeight="1">
      <x:c r="A525" s="19" t="str">
        <x:v>GRID08</x:v>
      </x:c>
      <x:c r="B525" s="19" t="str">
        <x:v>GRID08_report.md</x:v>
      </x:c>
      <x:c r="C525" s="19" t="str">
        <x:v>1. GRID08 training and adaptation delivery</x:v>
      </x:c>
      <x:c r="D525" s="19" t="str">
        <x:v>Version=v1；Model=mlp</x:v>
      </x:c>
      <x:c r="E525" s="19" t="str">
        <x:v>Model</x:v>
      </x:c>
      <x:c r="F525" s="19" t="str">
        <x:v>mlp</x:v>
      </x:c>
      <x:c r="G525" s="19" t="str">
        <x:v>其他/配置</x:v>
      </x:c>
      <x:c r="H525" s="19" t="str">
        <x:v>D:/Codex/GRL研究/outputs/grid08/GRID08_report.md</x:v>
      </x:c>
    </x:row>
    <x:row r="526" ht="36" customHeight="1">
      <x:c r="A526" s="19" t="str">
        <x:v>GRID08</x:v>
      </x:c>
      <x:c r="B526" s="19" t="str">
        <x:v>GRID08_report.md</x:v>
      </x:c>
      <x:c r="C526" s="19" t="str">
        <x:v>1. GRID08 training and adaptation delivery</x:v>
      </x:c>
      <x:c r="D526" s="19" t="str">
        <x:v>Version=v1；Model=mlp</x:v>
      </x:c>
      <x:c r="E526" s="19" t="str">
        <x:v>Reference</x:v>
      </x:c>
      <x:c r="F526" s="19" t="str">
        <x:v>IMMEDIATE_COST</x:v>
      </x:c>
      <x:c r="G526" s="19" t="str">
        <x:v>其他/配置</x:v>
      </x:c>
      <x:c r="H526" s="19" t="str">
        <x:v>D:/Codex/GRL研究/outputs/grid08/GRID08_report.md</x:v>
      </x:c>
    </x:row>
    <x:row r="527" ht="36" customHeight="1">
      <x:c r="A527" s="19" t="str">
        <x:v>GRID08</x:v>
      </x:c>
      <x:c r="B527" s="19" t="str">
        <x:v>GRID08_report.md</x:v>
      </x:c>
      <x:c r="C527" s="19" t="str">
        <x:v>1. GRID08 training and adaptation delivery</x:v>
      </x:c>
      <x:c r="D527" s="19" t="str">
        <x:v>Version=v1；Model=mlp</x:v>
      </x:c>
      <x:c r="E527" s="19" t="str">
        <x:v>Complete pairs</x:v>
      </x:c>
      <x:c r="F527" s="19" t="str">
        <x:v>3</x:v>
      </x:c>
      <x:c r="G527" s="19" t="str">
        <x:v>其他/配置</x:v>
      </x:c>
      <x:c r="H527" s="19" t="str">
        <x:v>D:/Codex/GRL研究/outputs/grid08/GRID08_report.md</x:v>
      </x:c>
    </x:row>
    <x:row r="528" ht="36" customHeight="1">
      <x:c r="A528" s="19" t="str">
        <x:v>GRID08</x:v>
      </x:c>
      <x:c r="B528" s="19" t="str">
        <x:v>GRID08_report.md</x:v>
      </x:c>
      <x:c r="C528" s="19" t="str">
        <x:v>1. GRID08 training and adaptation delivery</x:v>
      </x:c>
      <x:c r="D528" s="19" t="str">
        <x:v>Version=v1；Model=mlp</x:v>
      </x:c>
      <x:c r="E528" s="19" t="str">
        <x:v>Mean cost reduction</x:v>
      </x:c>
      <x:c r="F528" s="19" t="str">
        <x:v>31.3110%</x:v>
      </x:c>
      <x:c r="G528" s="19" t="str">
        <x:v>其他/配置</x:v>
      </x:c>
      <x:c r="H528" s="19" t="str">
        <x:v>D:/Codex/GRL研究/outputs/grid08/GRID08_report.md</x:v>
      </x:c>
    </x:row>
    <x:row r="529" ht="36" customHeight="1">
      <x:c r="A529" s="19" t="str">
        <x:v>GRID08</x:v>
      </x:c>
      <x:c r="B529" s="19" t="str">
        <x:v>GRID08_report.md</x:v>
      </x:c>
      <x:c r="C529" s="19" t="str">
        <x:v>1. GRID08 training and adaptation delivery</x:v>
      </x:c>
      <x:c r="D529" s="19" t="str">
        <x:v>Version=v1；Model=mlp</x:v>
      </x:c>
      <x:c r="E529" s="19" t="str">
        <x:v>Positive / negative</x:v>
      </x:c>
      <x:c r="F529" s="19" t="str">
        <x:v>3 / 0</x:v>
      </x:c>
      <x:c r="G529" s="19" t="str">
        <x:v>其他/配置</x:v>
      </x:c>
      <x:c r="H529" s="19" t="str">
        <x:v>D:/Codex/GRL研究/outputs/grid08/GRID08_report.md</x:v>
      </x:c>
    </x:row>
    <x:row r="530" ht="36" customHeight="1">
      <x:c r="A530" s="19" t="str">
        <x:v>GRID08</x:v>
      </x:c>
      <x:c r="B530" s="19" t="str">
        <x:v>GRID08_report.md</x:v>
      </x:c>
      <x:c r="C530" s="19" t="str">
        <x:v>1. GRID08 training and adaptation delivery</x:v>
      </x:c>
      <x:c r="D530" s="19" t="str">
        <x:v>Version=v1；Model=mlp</x:v>
      </x:c>
      <x:c r="E530" s="19" t="str">
        <x:v>Identical trajectories</x:v>
      </x:c>
      <x:c r="F530" s="19" t="str">
        <x:v>0</x:v>
      </x:c>
      <x:c r="G530" s="19" t="str">
        <x:v>其他/配置</x:v>
      </x:c>
      <x:c r="H530" s="19" t="str">
        <x:v>D:/Codex/GRL研究/outputs/grid08/GRID08_report.md</x:v>
      </x:c>
    </x:row>
    <x:row r="531" ht="36" customHeight="1">
      <x:c r="A531" s="19" t="str">
        <x:v>GRID08</x:v>
      </x:c>
      <x:c r="B531" s="19" t="str">
        <x:v>GRID08_report.md</x:v>
      </x:c>
      <x:c r="C531" s="19" t="str">
        <x:v>1. GRID08 training and adaptation delivery</x:v>
      </x:c>
      <x:c r="D531" s="19" t="str">
        <x:v>Version=v2；Model=gnn</x:v>
      </x:c>
      <x:c r="E531" s="19" t="str">
        <x:v>Model</x:v>
      </x:c>
      <x:c r="F531" s="19" t="str">
        <x:v>gnn</x:v>
      </x:c>
      <x:c r="G531" s="19" t="str">
        <x:v>其他/配置</x:v>
      </x:c>
      <x:c r="H531" s="19" t="str">
        <x:v>D:/Codex/GRL研究/outputs/grid08/GRID08_report.md</x:v>
      </x:c>
    </x:row>
    <x:row r="532" ht="36" customHeight="1">
      <x:c r="A532" s="19" t="str">
        <x:v>GRID08</x:v>
      </x:c>
      <x:c r="B532" s="19" t="str">
        <x:v>GRID08_report.md</x:v>
      </x:c>
      <x:c r="C532" s="19" t="str">
        <x:v>1. GRID08 training and adaptation delivery</x:v>
      </x:c>
      <x:c r="D532" s="19" t="str">
        <x:v>Version=v2；Model=gnn</x:v>
      </x:c>
      <x:c r="E532" s="19" t="str">
        <x:v>Reference</x:v>
      </x:c>
      <x:c r="F532" s="19" t="str">
        <x:v>NN20</x:v>
      </x:c>
      <x:c r="G532" s="19" t="str">
        <x:v>其他/配置</x:v>
      </x:c>
      <x:c r="H532" s="19" t="str">
        <x:v>D:/Codex/GRL研究/outputs/grid08/GRID08_report.md</x:v>
      </x:c>
    </x:row>
    <x:row r="533" ht="36" customHeight="1">
      <x:c r="A533" s="19" t="str">
        <x:v>GRID08</x:v>
      </x:c>
      <x:c r="B533" s="19" t="str">
        <x:v>GRID08_report.md</x:v>
      </x:c>
      <x:c r="C533" s="19" t="str">
        <x:v>1. GRID08 training and adaptation delivery</x:v>
      </x:c>
      <x:c r="D533" s="19" t="str">
        <x:v>Version=v2；Model=gnn</x:v>
      </x:c>
      <x:c r="E533" s="19" t="str">
        <x:v>Complete pairs</x:v>
      </x:c>
      <x:c r="F533" s="19" t="str">
        <x:v>4</x:v>
      </x:c>
      <x:c r="G533" s="19" t="str">
        <x:v>其他/配置</x:v>
      </x:c>
      <x:c r="H533" s="19" t="str">
        <x:v>D:/Codex/GRL研究/outputs/grid08/GRID08_report.md</x:v>
      </x:c>
    </x:row>
    <x:row r="534" ht="36" customHeight="1">
      <x:c r="A534" s="19" t="str">
        <x:v>GRID08</x:v>
      </x:c>
      <x:c r="B534" s="19" t="str">
        <x:v>GRID08_report.md</x:v>
      </x:c>
      <x:c r="C534" s="19" t="str">
        <x:v>1. GRID08 training and adaptation delivery</x:v>
      </x:c>
      <x:c r="D534" s="19" t="str">
        <x:v>Version=v2；Model=gnn</x:v>
      </x:c>
      <x:c r="E534" s="19" t="str">
        <x:v>Mean cost reduction</x:v>
      </x:c>
      <x:c r="F534" s="19" t="str">
        <x:v>63.8645%</x:v>
      </x:c>
      <x:c r="G534" s="19" t="str">
        <x:v>其他/配置</x:v>
      </x:c>
      <x:c r="H534" s="19" t="str">
        <x:v>D:/Codex/GRL研究/outputs/grid08/GRID08_report.md</x:v>
      </x:c>
    </x:row>
    <x:row r="535" ht="36" customHeight="1">
      <x:c r="A535" s="19" t="str">
        <x:v>GRID08</x:v>
      </x:c>
      <x:c r="B535" s="19" t="str">
        <x:v>GRID08_report.md</x:v>
      </x:c>
      <x:c r="C535" s="19" t="str">
        <x:v>1. GRID08 training and adaptation delivery</x:v>
      </x:c>
      <x:c r="D535" s="19" t="str">
        <x:v>Version=v2；Model=gnn</x:v>
      </x:c>
      <x:c r="E535" s="19" t="str">
        <x:v>Positive / negative</x:v>
      </x:c>
      <x:c r="F535" s="19" t="str">
        <x:v>4 / 0</x:v>
      </x:c>
      <x:c r="G535" s="19" t="str">
        <x:v>其他/配置</x:v>
      </x:c>
      <x:c r="H535" s="19" t="str">
        <x:v>D:/Codex/GRL研究/outputs/grid08/GRID08_report.md</x:v>
      </x:c>
    </x:row>
    <x:row r="536" ht="36" customHeight="1">
      <x:c r="A536" s="19" t="str">
        <x:v>GRID08</x:v>
      </x:c>
      <x:c r="B536" s="19" t="str">
        <x:v>GRID08_report.md</x:v>
      </x:c>
      <x:c r="C536" s="19" t="str">
        <x:v>1. GRID08 training and adaptation delivery</x:v>
      </x:c>
      <x:c r="D536" s="19" t="str">
        <x:v>Version=v2；Model=gnn</x:v>
      </x:c>
      <x:c r="E536" s="19" t="str">
        <x:v>Identical trajectories</x:v>
      </x:c>
      <x:c r="F536" s="19" t="str">
        <x:v>0</x:v>
      </x:c>
      <x:c r="G536" s="19" t="str">
        <x:v>其他/配置</x:v>
      </x:c>
      <x:c r="H536" s="19" t="str">
        <x:v>D:/Codex/GRL研究/outputs/grid08/GRID08_report.md</x:v>
      </x:c>
    </x:row>
    <x:row r="537" ht="36" customHeight="1">
      <x:c r="A537" s="19" t="str">
        <x:v>GRID08</x:v>
      </x:c>
      <x:c r="B537" s="19" t="str">
        <x:v>GRID08_report.md</x:v>
      </x:c>
      <x:c r="C537" s="19" t="str">
        <x:v>1. GRID08 training and adaptation delivery</x:v>
      </x:c>
      <x:c r="D537" s="19" t="str">
        <x:v>Version=v2；Model=gnn</x:v>
      </x:c>
      <x:c r="E537" s="19" t="str">
        <x:v>Model</x:v>
      </x:c>
      <x:c r="F537" s="19" t="str">
        <x:v>gnn</x:v>
      </x:c>
      <x:c r="G537" s="19" t="str">
        <x:v>其他/配置</x:v>
      </x:c>
      <x:c r="H537" s="19" t="str">
        <x:v>D:/Codex/GRL研究/outputs/grid08/GRID08_report.md</x:v>
      </x:c>
    </x:row>
    <x:row r="538" ht="36" customHeight="1">
      <x:c r="A538" s="19" t="str">
        <x:v>GRID08</x:v>
      </x:c>
      <x:c r="B538" s="19" t="str">
        <x:v>GRID08_report.md</x:v>
      </x:c>
      <x:c r="C538" s="19" t="str">
        <x:v>1. GRID08 training and adaptation delivery</x:v>
      </x:c>
      <x:c r="D538" s="19" t="str">
        <x:v>Version=v2；Model=gnn</x:v>
      </x:c>
      <x:c r="E538" s="19" t="str">
        <x:v>Reference</x:v>
      </x:c>
      <x:c r="F538" s="19" t="str">
        <x:v>ALWAYS_RESTORE</x:v>
      </x:c>
      <x:c r="G538" s="19" t="str">
        <x:v>其他/配置</x:v>
      </x:c>
      <x:c r="H538" s="19" t="str">
        <x:v>D:/Codex/GRL研究/outputs/grid08/GRID08_report.md</x:v>
      </x:c>
    </x:row>
    <x:row r="539" ht="36" customHeight="1">
      <x:c r="A539" s="19" t="str">
        <x:v>GRID08</x:v>
      </x:c>
      <x:c r="B539" s="19" t="str">
        <x:v>GRID08_report.md</x:v>
      </x:c>
      <x:c r="C539" s="19" t="str">
        <x:v>1. GRID08 training and adaptation delivery</x:v>
      </x:c>
      <x:c r="D539" s="19" t="str">
        <x:v>Version=v2；Model=gnn</x:v>
      </x:c>
      <x:c r="E539" s="19" t="str">
        <x:v>Complete pairs</x:v>
      </x:c>
      <x:c r="F539" s="19" t="str">
        <x:v>4</x:v>
      </x:c>
      <x:c r="G539" s="19" t="str">
        <x:v>其他/配置</x:v>
      </x:c>
      <x:c r="H539" s="19" t="str">
        <x:v>D:/Codex/GRL研究/outputs/grid08/GRID08_report.md</x:v>
      </x:c>
    </x:row>
    <x:row r="540" ht="36" customHeight="1">
      <x:c r="A540" s="19" t="str">
        <x:v>GRID08</x:v>
      </x:c>
      <x:c r="B540" s="19" t="str">
        <x:v>GRID08_report.md</x:v>
      </x:c>
      <x:c r="C540" s="19" t="str">
        <x:v>1. GRID08 training and adaptation delivery</x:v>
      </x:c>
      <x:c r="D540" s="19" t="str">
        <x:v>Version=v2；Model=gnn</x:v>
      </x:c>
      <x:c r="E540" s="19" t="str">
        <x:v>Mean cost reduction</x:v>
      </x:c>
      <x:c r="F540" s="19" t="str">
        <x:v>0.0000%</x:v>
      </x:c>
      <x:c r="G540" s="19" t="str">
        <x:v>其他/配置</x:v>
      </x:c>
      <x:c r="H540" s="19" t="str">
        <x:v>D:/Codex/GRL研究/outputs/grid08/GRID08_report.md</x:v>
      </x:c>
    </x:row>
    <x:row r="541" ht="36" customHeight="1">
      <x:c r="A541" s="19" t="str">
        <x:v>GRID08</x:v>
      </x:c>
      <x:c r="B541" s="19" t="str">
        <x:v>GRID08_report.md</x:v>
      </x:c>
      <x:c r="C541" s="19" t="str">
        <x:v>1. GRID08 training and adaptation delivery</x:v>
      </x:c>
      <x:c r="D541" s="19" t="str">
        <x:v>Version=v2；Model=gnn</x:v>
      </x:c>
      <x:c r="E541" s="19" t="str">
        <x:v>Positive / negative</x:v>
      </x:c>
      <x:c r="F541" s="19" t="str">
        <x:v>0 / 0</x:v>
      </x:c>
      <x:c r="G541" s="19" t="str">
        <x:v>其他/配置</x:v>
      </x:c>
      <x:c r="H541" s="19" t="str">
        <x:v>D:/Codex/GRL研究/outputs/grid08/GRID08_report.md</x:v>
      </x:c>
    </x:row>
    <x:row r="542" ht="36" customHeight="1">
      <x:c r="A542" s="19" t="str">
        <x:v>GRID08</x:v>
      </x:c>
      <x:c r="B542" s="19" t="str">
        <x:v>GRID08_report.md</x:v>
      </x:c>
      <x:c r="C542" s="19" t="str">
        <x:v>1. GRID08 training and adaptation delivery</x:v>
      </x:c>
      <x:c r="D542" s="19" t="str">
        <x:v>Version=v2；Model=gnn</x:v>
      </x:c>
      <x:c r="E542" s="19" t="str">
        <x:v>Identical trajectories</x:v>
      </x:c>
      <x:c r="F542" s="19" t="str">
        <x:v>4</x:v>
      </x:c>
      <x:c r="G542" s="19" t="str">
        <x:v>其他/配置</x:v>
      </x:c>
      <x:c r="H542" s="19" t="str">
        <x:v>D:/Codex/GRL研究/outputs/grid08/GRID08_report.md</x:v>
      </x:c>
    </x:row>
    <x:row r="543" ht="36" customHeight="1">
      <x:c r="A543" s="19" t="str">
        <x:v>GRID08</x:v>
      </x:c>
      <x:c r="B543" s="19" t="str">
        <x:v>GRID08_report.md</x:v>
      </x:c>
      <x:c r="C543" s="19" t="str">
        <x:v>1. GRID08 training and adaptation delivery</x:v>
      </x:c>
      <x:c r="D543" s="19" t="str">
        <x:v>Version=v2；Model=gnn</x:v>
      </x:c>
      <x:c r="E543" s="19" t="str">
        <x:v>Model</x:v>
      </x:c>
      <x:c r="F543" s="19" t="str">
        <x:v>gnn</x:v>
      </x:c>
      <x:c r="G543" s="19" t="str">
        <x:v>其他/配置</x:v>
      </x:c>
      <x:c r="H543" s="19" t="str">
        <x:v>D:/Codex/GRL研究/outputs/grid08/GRID08_report.md</x:v>
      </x:c>
    </x:row>
    <x:row r="544" ht="36" customHeight="1">
      <x:c r="A544" s="19" t="str">
        <x:v>GRID08</x:v>
      </x:c>
      <x:c r="B544" s="19" t="str">
        <x:v>GRID08_report.md</x:v>
      </x:c>
      <x:c r="C544" s="19" t="str">
        <x:v>1. GRID08 training and adaptation delivery</x:v>
      </x:c>
      <x:c r="D544" s="19" t="str">
        <x:v>Version=v2；Model=gnn</x:v>
      </x:c>
      <x:c r="E544" s="19" t="str">
        <x:v>Reference</x:v>
      </x:c>
      <x:c r="F544" s="19" t="str">
        <x:v>IMMEDIATE_COST</x:v>
      </x:c>
      <x:c r="G544" s="19" t="str">
        <x:v>其他/配置</x:v>
      </x:c>
      <x:c r="H544" s="19" t="str">
        <x:v>D:/Codex/GRL研究/outputs/grid08/GRID08_report.md</x:v>
      </x:c>
    </x:row>
    <x:row r="545" ht="36" customHeight="1">
      <x:c r="A545" s="19" t="str">
        <x:v>GRID08</x:v>
      </x:c>
      <x:c r="B545" s="19" t="str">
        <x:v>GRID08_report.md</x:v>
      </x:c>
      <x:c r="C545" s="19" t="str">
        <x:v>1. GRID08 training and adaptation delivery</x:v>
      </x:c>
      <x:c r="D545" s="19" t="str">
        <x:v>Version=v2；Model=gnn</x:v>
      </x:c>
      <x:c r="E545" s="19" t="str">
        <x:v>Complete pairs</x:v>
      </x:c>
      <x:c r="F545" s="19" t="str">
        <x:v>3</x:v>
      </x:c>
      <x:c r="G545" s="19" t="str">
        <x:v>其他/配置</x:v>
      </x:c>
      <x:c r="H545" s="19" t="str">
        <x:v>D:/Codex/GRL研究/outputs/grid08/GRID08_report.md</x:v>
      </x:c>
    </x:row>
    <x:row r="546" ht="36" customHeight="1">
      <x:c r="A546" s="19" t="str">
        <x:v>GRID08</x:v>
      </x:c>
      <x:c r="B546" s="19" t="str">
        <x:v>GRID08_report.md</x:v>
      </x:c>
      <x:c r="C546" s="19" t="str">
        <x:v>1. GRID08 training and adaptation delivery</x:v>
      </x:c>
      <x:c r="D546" s="19" t="str">
        <x:v>Version=v2；Model=gnn</x:v>
      </x:c>
      <x:c r="E546" s="19" t="str">
        <x:v>Mean cost reduction</x:v>
      </x:c>
      <x:c r="F546" s="19" t="str">
        <x:v>31.3110%</x:v>
      </x:c>
      <x:c r="G546" s="19" t="str">
        <x:v>其他/配置</x:v>
      </x:c>
      <x:c r="H546" s="19" t="str">
        <x:v>D:/Codex/GRL研究/outputs/grid08/GRID08_report.md</x:v>
      </x:c>
    </x:row>
    <x:row r="547" ht="36" customHeight="1">
      <x:c r="A547" s="19" t="str">
        <x:v>GRID08</x:v>
      </x:c>
      <x:c r="B547" s="19" t="str">
        <x:v>GRID08_report.md</x:v>
      </x:c>
      <x:c r="C547" s="19" t="str">
        <x:v>1. GRID08 training and adaptation delivery</x:v>
      </x:c>
      <x:c r="D547" s="19" t="str">
        <x:v>Version=v2；Model=gnn</x:v>
      </x:c>
      <x:c r="E547" s="19" t="str">
        <x:v>Positive / negative</x:v>
      </x:c>
      <x:c r="F547" s="19" t="str">
        <x:v>3 / 0</x:v>
      </x:c>
      <x:c r="G547" s="19" t="str">
        <x:v>其他/配置</x:v>
      </x:c>
      <x:c r="H547" s="19" t="str">
        <x:v>D:/Codex/GRL研究/outputs/grid08/GRID08_report.md</x:v>
      </x:c>
    </x:row>
    <x:row r="548" ht="36" customHeight="1">
      <x:c r="A548" s="19" t="str">
        <x:v>GRID08</x:v>
      </x:c>
      <x:c r="B548" s="19" t="str">
        <x:v>GRID08_report.md</x:v>
      </x:c>
      <x:c r="C548" s="19" t="str">
        <x:v>1. GRID08 training and adaptation delivery</x:v>
      </x:c>
      <x:c r="D548" s="19" t="str">
        <x:v>Version=v2；Model=gnn</x:v>
      </x:c>
      <x:c r="E548" s="19" t="str">
        <x:v>Identical trajectories</x:v>
      </x:c>
      <x:c r="F548" s="19" t="str">
        <x:v>0</x:v>
      </x:c>
      <x:c r="G548" s="19" t="str">
        <x:v>其他/配置</x:v>
      </x:c>
      <x:c r="H548" s="19" t="str">
        <x:v>D:/Codex/GRL研究/outputs/grid08/GRID08_report.md</x:v>
      </x:c>
    </x:row>
    <x:row r="549" ht="36" customHeight="1">
      <x:c r="A549" s="19" t="str">
        <x:v>GRID08</x:v>
      </x:c>
      <x:c r="B549" s="19" t="str">
        <x:v>GRID08_report.md</x:v>
      </x:c>
      <x:c r="C549" s="19" t="str">
        <x:v>1. GRID08 training and adaptation delivery</x:v>
      </x:c>
      <x:c r="D549" s="19" t="str">
        <x:v>Version=v2；Model=mlp</x:v>
      </x:c>
      <x:c r="E549" s="19" t="str">
        <x:v>Model</x:v>
      </x:c>
      <x:c r="F549" s="19" t="str">
        <x:v>mlp</x:v>
      </x:c>
      <x:c r="G549" s="19" t="str">
        <x:v>其他/配置</x:v>
      </x:c>
      <x:c r="H549" s="19" t="str">
        <x:v>D:/Codex/GRL研究/outputs/grid08/GRID08_report.md</x:v>
      </x:c>
    </x:row>
    <x:row r="550" ht="36" customHeight="1">
      <x:c r="A550" s="19" t="str">
        <x:v>GRID08</x:v>
      </x:c>
      <x:c r="B550" s="19" t="str">
        <x:v>GRID08_report.md</x:v>
      </x:c>
      <x:c r="C550" s="19" t="str">
        <x:v>1. GRID08 training and adaptation delivery</x:v>
      </x:c>
      <x:c r="D550" s="19" t="str">
        <x:v>Version=v2；Model=mlp</x:v>
      </x:c>
      <x:c r="E550" s="19" t="str">
        <x:v>Reference</x:v>
      </x:c>
      <x:c r="F550" s="19" t="str">
        <x:v>NN20</x:v>
      </x:c>
      <x:c r="G550" s="19" t="str">
        <x:v>其他/配置</x:v>
      </x:c>
      <x:c r="H550" s="19" t="str">
        <x:v>D:/Codex/GRL研究/outputs/grid08/GRID08_report.md</x:v>
      </x:c>
    </x:row>
    <x:row r="551" ht="36" customHeight="1">
      <x:c r="A551" s="19" t="str">
        <x:v>GRID08</x:v>
      </x:c>
      <x:c r="B551" s="19" t="str">
        <x:v>GRID08_report.md</x:v>
      </x:c>
      <x:c r="C551" s="19" t="str">
        <x:v>1. GRID08 training and adaptation delivery</x:v>
      </x:c>
      <x:c r="D551" s="19" t="str">
        <x:v>Version=v2；Model=mlp</x:v>
      </x:c>
      <x:c r="E551" s="19" t="str">
        <x:v>Complete pairs</x:v>
      </x:c>
      <x:c r="F551" s="19" t="str">
        <x:v>4</x:v>
      </x:c>
      <x:c r="G551" s="19" t="str">
        <x:v>其他/配置</x:v>
      </x:c>
      <x:c r="H551" s="19" t="str">
        <x:v>D:/Codex/GRL研究/outputs/grid08/GRID08_report.md</x:v>
      </x:c>
    </x:row>
    <x:row r="552" ht="36" customHeight="1">
      <x:c r="A552" s="19" t="str">
        <x:v>GRID08</x:v>
      </x:c>
      <x:c r="B552" s="19" t="str">
        <x:v>GRID08_report.md</x:v>
      </x:c>
      <x:c r="C552" s="19" t="str">
        <x:v>1. GRID08 training and adaptation delivery</x:v>
      </x:c>
      <x:c r="D552" s="19" t="str">
        <x:v>Version=v2；Model=mlp</x:v>
      </x:c>
      <x:c r="E552" s="19" t="str">
        <x:v>Mean cost reduction</x:v>
      </x:c>
      <x:c r="F552" s="19" t="str">
        <x:v>63.8645%</x:v>
      </x:c>
      <x:c r="G552" s="19" t="str">
        <x:v>其他/配置</x:v>
      </x:c>
      <x:c r="H552" s="19" t="str">
        <x:v>D:/Codex/GRL研究/outputs/grid08/GRID08_report.md</x:v>
      </x:c>
    </x:row>
    <x:row r="553" ht="36" customHeight="1">
      <x:c r="A553" s="19" t="str">
        <x:v>GRID08</x:v>
      </x:c>
      <x:c r="B553" s="19" t="str">
        <x:v>GRID08_report.md</x:v>
      </x:c>
      <x:c r="C553" s="19" t="str">
        <x:v>1. GRID08 training and adaptation delivery</x:v>
      </x:c>
      <x:c r="D553" s="19" t="str">
        <x:v>Version=v2；Model=mlp</x:v>
      </x:c>
      <x:c r="E553" s="19" t="str">
        <x:v>Positive / negative</x:v>
      </x:c>
      <x:c r="F553" s="19" t="str">
        <x:v>4 / 0</x:v>
      </x:c>
      <x:c r="G553" s="19" t="str">
        <x:v>其他/配置</x:v>
      </x:c>
      <x:c r="H553" s="19" t="str">
        <x:v>D:/Codex/GRL研究/outputs/grid08/GRID08_report.md</x:v>
      </x:c>
    </x:row>
    <x:row r="554" ht="36" customHeight="1">
      <x:c r="A554" s="19" t="str">
        <x:v>GRID08</x:v>
      </x:c>
      <x:c r="B554" s="19" t="str">
        <x:v>GRID08_report.md</x:v>
      </x:c>
      <x:c r="C554" s="19" t="str">
        <x:v>1. GRID08 training and adaptation delivery</x:v>
      </x:c>
      <x:c r="D554" s="19" t="str">
        <x:v>Version=v2；Model=mlp</x:v>
      </x:c>
      <x:c r="E554" s="19" t="str">
        <x:v>Identical trajectories</x:v>
      </x:c>
      <x:c r="F554" s="19" t="str">
        <x:v>0</x:v>
      </x:c>
      <x:c r="G554" s="19" t="str">
        <x:v>其他/配置</x:v>
      </x:c>
      <x:c r="H554" s="19" t="str">
        <x:v>D:/Codex/GRL研究/outputs/grid08/GRID08_report.md</x:v>
      </x:c>
    </x:row>
    <x:row r="555" ht="36" customHeight="1">
      <x:c r="A555" s="19" t="str">
        <x:v>GRID08</x:v>
      </x:c>
      <x:c r="B555" s="19" t="str">
        <x:v>GRID08_report.md</x:v>
      </x:c>
      <x:c r="C555" s="19" t="str">
        <x:v>1. GRID08 training and adaptation delivery</x:v>
      </x:c>
      <x:c r="D555" s="19" t="str">
        <x:v>Version=v2；Model=mlp</x:v>
      </x:c>
      <x:c r="E555" s="19" t="str">
        <x:v>Model</x:v>
      </x:c>
      <x:c r="F555" s="19" t="str">
        <x:v>mlp</x:v>
      </x:c>
      <x:c r="G555" s="19" t="str">
        <x:v>其他/配置</x:v>
      </x:c>
      <x:c r="H555" s="19" t="str">
        <x:v>D:/Codex/GRL研究/outputs/grid08/GRID08_report.md</x:v>
      </x:c>
    </x:row>
    <x:row r="556" ht="36" customHeight="1">
      <x:c r="A556" s="19" t="str">
        <x:v>GRID08</x:v>
      </x:c>
      <x:c r="B556" s="19" t="str">
        <x:v>GRID08_report.md</x:v>
      </x:c>
      <x:c r="C556" s="19" t="str">
        <x:v>1. GRID08 training and adaptation delivery</x:v>
      </x:c>
      <x:c r="D556" s="19" t="str">
        <x:v>Version=v2；Model=mlp</x:v>
      </x:c>
      <x:c r="E556" s="19" t="str">
        <x:v>Reference</x:v>
      </x:c>
      <x:c r="F556" s="19" t="str">
        <x:v>ALWAYS_RESTORE</x:v>
      </x:c>
      <x:c r="G556" s="19" t="str">
        <x:v>其他/配置</x:v>
      </x:c>
      <x:c r="H556" s="19" t="str">
        <x:v>D:/Codex/GRL研究/outputs/grid08/GRID08_report.md</x:v>
      </x:c>
    </x:row>
    <x:row r="557" ht="36" customHeight="1">
      <x:c r="A557" s="19" t="str">
        <x:v>GRID08</x:v>
      </x:c>
      <x:c r="B557" s="19" t="str">
        <x:v>GRID08_report.md</x:v>
      </x:c>
      <x:c r="C557" s="19" t="str">
        <x:v>1. GRID08 training and adaptation delivery</x:v>
      </x:c>
      <x:c r="D557" s="19" t="str">
        <x:v>Version=v2；Model=mlp</x:v>
      </x:c>
      <x:c r="E557" s="19" t="str">
        <x:v>Complete pairs</x:v>
      </x:c>
      <x:c r="F557" s="19" t="str">
        <x:v>4</x:v>
      </x:c>
      <x:c r="G557" s="19" t="str">
        <x:v>其他/配置</x:v>
      </x:c>
      <x:c r="H557" s="19" t="str">
        <x:v>D:/Codex/GRL研究/outputs/grid08/GRID08_report.md</x:v>
      </x:c>
    </x:row>
    <x:row r="558" ht="36" customHeight="1">
      <x:c r="A558" s="19" t="str">
        <x:v>GRID08</x:v>
      </x:c>
      <x:c r="B558" s="19" t="str">
        <x:v>GRID08_report.md</x:v>
      </x:c>
      <x:c r="C558" s="19" t="str">
        <x:v>1. GRID08 training and adaptation delivery</x:v>
      </x:c>
      <x:c r="D558" s="19" t="str">
        <x:v>Version=v2；Model=mlp</x:v>
      </x:c>
      <x:c r="E558" s="19" t="str">
        <x:v>Mean cost reduction</x:v>
      </x:c>
      <x:c r="F558" s="19" t="str">
        <x:v>0.0000%</x:v>
      </x:c>
      <x:c r="G558" s="19" t="str">
        <x:v>其他/配置</x:v>
      </x:c>
      <x:c r="H558" s="19" t="str">
        <x:v>D:/Codex/GRL研究/outputs/grid08/GRID08_report.md</x:v>
      </x:c>
    </x:row>
    <x:row r="559" ht="36" customHeight="1">
      <x:c r="A559" s="19" t="str">
        <x:v>GRID08</x:v>
      </x:c>
      <x:c r="B559" s="19" t="str">
        <x:v>GRID08_report.md</x:v>
      </x:c>
      <x:c r="C559" s="19" t="str">
        <x:v>1. GRID08 training and adaptation delivery</x:v>
      </x:c>
      <x:c r="D559" s="19" t="str">
        <x:v>Version=v2；Model=mlp</x:v>
      </x:c>
      <x:c r="E559" s="19" t="str">
        <x:v>Positive / negative</x:v>
      </x:c>
      <x:c r="F559" s="19" t="str">
        <x:v>0 / 0</x:v>
      </x:c>
      <x:c r="G559" s="19" t="str">
        <x:v>其他/配置</x:v>
      </x:c>
      <x:c r="H559" s="19" t="str">
        <x:v>D:/Codex/GRL研究/outputs/grid08/GRID08_report.md</x:v>
      </x:c>
    </x:row>
    <x:row r="560" ht="36" customHeight="1">
      <x:c r="A560" s="19" t="str">
        <x:v>GRID08</x:v>
      </x:c>
      <x:c r="B560" s="19" t="str">
        <x:v>GRID08_report.md</x:v>
      </x:c>
      <x:c r="C560" s="19" t="str">
        <x:v>1. GRID08 training and adaptation delivery</x:v>
      </x:c>
      <x:c r="D560" s="19" t="str">
        <x:v>Version=v2；Model=mlp</x:v>
      </x:c>
      <x:c r="E560" s="19" t="str">
        <x:v>Identical trajectories</x:v>
      </x:c>
      <x:c r="F560" s="19" t="str">
        <x:v>4</x:v>
      </x:c>
      <x:c r="G560" s="19" t="str">
        <x:v>其他/配置</x:v>
      </x:c>
      <x:c r="H560" s="19" t="str">
        <x:v>D:/Codex/GRL研究/outputs/grid08/GRID08_report.md</x:v>
      </x:c>
    </x:row>
    <x:row r="561" ht="36" customHeight="1">
      <x:c r="A561" s="19" t="str">
        <x:v>GRID08</x:v>
      </x:c>
      <x:c r="B561" s="19" t="str">
        <x:v>GRID08_report.md</x:v>
      </x:c>
      <x:c r="C561" s="19" t="str">
        <x:v>1. GRID08 training and adaptation delivery</x:v>
      </x:c>
      <x:c r="D561" s="19" t="str">
        <x:v>Version=v2；Model=mlp</x:v>
      </x:c>
      <x:c r="E561" s="19" t="str">
        <x:v>Model</x:v>
      </x:c>
      <x:c r="F561" s="19" t="str">
        <x:v>mlp</x:v>
      </x:c>
      <x:c r="G561" s="19" t="str">
        <x:v>其他/配置</x:v>
      </x:c>
      <x:c r="H561" s="19" t="str">
        <x:v>D:/Codex/GRL研究/outputs/grid08/GRID08_report.md</x:v>
      </x:c>
    </x:row>
    <x:row r="562" ht="36" customHeight="1">
      <x:c r="A562" s="19" t="str">
        <x:v>GRID08</x:v>
      </x:c>
      <x:c r="B562" s="19" t="str">
        <x:v>GRID08_report.md</x:v>
      </x:c>
      <x:c r="C562" s="19" t="str">
        <x:v>1. GRID08 training and adaptation delivery</x:v>
      </x:c>
      <x:c r="D562" s="19" t="str">
        <x:v>Version=v2；Model=mlp</x:v>
      </x:c>
      <x:c r="E562" s="19" t="str">
        <x:v>Reference</x:v>
      </x:c>
      <x:c r="F562" s="19" t="str">
        <x:v>IMMEDIATE_COST</x:v>
      </x:c>
      <x:c r="G562" s="19" t="str">
        <x:v>其他/配置</x:v>
      </x:c>
      <x:c r="H562" s="19" t="str">
        <x:v>D:/Codex/GRL研究/outputs/grid08/GRID08_report.md</x:v>
      </x:c>
    </x:row>
    <x:row r="563" ht="36" customHeight="1">
      <x:c r="A563" s="19" t="str">
        <x:v>GRID08</x:v>
      </x:c>
      <x:c r="B563" s="19" t="str">
        <x:v>GRID08_report.md</x:v>
      </x:c>
      <x:c r="C563" s="19" t="str">
        <x:v>1. GRID08 training and adaptation delivery</x:v>
      </x:c>
      <x:c r="D563" s="19" t="str">
        <x:v>Version=v2；Model=mlp</x:v>
      </x:c>
      <x:c r="E563" s="19" t="str">
        <x:v>Complete pairs</x:v>
      </x:c>
      <x:c r="F563" s="19" t="str">
        <x:v>3</x:v>
      </x:c>
      <x:c r="G563" s="19" t="str">
        <x:v>其他/配置</x:v>
      </x:c>
      <x:c r="H563" s="19" t="str">
        <x:v>D:/Codex/GRL研究/outputs/grid08/GRID08_report.md</x:v>
      </x:c>
    </x:row>
    <x:row r="564" ht="36" customHeight="1">
      <x:c r="A564" s="19" t="str">
        <x:v>GRID08</x:v>
      </x:c>
      <x:c r="B564" s="19" t="str">
        <x:v>GRID08_report.md</x:v>
      </x:c>
      <x:c r="C564" s="19" t="str">
        <x:v>1. GRID08 training and adaptation delivery</x:v>
      </x:c>
      <x:c r="D564" s="19" t="str">
        <x:v>Version=v2；Model=mlp</x:v>
      </x:c>
      <x:c r="E564" s="19" t="str">
        <x:v>Mean cost reduction</x:v>
      </x:c>
      <x:c r="F564" s="19" t="str">
        <x:v>31.3110%</x:v>
      </x:c>
      <x:c r="G564" s="19" t="str">
        <x:v>其他/配置</x:v>
      </x:c>
      <x:c r="H564" s="19" t="str">
        <x:v>D:/Codex/GRL研究/outputs/grid08/GRID08_report.md</x:v>
      </x:c>
    </x:row>
    <x:row r="565" ht="36" customHeight="1">
      <x:c r="A565" s="19" t="str">
        <x:v>GRID08</x:v>
      </x:c>
      <x:c r="B565" s="19" t="str">
        <x:v>GRID08_report.md</x:v>
      </x:c>
      <x:c r="C565" s="19" t="str">
        <x:v>1. GRID08 training and adaptation delivery</x:v>
      </x:c>
      <x:c r="D565" s="19" t="str">
        <x:v>Version=v2；Model=mlp</x:v>
      </x:c>
      <x:c r="E565" s="19" t="str">
        <x:v>Positive / negative</x:v>
      </x:c>
      <x:c r="F565" s="19" t="str">
        <x:v>3 / 0</x:v>
      </x:c>
      <x:c r="G565" s="19" t="str">
        <x:v>其他/配置</x:v>
      </x:c>
      <x:c r="H565" s="19" t="str">
        <x:v>D:/Codex/GRL研究/outputs/grid08/GRID08_report.md</x:v>
      </x:c>
    </x:row>
    <x:row r="566" ht="36" customHeight="1">
      <x:c r="A566" s="19" t="str">
        <x:v>GRID08</x:v>
      </x:c>
      <x:c r="B566" s="19" t="str">
        <x:v>GRID08_report.md</x:v>
      </x:c>
      <x:c r="C566" s="19" t="str">
        <x:v>1. GRID08 training and adaptation delivery</x:v>
      </x:c>
      <x:c r="D566" s="19" t="str">
        <x:v>Version=v2；Model=mlp</x:v>
      </x:c>
      <x:c r="E566" s="19" t="str">
        <x:v>Identical trajectories</x:v>
      </x:c>
      <x:c r="F566" s="19" t="str">
        <x:v>0</x:v>
      </x:c>
      <x:c r="G566" s="19" t="str">
        <x:v>其他/配置</x:v>
      </x:c>
      <x:c r="H566" s="19" t="str">
        <x:v>D:/Codex/GRL研究/outputs/grid08/GRID08_report.md</x:v>
      </x:c>
    </x:row>
    <x:row r="567" ht="36" customHeight="1">
      <x:c r="A567" s="19" t="str">
        <x:v>GRID09</x:v>
      </x:c>
      <x:c r="B567" s="19" t="str">
        <x:v>GRID09_report.md</x:v>
      </x:c>
      <x:c r="C567" s="19" t="str">
        <x:v>1. GRID09: decision-linked credit experiment</x:v>
      </x:c>
      <x:c r="D567" s="19" t="str">
        <x:v>Version=physical；Reference=NN20</x:v>
      </x:c>
      <x:c r="E567" s="19" t="str">
        <x:v>Reference</x:v>
      </x:c>
      <x:c r="F567" s="19" t="str">
        <x:v>NN20</x:v>
      </x:c>
      <x:c r="G567" s="19" t="str">
        <x:v>其他/配置</x:v>
      </x:c>
      <x:c r="H567" s="19" t="str">
        <x:v>D:/Codex/GRL研究/outputs/grid09/GRID09_report.md</x:v>
      </x:c>
    </x:row>
    <x:row r="568" ht="36" customHeight="1">
      <x:c r="A568" s="19" t="str">
        <x:v>GRID09</x:v>
      </x:c>
      <x:c r="B568" s="19" t="str">
        <x:v>GRID09_report.md</x:v>
      </x:c>
      <x:c r="C568" s="19" t="str">
        <x:v>1. GRID09: decision-linked credit experiment</x:v>
      </x:c>
      <x:c r="D568" s="19" t="str">
        <x:v>Version=physical；Reference=NN20</x:v>
      </x:c>
      <x:c r="E568" s="19" t="str">
        <x:v>Jointly complete</x:v>
      </x:c>
      <x:c r="F568" s="19" t="str">
        <x:v>4</x:v>
      </x:c>
      <x:c r="G568" s="19" t="str">
        <x:v>其他/配置</x:v>
      </x:c>
      <x:c r="H568" s="19" t="str">
        <x:v>D:/Codex/GRL研究/outputs/grid09/GRID09_report.md</x:v>
      </x:c>
    </x:row>
    <x:row r="569" ht="36" customHeight="1">
      <x:c r="A569" s="19" t="str">
        <x:v>GRID09</x:v>
      </x:c>
      <x:c r="B569" s="19" t="str">
        <x:v>GRID09_report.md</x:v>
      </x:c>
      <x:c r="C569" s="19" t="str">
        <x:v>1. GRID09: decision-linked credit experiment</x:v>
      </x:c>
      <x:c r="D569" s="19" t="str">
        <x:v>Version=physical；Reference=NN20</x:v>
      </x:c>
      <x:c r="E569" s="19" t="str">
        <x:v>Mean cost reduction</x:v>
      </x:c>
      <x:c r="F569" s="19" t="str">
        <x:v>63.8645%</x:v>
      </x:c>
      <x:c r="G569" s="19" t="str">
        <x:v>其他/配置</x:v>
      </x:c>
      <x:c r="H569" s="19" t="str">
        <x:v>D:/Codex/GRL研究/outputs/grid09/GRID09_report.md</x:v>
      </x:c>
    </x:row>
    <x:row r="570" ht="36" customHeight="1">
      <x:c r="A570" s="19" t="str">
        <x:v>GRID09</x:v>
      </x:c>
      <x:c r="B570" s="19" t="str">
        <x:v>GRID09_report.md</x:v>
      </x:c>
      <x:c r="C570" s="19" t="str">
        <x:v>1. GRID09: decision-linked credit experiment</x:v>
      </x:c>
      <x:c r="D570" s="19" t="str">
        <x:v>Version=physical；Reference=NN20</x:v>
      </x:c>
      <x:c r="E570" s="19" t="str">
        <x:v>Positive / negative</x:v>
      </x:c>
      <x:c r="F570" s="19" t="str">
        <x:v>4 / 0</x:v>
      </x:c>
      <x:c r="G570" s="19" t="str">
        <x:v>其他/配置</x:v>
      </x:c>
      <x:c r="H570" s="19" t="str">
        <x:v>D:/Codex/GRL研究/outputs/grid09/GRID09_report.md</x:v>
      </x:c>
    </x:row>
    <x:row r="571" ht="36" customHeight="1">
      <x:c r="A571" s="19" t="str">
        <x:v>GRID09</x:v>
      </x:c>
      <x:c r="B571" s="19" t="str">
        <x:v>GRID09_report.md</x:v>
      </x:c>
      <x:c r="C571" s="19" t="str">
        <x:v>1. GRID09: decision-linked credit experiment</x:v>
      </x:c>
      <x:c r="D571" s="19" t="str">
        <x:v>Version=physical；Reference=NN20</x:v>
      </x:c>
      <x:c r="E571" s="19" t="str">
        <x:v>Exact same trajectory</x:v>
      </x:c>
      <x:c r="F571" s="19" t="str">
        <x:v>0</x:v>
      </x:c>
      <x:c r="G571" s="19" t="str">
        <x:v>其他/配置</x:v>
      </x:c>
      <x:c r="H571" s="19" t="str">
        <x:v>D:/Codex/GRL研究/outputs/grid09/GRID09_report.md</x:v>
      </x:c>
    </x:row>
    <x:row r="572" ht="36" customHeight="1">
      <x:c r="A572" s="19" t="str">
        <x:v>GRID09</x:v>
      </x:c>
      <x:c r="B572" s="19" t="str">
        <x:v>GRID09_report.md</x:v>
      </x:c>
      <x:c r="C572" s="19" t="str">
        <x:v>1. GRID09: decision-linked credit experiment</x:v>
      </x:c>
      <x:c r="D572" s="19" t="str">
        <x:v>Version=physical；Reference=ALWAYS_RESTORE</x:v>
      </x:c>
      <x:c r="E572" s="19" t="str">
        <x:v>Reference</x:v>
      </x:c>
      <x:c r="F572" s="19" t="str">
        <x:v>ALWAYS_RESTORE</x:v>
      </x:c>
      <x:c r="G572" s="19" t="str">
        <x:v>其他/配置</x:v>
      </x:c>
      <x:c r="H572" s="19" t="str">
        <x:v>D:/Codex/GRL研究/outputs/grid09/GRID09_report.md</x:v>
      </x:c>
    </x:row>
    <x:row r="573" ht="36" customHeight="1">
      <x:c r="A573" s="19" t="str">
        <x:v>GRID09</x:v>
      </x:c>
      <x:c r="B573" s="19" t="str">
        <x:v>GRID09_report.md</x:v>
      </x:c>
      <x:c r="C573" s="19" t="str">
        <x:v>1. GRID09: decision-linked credit experiment</x:v>
      </x:c>
      <x:c r="D573" s="19" t="str">
        <x:v>Version=physical；Reference=ALWAYS_RESTORE</x:v>
      </x:c>
      <x:c r="E573" s="19" t="str">
        <x:v>Jointly complete</x:v>
      </x:c>
      <x:c r="F573" s="19" t="str">
        <x:v>4</x:v>
      </x:c>
      <x:c r="G573" s="19" t="str">
        <x:v>其他/配置</x:v>
      </x:c>
      <x:c r="H573" s="19" t="str">
        <x:v>D:/Codex/GRL研究/outputs/grid09/GRID09_report.md</x:v>
      </x:c>
    </x:row>
    <x:row r="574" ht="36" customHeight="1">
      <x:c r="A574" s="19" t="str">
        <x:v>GRID09</x:v>
      </x:c>
      <x:c r="B574" s="19" t="str">
        <x:v>GRID09_report.md</x:v>
      </x:c>
      <x:c r="C574" s="19" t="str">
        <x:v>1. GRID09: decision-linked credit experiment</x:v>
      </x:c>
      <x:c r="D574" s="19" t="str">
        <x:v>Version=physical；Reference=ALWAYS_RESTORE</x:v>
      </x:c>
      <x:c r="E574" s="19" t="str">
        <x:v>Mean cost reduction</x:v>
      </x:c>
      <x:c r="F574" s="19" t="str">
        <x:v>0.0000%</x:v>
      </x:c>
      <x:c r="G574" s="19" t="str">
        <x:v>其他/配置</x:v>
      </x:c>
      <x:c r="H574" s="19" t="str">
        <x:v>D:/Codex/GRL研究/outputs/grid09/GRID09_report.md</x:v>
      </x:c>
    </x:row>
    <x:row r="575" ht="36" customHeight="1">
      <x:c r="A575" s="19" t="str">
        <x:v>GRID09</x:v>
      </x:c>
      <x:c r="B575" s="19" t="str">
        <x:v>GRID09_report.md</x:v>
      </x:c>
      <x:c r="C575" s="19" t="str">
        <x:v>1. GRID09: decision-linked credit experiment</x:v>
      </x:c>
      <x:c r="D575" s="19" t="str">
        <x:v>Version=physical；Reference=ALWAYS_RESTORE</x:v>
      </x:c>
      <x:c r="E575" s="19" t="str">
        <x:v>Positive / negative</x:v>
      </x:c>
      <x:c r="F575" s="19" t="str">
        <x:v>0 / 0</x:v>
      </x:c>
      <x:c r="G575" s="19" t="str">
        <x:v>其他/配置</x:v>
      </x:c>
      <x:c r="H575" s="19" t="str">
        <x:v>D:/Codex/GRL研究/outputs/grid09/GRID09_report.md</x:v>
      </x:c>
    </x:row>
    <x:row r="576" ht="36" customHeight="1">
      <x:c r="A576" s="19" t="str">
        <x:v>GRID09</x:v>
      </x:c>
      <x:c r="B576" s="19" t="str">
        <x:v>GRID09_report.md</x:v>
      </x:c>
      <x:c r="C576" s="19" t="str">
        <x:v>1. GRID09: decision-linked credit experiment</x:v>
      </x:c>
      <x:c r="D576" s="19" t="str">
        <x:v>Version=physical；Reference=ALWAYS_RESTORE</x:v>
      </x:c>
      <x:c r="E576" s="19" t="str">
        <x:v>Exact same trajectory</x:v>
      </x:c>
      <x:c r="F576" s="19" t="str">
        <x:v>4</x:v>
      </x:c>
      <x:c r="G576" s="19" t="str">
        <x:v>其他/配置</x:v>
      </x:c>
      <x:c r="H576" s="19" t="str">
        <x:v>D:/Codex/GRL研究/outputs/grid09/GRID09_report.md</x:v>
      </x:c>
    </x:row>
    <x:row r="577" ht="36" customHeight="1">
      <x:c r="A577" s="19" t="str">
        <x:v>GRID09</x:v>
      </x:c>
      <x:c r="B577" s="19" t="str">
        <x:v>GRID09_report.md</x:v>
      </x:c>
      <x:c r="C577" s="19" t="str">
        <x:v>1. GRID09: decision-linked credit experiment</x:v>
      </x:c>
      <x:c r="D577" s="19" t="str">
        <x:v>Version=physical；Reference=IMMEDIATE_COST</x:v>
      </x:c>
      <x:c r="E577" s="19" t="str">
        <x:v>Reference</x:v>
      </x:c>
      <x:c r="F577" s="19" t="str">
        <x:v>IMMEDIATE_COST</x:v>
      </x:c>
      <x:c r="G577" s="19" t="str">
        <x:v>其他/配置</x:v>
      </x:c>
      <x:c r="H577" s="19" t="str">
        <x:v>D:/Codex/GRL研究/outputs/grid09/GRID09_report.md</x:v>
      </x:c>
    </x:row>
    <x:row r="578" ht="36" customHeight="1">
      <x:c r="A578" s="19" t="str">
        <x:v>GRID09</x:v>
      </x:c>
      <x:c r="B578" s="19" t="str">
        <x:v>GRID09_report.md</x:v>
      </x:c>
      <x:c r="C578" s="19" t="str">
        <x:v>1. GRID09: decision-linked credit experiment</x:v>
      </x:c>
      <x:c r="D578" s="19" t="str">
        <x:v>Version=physical；Reference=IMMEDIATE_COST</x:v>
      </x:c>
      <x:c r="E578" s="19" t="str">
        <x:v>Jointly complete</x:v>
      </x:c>
      <x:c r="F578" s="19" t="str">
        <x:v>3</x:v>
      </x:c>
      <x:c r="G578" s="19" t="str">
        <x:v>其他/配置</x:v>
      </x:c>
      <x:c r="H578" s="19" t="str">
        <x:v>D:/Codex/GRL研究/outputs/grid09/GRID09_report.md</x:v>
      </x:c>
    </x:row>
    <x:row r="579" ht="36" customHeight="1">
      <x:c r="A579" s="19" t="str">
        <x:v>GRID09</x:v>
      </x:c>
      <x:c r="B579" s="19" t="str">
        <x:v>GRID09_report.md</x:v>
      </x:c>
      <x:c r="C579" s="19" t="str">
        <x:v>1. GRID09: decision-linked credit experiment</x:v>
      </x:c>
      <x:c r="D579" s="19" t="str">
        <x:v>Version=physical；Reference=IMMEDIATE_COST</x:v>
      </x:c>
      <x:c r="E579" s="19" t="str">
        <x:v>Mean cost reduction</x:v>
      </x:c>
      <x:c r="F579" s="19" t="str">
        <x:v>31.3110%</x:v>
      </x:c>
      <x:c r="G579" s="19" t="str">
        <x:v>其他/配置</x:v>
      </x:c>
      <x:c r="H579" s="19" t="str">
        <x:v>D:/Codex/GRL研究/outputs/grid09/GRID09_report.md</x:v>
      </x:c>
    </x:row>
    <x:row r="580" ht="36" customHeight="1">
      <x:c r="A580" s="19" t="str">
        <x:v>GRID09</x:v>
      </x:c>
      <x:c r="B580" s="19" t="str">
        <x:v>GRID09_report.md</x:v>
      </x:c>
      <x:c r="C580" s="19" t="str">
        <x:v>1. GRID09: decision-linked credit experiment</x:v>
      </x:c>
      <x:c r="D580" s="19" t="str">
        <x:v>Version=physical；Reference=IMMEDIATE_COST</x:v>
      </x:c>
      <x:c r="E580" s="19" t="str">
        <x:v>Positive / negative</x:v>
      </x:c>
      <x:c r="F580" s="19" t="str">
        <x:v>3 / 0</x:v>
      </x:c>
      <x:c r="G580" s="19" t="str">
        <x:v>其他/配置</x:v>
      </x:c>
      <x:c r="H580" s="19" t="str">
        <x:v>D:/Codex/GRL研究/outputs/grid09/GRID09_report.md</x:v>
      </x:c>
    </x:row>
    <x:row r="581" ht="36" customHeight="1">
      <x:c r="A581" s="19" t="str">
        <x:v>GRID09</x:v>
      </x:c>
      <x:c r="B581" s="19" t="str">
        <x:v>GRID09_report.md</x:v>
      </x:c>
      <x:c r="C581" s="19" t="str">
        <x:v>1. GRID09: decision-linked credit experiment</x:v>
      </x:c>
      <x:c r="D581" s="19" t="str">
        <x:v>Version=physical；Reference=IMMEDIATE_COST</x:v>
      </x:c>
      <x:c r="E581" s="19" t="str">
        <x:v>Exact same trajectory</x:v>
      </x:c>
      <x:c r="F581" s="19" t="str">
        <x:v>0</x:v>
      </x:c>
      <x:c r="G581" s="19" t="str">
        <x:v>其他/配置</x:v>
      </x:c>
      <x:c r="H581" s="19" t="str">
        <x:v>D:/Codex/GRL研究/outputs/grid09/GRID09_report.md</x:v>
      </x:c>
    </x:row>
    <x:row r="582" ht="36" customHeight="1">
      <x:c r="A582" s="19" t="str">
        <x:v>GRID09</x:v>
      </x:c>
      <x:c r="B582" s="19" t="str">
        <x:v>GRID09_report.md</x:v>
      </x:c>
      <x:c r="C582" s="19" t="str">
        <x:v>1. GRID09: decision-linked credit experiment</x:v>
      </x:c>
      <x:c r="D582" s="19" t="str">
        <x:v>Version=physical；Reference=V2_GNN</x:v>
      </x:c>
      <x:c r="E582" s="19" t="str">
        <x:v>Reference</x:v>
      </x:c>
      <x:c r="F582" s="19" t="str">
        <x:v>V2_GNN</x:v>
      </x:c>
      <x:c r="G582" s="19" t="str">
        <x:v>其他/配置</x:v>
      </x:c>
      <x:c r="H582" s="19" t="str">
        <x:v>D:/Codex/GRL研究/outputs/grid09/GRID09_report.md</x:v>
      </x:c>
    </x:row>
    <x:row r="583" ht="36" customHeight="1">
      <x:c r="A583" s="19" t="str">
        <x:v>GRID09</x:v>
      </x:c>
      <x:c r="B583" s="19" t="str">
        <x:v>GRID09_report.md</x:v>
      </x:c>
      <x:c r="C583" s="19" t="str">
        <x:v>1. GRID09: decision-linked credit experiment</x:v>
      </x:c>
      <x:c r="D583" s="19" t="str">
        <x:v>Version=physical；Reference=V2_GNN</x:v>
      </x:c>
      <x:c r="E583" s="19" t="str">
        <x:v>Jointly complete</x:v>
      </x:c>
      <x:c r="F583" s="19" t="str">
        <x:v>4</x:v>
      </x:c>
      <x:c r="G583" s="19" t="str">
        <x:v>其他/配置</x:v>
      </x:c>
      <x:c r="H583" s="19" t="str">
        <x:v>D:/Codex/GRL研究/outputs/grid09/GRID09_report.md</x:v>
      </x:c>
    </x:row>
    <x:row r="584" ht="36" customHeight="1">
      <x:c r="A584" s="19" t="str">
        <x:v>GRID09</x:v>
      </x:c>
      <x:c r="B584" s="19" t="str">
        <x:v>GRID09_report.md</x:v>
      </x:c>
      <x:c r="C584" s="19" t="str">
        <x:v>1. GRID09: decision-linked credit experiment</x:v>
      </x:c>
      <x:c r="D584" s="19" t="str">
        <x:v>Version=physical；Reference=V2_GNN</x:v>
      </x:c>
      <x:c r="E584" s="19" t="str">
        <x:v>Mean cost reduction</x:v>
      </x:c>
      <x:c r="F584" s="19" t="str">
        <x:v>0.0000%</x:v>
      </x:c>
      <x:c r="G584" s="19" t="str">
        <x:v>其他/配置</x:v>
      </x:c>
      <x:c r="H584" s="19" t="str">
        <x:v>D:/Codex/GRL研究/outputs/grid09/GRID09_report.md</x:v>
      </x:c>
    </x:row>
    <x:row r="585" ht="36" customHeight="1">
      <x:c r="A585" s="19" t="str">
        <x:v>GRID09</x:v>
      </x:c>
      <x:c r="B585" s="19" t="str">
        <x:v>GRID09_report.md</x:v>
      </x:c>
      <x:c r="C585" s="19" t="str">
        <x:v>1. GRID09: decision-linked credit experiment</x:v>
      </x:c>
      <x:c r="D585" s="19" t="str">
        <x:v>Version=physical；Reference=V2_GNN</x:v>
      </x:c>
      <x:c r="E585" s="19" t="str">
        <x:v>Positive / negative</x:v>
      </x:c>
      <x:c r="F585" s="19" t="str">
        <x:v>0 / 0</x:v>
      </x:c>
      <x:c r="G585" s="19" t="str">
        <x:v>其他/配置</x:v>
      </x:c>
      <x:c r="H585" s="19" t="str">
        <x:v>D:/Codex/GRL研究/outputs/grid09/GRID09_report.md</x:v>
      </x:c>
    </x:row>
    <x:row r="586" ht="36" customHeight="1">
      <x:c r="A586" s="19" t="str">
        <x:v>GRID09</x:v>
      </x:c>
      <x:c r="B586" s="19" t="str">
        <x:v>GRID09_report.md</x:v>
      </x:c>
      <x:c r="C586" s="19" t="str">
        <x:v>1. GRID09: decision-linked credit experiment</x:v>
      </x:c>
      <x:c r="D586" s="19" t="str">
        <x:v>Version=physical；Reference=V2_GNN</x:v>
      </x:c>
      <x:c r="E586" s="19" t="str">
        <x:v>Exact same trajectory</x:v>
      </x:c>
      <x:c r="F586" s="19" t="str">
        <x:v>4</x:v>
      </x:c>
      <x:c r="G586" s="19" t="str">
        <x:v>其他/配置</x:v>
      </x:c>
      <x:c r="H586" s="19" t="str">
        <x:v>D:/Codex/GRL研究/outputs/grid09/GRID09_report.md</x:v>
      </x:c>
    </x:row>
    <x:row r="587" ht="36" customHeight="1">
      <x:c r="A587" s="19" t="str">
        <x:v>GRID09</x:v>
      </x:c>
      <x:c r="B587" s="19" t="str">
        <x:v>GRID09_report.md</x:v>
      </x:c>
      <x:c r="C587" s="19" t="str">
        <x:v>1. GRID09: decision-linked credit experiment</x:v>
      </x:c>
      <x:c r="D587" s="19" t="str">
        <x:v>Version=decision；Reference=NN20</x:v>
      </x:c>
      <x:c r="E587" s="19" t="str">
        <x:v>Reference</x:v>
      </x:c>
      <x:c r="F587" s="19" t="str">
        <x:v>NN20</x:v>
      </x:c>
      <x:c r="G587" s="19" t="str">
        <x:v>其他/配置</x:v>
      </x:c>
      <x:c r="H587" s="19" t="str">
        <x:v>D:/Codex/GRL研究/outputs/grid09/GRID09_report.md</x:v>
      </x:c>
    </x:row>
    <x:row r="588" ht="36" customHeight="1">
      <x:c r="A588" s="19" t="str">
        <x:v>GRID09</x:v>
      </x:c>
      <x:c r="B588" s="19" t="str">
        <x:v>GRID09_report.md</x:v>
      </x:c>
      <x:c r="C588" s="19" t="str">
        <x:v>1. GRID09: decision-linked credit experiment</x:v>
      </x:c>
      <x:c r="D588" s="19" t="str">
        <x:v>Version=decision；Reference=NN20</x:v>
      </x:c>
      <x:c r="E588" s="19" t="str">
        <x:v>Jointly complete</x:v>
      </x:c>
      <x:c r="F588" s="19" t="str">
        <x:v>4</x:v>
      </x:c>
      <x:c r="G588" s="19" t="str">
        <x:v>其他/配置</x:v>
      </x:c>
      <x:c r="H588" s="19" t="str">
        <x:v>D:/Codex/GRL研究/outputs/grid09/GRID09_report.md</x:v>
      </x:c>
    </x:row>
    <x:row r="589" ht="36" customHeight="1">
      <x:c r="A589" s="19" t="str">
        <x:v>GRID09</x:v>
      </x:c>
      <x:c r="B589" s="19" t="str">
        <x:v>GRID09_report.md</x:v>
      </x:c>
      <x:c r="C589" s="19" t="str">
        <x:v>1. GRID09: decision-linked credit experiment</x:v>
      </x:c>
      <x:c r="D589" s="19" t="str">
        <x:v>Version=decision；Reference=NN20</x:v>
      </x:c>
      <x:c r="E589" s="19" t="str">
        <x:v>Mean cost reduction</x:v>
      </x:c>
      <x:c r="F589" s="19" t="str">
        <x:v>63.8645%</x:v>
      </x:c>
      <x:c r="G589" s="19" t="str">
        <x:v>其他/配置</x:v>
      </x:c>
      <x:c r="H589" s="19" t="str">
        <x:v>D:/Codex/GRL研究/outputs/grid09/GRID09_report.md</x:v>
      </x:c>
    </x:row>
    <x:row r="590" ht="36" customHeight="1">
      <x:c r="A590" s="19" t="str">
        <x:v>GRID09</x:v>
      </x:c>
      <x:c r="B590" s="19" t="str">
        <x:v>GRID09_report.md</x:v>
      </x:c>
      <x:c r="C590" s="19" t="str">
        <x:v>1. GRID09: decision-linked credit experiment</x:v>
      </x:c>
      <x:c r="D590" s="19" t="str">
        <x:v>Version=decision；Reference=NN20</x:v>
      </x:c>
      <x:c r="E590" s="19" t="str">
        <x:v>Positive / negative</x:v>
      </x:c>
      <x:c r="F590" s="19" t="str">
        <x:v>4 / 0</x:v>
      </x:c>
      <x:c r="G590" s="19" t="str">
        <x:v>其他/配置</x:v>
      </x:c>
      <x:c r="H590" s="19" t="str">
        <x:v>D:/Codex/GRL研究/outputs/grid09/GRID09_report.md</x:v>
      </x:c>
    </x:row>
    <x:row r="591" ht="36" customHeight="1">
      <x:c r="A591" s="19" t="str">
        <x:v>GRID09</x:v>
      </x:c>
      <x:c r="B591" s="19" t="str">
        <x:v>GRID09_report.md</x:v>
      </x:c>
      <x:c r="C591" s="19" t="str">
        <x:v>1. GRID09: decision-linked credit experiment</x:v>
      </x:c>
      <x:c r="D591" s="19" t="str">
        <x:v>Version=decision；Reference=NN20</x:v>
      </x:c>
      <x:c r="E591" s="19" t="str">
        <x:v>Exact same trajectory</x:v>
      </x:c>
      <x:c r="F591" s="19" t="str">
        <x:v>0</x:v>
      </x:c>
      <x:c r="G591" s="19" t="str">
        <x:v>其他/配置</x:v>
      </x:c>
      <x:c r="H591" s="19" t="str">
        <x:v>D:/Codex/GRL研究/outputs/grid09/GRID09_report.md</x:v>
      </x:c>
    </x:row>
    <x:row r="592" ht="36" customHeight="1">
      <x:c r="A592" s="19" t="str">
        <x:v>GRID09</x:v>
      </x:c>
      <x:c r="B592" s="19" t="str">
        <x:v>GRID09_report.md</x:v>
      </x:c>
      <x:c r="C592" s="19" t="str">
        <x:v>1. GRID09: decision-linked credit experiment</x:v>
      </x:c>
      <x:c r="D592" s="19" t="str">
        <x:v>Version=decision；Reference=ALWAYS_RESTORE</x:v>
      </x:c>
      <x:c r="E592" s="19" t="str">
        <x:v>Reference</x:v>
      </x:c>
      <x:c r="F592" s="19" t="str">
        <x:v>ALWAYS_RESTORE</x:v>
      </x:c>
      <x:c r="G592" s="19" t="str">
        <x:v>其他/配置</x:v>
      </x:c>
      <x:c r="H592" s="19" t="str">
        <x:v>D:/Codex/GRL研究/outputs/grid09/GRID09_report.md</x:v>
      </x:c>
    </x:row>
    <x:row r="593" ht="36" customHeight="1">
      <x:c r="A593" s="19" t="str">
        <x:v>GRID09</x:v>
      </x:c>
      <x:c r="B593" s="19" t="str">
        <x:v>GRID09_report.md</x:v>
      </x:c>
      <x:c r="C593" s="19" t="str">
        <x:v>1. GRID09: decision-linked credit experiment</x:v>
      </x:c>
      <x:c r="D593" s="19" t="str">
        <x:v>Version=decision；Reference=ALWAYS_RESTORE</x:v>
      </x:c>
      <x:c r="E593" s="19" t="str">
        <x:v>Jointly complete</x:v>
      </x:c>
      <x:c r="F593" s="19" t="str">
        <x:v>4</x:v>
      </x:c>
      <x:c r="G593" s="19" t="str">
        <x:v>其他/配置</x:v>
      </x:c>
      <x:c r="H593" s="19" t="str">
        <x:v>D:/Codex/GRL研究/outputs/grid09/GRID09_report.md</x:v>
      </x:c>
    </x:row>
    <x:row r="594" ht="36" customHeight="1">
      <x:c r="A594" s="19" t="str">
        <x:v>GRID09</x:v>
      </x:c>
      <x:c r="B594" s="19" t="str">
        <x:v>GRID09_report.md</x:v>
      </x:c>
      <x:c r="C594" s="19" t="str">
        <x:v>1. GRID09: decision-linked credit experiment</x:v>
      </x:c>
      <x:c r="D594" s="19" t="str">
        <x:v>Version=decision；Reference=ALWAYS_RESTORE</x:v>
      </x:c>
      <x:c r="E594" s="19" t="str">
        <x:v>Mean cost reduction</x:v>
      </x:c>
      <x:c r="F594" s="19" t="str">
        <x:v>0.0000%</x:v>
      </x:c>
      <x:c r="G594" s="19" t="str">
        <x:v>其他/配置</x:v>
      </x:c>
      <x:c r="H594" s="19" t="str">
        <x:v>D:/Codex/GRL研究/outputs/grid09/GRID09_report.md</x:v>
      </x:c>
    </x:row>
    <x:row r="595" ht="36" customHeight="1">
      <x:c r="A595" s="19" t="str">
        <x:v>GRID09</x:v>
      </x:c>
      <x:c r="B595" s="19" t="str">
        <x:v>GRID09_report.md</x:v>
      </x:c>
      <x:c r="C595" s="19" t="str">
        <x:v>1. GRID09: decision-linked credit experiment</x:v>
      </x:c>
      <x:c r="D595" s="19" t="str">
        <x:v>Version=decision；Reference=ALWAYS_RESTORE</x:v>
      </x:c>
      <x:c r="E595" s="19" t="str">
        <x:v>Positive / negative</x:v>
      </x:c>
      <x:c r="F595" s="19" t="str">
        <x:v>0 / 0</x:v>
      </x:c>
      <x:c r="G595" s="19" t="str">
        <x:v>其他/配置</x:v>
      </x:c>
      <x:c r="H595" s="19" t="str">
        <x:v>D:/Codex/GRL研究/outputs/grid09/GRID09_report.md</x:v>
      </x:c>
    </x:row>
    <x:row r="596" ht="36" customHeight="1">
      <x:c r="A596" s="19" t="str">
        <x:v>GRID09</x:v>
      </x:c>
      <x:c r="B596" s="19" t="str">
        <x:v>GRID09_report.md</x:v>
      </x:c>
      <x:c r="C596" s="19" t="str">
        <x:v>1. GRID09: decision-linked credit experiment</x:v>
      </x:c>
      <x:c r="D596" s="19" t="str">
        <x:v>Version=decision；Reference=ALWAYS_RESTORE</x:v>
      </x:c>
      <x:c r="E596" s="19" t="str">
        <x:v>Exact same trajectory</x:v>
      </x:c>
      <x:c r="F596" s="19" t="str">
        <x:v>4</x:v>
      </x:c>
      <x:c r="G596" s="19" t="str">
        <x:v>其他/配置</x:v>
      </x:c>
      <x:c r="H596" s="19" t="str">
        <x:v>D:/Codex/GRL研究/outputs/grid09/GRID09_report.md</x:v>
      </x:c>
    </x:row>
    <x:row r="597" ht="36" customHeight="1">
      <x:c r="A597" s="19" t="str">
        <x:v>GRID09</x:v>
      </x:c>
      <x:c r="B597" s="19" t="str">
        <x:v>GRID09_report.md</x:v>
      </x:c>
      <x:c r="C597" s="19" t="str">
        <x:v>1. GRID09: decision-linked credit experiment</x:v>
      </x:c>
      <x:c r="D597" s="19" t="str">
        <x:v>Version=decision；Reference=IMMEDIATE_COST</x:v>
      </x:c>
      <x:c r="E597" s="19" t="str">
        <x:v>Reference</x:v>
      </x:c>
      <x:c r="F597" s="19" t="str">
        <x:v>IMMEDIATE_COST</x:v>
      </x:c>
      <x:c r="G597" s="19" t="str">
        <x:v>其他/配置</x:v>
      </x:c>
      <x:c r="H597" s="19" t="str">
        <x:v>D:/Codex/GRL研究/outputs/grid09/GRID09_report.md</x:v>
      </x:c>
    </x:row>
    <x:row r="598" ht="36" customHeight="1">
      <x:c r="A598" s="19" t="str">
        <x:v>GRID09</x:v>
      </x:c>
      <x:c r="B598" s="19" t="str">
        <x:v>GRID09_report.md</x:v>
      </x:c>
      <x:c r="C598" s="19" t="str">
        <x:v>1. GRID09: decision-linked credit experiment</x:v>
      </x:c>
      <x:c r="D598" s="19" t="str">
        <x:v>Version=decision；Reference=IMMEDIATE_COST</x:v>
      </x:c>
      <x:c r="E598" s="19" t="str">
        <x:v>Jointly complete</x:v>
      </x:c>
      <x:c r="F598" s="19" t="str">
        <x:v>3</x:v>
      </x:c>
      <x:c r="G598" s="19" t="str">
        <x:v>其他/配置</x:v>
      </x:c>
      <x:c r="H598" s="19" t="str">
        <x:v>D:/Codex/GRL研究/outputs/grid09/GRID09_report.md</x:v>
      </x:c>
    </x:row>
    <x:row r="599" ht="36" customHeight="1">
      <x:c r="A599" s="19" t="str">
        <x:v>GRID09</x:v>
      </x:c>
      <x:c r="B599" s="19" t="str">
        <x:v>GRID09_report.md</x:v>
      </x:c>
      <x:c r="C599" s="19" t="str">
        <x:v>1. GRID09: decision-linked credit experiment</x:v>
      </x:c>
      <x:c r="D599" s="19" t="str">
        <x:v>Version=decision；Reference=IMMEDIATE_COST</x:v>
      </x:c>
      <x:c r="E599" s="19" t="str">
        <x:v>Mean cost reduction</x:v>
      </x:c>
      <x:c r="F599" s="19" t="str">
        <x:v>31.3110%</x:v>
      </x:c>
      <x:c r="G599" s="19" t="str">
        <x:v>其他/配置</x:v>
      </x:c>
      <x:c r="H599" s="19" t="str">
        <x:v>D:/Codex/GRL研究/outputs/grid09/GRID09_report.md</x:v>
      </x:c>
    </x:row>
    <x:row r="600" ht="36" customHeight="1">
      <x:c r="A600" s="19" t="str">
        <x:v>GRID09</x:v>
      </x:c>
      <x:c r="B600" s="19" t="str">
        <x:v>GRID09_report.md</x:v>
      </x:c>
      <x:c r="C600" s="19" t="str">
        <x:v>1. GRID09: decision-linked credit experiment</x:v>
      </x:c>
      <x:c r="D600" s="19" t="str">
        <x:v>Version=decision；Reference=IMMEDIATE_COST</x:v>
      </x:c>
      <x:c r="E600" s="19" t="str">
        <x:v>Positive / negative</x:v>
      </x:c>
      <x:c r="F600" s="19" t="str">
        <x:v>3 / 0</x:v>
      </x:c>
      <x:c r="G600" s="19" t="str">
        <x:v>其他/配置</x:v>
      </x:c>
      <x:c r="H600" s="19" t="str">
        <x:v>D:/Codex/GRL研究/outputs/grid09/GRID09_report.md</x:v>
      </x:c>
    </x:row>
    <x:row r="601" ht="36" customHeight="1">
      <x:c r="A601" s="19" t="str">
        <x:v>GRID09</x:v>
      </x:c>
      <x:c r="B601" s="19" t="str">
        <x:v>GRID09_report.md</x:v>
      </x:c>
      <x:c r="C601" s="19" t="str">
        <x:v>1. GRID09: decision-linked credit experiment</x:v>
      </x:c>
      <x:c r="D601" s="19" t="str">
        <x:v>Version=decision；Reference=IMMEDIATE_COST</x:v>
      </x:c>
      <x:c r="E601" s="19" t="str">
        <x:v>Exact same trajectory</x:v>
      </x:c>
      <x:c r="F601" s="19" t="str">
        <x:v>0</x:v>
      </x:c>
      <x:c r="G601" s="19" t="str">
        <x:v>其他/配置</x:v>
      </x:c>
      <x:c r="H601" s="19" t="str">
        <x:v>D:/Codex/GRL研究/outputs/grid09/GRID09_report.md</x:v>
      </x:c>
    </x:row>
    <x:row r="602" ht="36" customHeight="1">
      <x:c r="A602" s="19" t="str">
        <x:v>GRID09</x:v>
      </x:c>
      <x:c r="B602" s="19" t="str">
        <x:v>GRID09_report.md</x:v>
      </x:c>
      <x:c r="C602" s="19" t="str">
        <x:v>1. GRID09: decision-linked credit experiment</x:v>
      </x:c>
      <x:c r="D602" s="19" t="str">
        <x:v>Version=decision；Reference=V2_GNN</x:v>
      </x:c>
      <x:c r="E602" s="19" t="str">
        <x:v>Reference</x:v>
      </x:c>
      <x:c r="F602" s="19" t="str">
        <x:v>V2_GNN</x:v>
      </x:c>
      <x:c r="G602" s="19" t="str">
        <x:v>其他/配置</x:v>
      </x:c>
      <x:c r="H602" s="19" t="str">
        <x:v>D:/Codex/GRL研究/outputs/grid09/GRID09_report.md</x:v>
      </x:c>
    </x:row>
    <x:row r="603" ht="36" customHeight="1">
      <x:c r="A603" s="19" t="str">
        <x:v>GRID09</x:v>
      </x:c>
      <x:c r="B603" s="19" t="str">
        <x:v>GRID09_report.md</x:v>
      </x:c>
      <x:c r="C603" s="19" t="str">
        <x:v>1. GRID09: decision-linked credit experiment</x:v>
      </x:c>
      <x:c r="D603" s="19" t="str">
        <x:v>Version=decision；Reference=V2_GNN</x:v>
      </x:c>
      <x:c r="E603" s="19" t="str">
        <x:v>Jointly complete</x:v>
      </x:c>
      <x:c r="F603" s="19" t="str">
        <x:v>4</x:v>
      </x:c>
      <x:c r="G603" s="19" t="str">
        <x:v>其他/配置</x:v>
      </x:c>
      <x:c r="H603" s="19" t="str">
        <x:v>D:/Codex/GRL研究/outputs/grid09/GRID09_report.md</x:v>
      </x:c>
    </x:row>
    <x:row r="604" ht="36" customHeight="1">
      <x:c r="A604" s="19" t="str">
        <x:v>GRID09</x:v>
      </x:c>
      <x:c r="B604" s="19" t="str">
        <x:v>GRID09_report.md</x:v>
      </x:c>
      <x:c r="C604" s="19" t="str">
        <x:v>1. GRID09: decision-linked credit experiment</x:v>
      </x:c>
      <x:c r="D604" s="19" t="str">
        <x:v>Version=decision；Reference=V2_GNN</x:v>
      </x:c>
      <x:c r="E604" s="19" t="str">
        <x:v>Mean cost reduction</x:v>
      </x:c>
      <x:c r="F604" s="19" t="str">
        <x:v>0.0000%</x:v>
      </x:c>
      <x:c r="G604" s="19" t="str">
        <x:v>其他/配置</x:v>
      </x:c>
      <x:c r="H604" s="19" t="str">
        <x:v>D:/Codex/GRL研究/outputs/grid09/GRID09_report.md</x:v>
      </x:c>
    </x:row>
    <x:row r="605" ht="36" customHeight="1">
      <x:c r="A605" s="19" t="str">
        <x:v>GRID09</x:v>
      </x:c>
      <x:c r="B605" s="19" t="str">
        <x:v>GRID09_report.md</x:v>
      </x:c>
      <x:c r="C605" s="19" t="str">
        <x:v>1. GRID09: decision-linked credit experiment</x:v>
      </x:c>
      <x:c r="D605" s="19" t="str">
        <x:v>Version=decision；Reference=V2_GNN</x:v>
      </x:c>
      <x:c r="E605" s="19" t="str">
        <x:v>Positive / negative</x:v>
      </x:c>
      <x:c r="F605" s="19" t="str">
        <x:v>0 / 0</x:v>
      </x:c>
      <x:c r="G605" s="19" t="str">
        <x:v>其他/配置</x:v>
      </x:c>
      <x:c r="H605" s="19" t="str">
        <x:v>D:/Codex/GRL研究/outputs/grid09/GRID09_report.md</x:v>
      </x:c>
    </x:row>
    <x:row r="606" ht="36" customHeight="1">
      <x:c r="A606" s="19" t="str">
        <x:v>GRID09</x:v>
      </x:c>
      <x:c r="B606" s="19" t="str">
        <x:v>GRID09_report.md</x:v>
      </x:c>
      <x:c r="C606" s="19" t="str">
        <x:v>1. GRID09: decision-linked credit experiment</x:v>
      </x:c>
      <x:c r="D606" s="19" t="str">
        <x:v>Version=decision；Reference=V2_GNN</x:v>
      </x:c>
      <x:c r="E606" s="19" t="str">
        <x:v>Exact same trajectory</x:v>
      </x:c>
      <x:c r="F606" s="19" t="str">
        <x:v>4</x:v>
      </x:c>
      <x:c r="G606" s="19" t="str">
        <x:v>其他/配置</x:v>
      </x:c>
      <x:c r="H606" s="19" t="str">
        <x:v>D:/Codex/GRL研究/outputs/grid09/GRID09_report.md</x:v>
      </x:c>
    </x:row>
    <x:row r="607" ht="36" customHeight="1">
      <x:c r="A607" s="19" t="str">
        <x:v>GRID09</x:v>
      </x:c>
      <x:c r="B607" s="19" t="str">
        <x:v>GRID09_report.md</x:v>
      </x:c>
      <x:c r="C607" s="19" t="str">
        <x:v>1. GRID09: decision-linked credit experiment</x:v>
      </x:c>
      <x:c r="D607" s="19" t="str">
        <x:v>Version=decision；Reference=PHYSICAL_CONTINUE</x:v>
      </x:c>
      <x:c r="E607" s="19" t="str">
        <x:v>Reference</x:v>
      </x:c>
      <x:c r="F607" s="19" t="str">
        <x:v>PHYSICAL_CONTINUE</x:v>
      </x:c>
      <x:c r="G607" s="19" t="str">
        <x:v>其他/配置</x:v>
      </x:c>
      <x:c r="H607" s="19" t="str">
        <x:v>D:/Codex/GRL研究/outputs/grid09/GRID09_report.md</x:v>
      </x:c>
    </x:row>
    <x:row r="608" ht="36" customHeight="1">
      <x:c r="A608" s="19" t="str">
        <x:v>GRID09</x:v>
      </x:c>
      <x:c r="B608" s="19" t="str">
        <x:v>GRID09_report.md</x:v>
      </x:c>
      <x:c r="C608" s="19" t="str">
        <x:v>1. GRID09: decision-linked credit experiment</x:v>
      </x:c>
      <x:c r="D608" s="19" t="str">
        <x:v>Version=decision；Reference=PHYSICAL_CONTINUE</x:v>
      </x:c>
      <x:c r="E608" s="19" t="str">
        <x:v>Jointly complete</x:v>
      </x:c>
      <x:c r="F608" s="19" t="str">
        <x:v>4</x:v>
      </x:c>
      <x:c r="G608" s="19" t="str">
        <x:v>其他/配置</x:v>
      </x:c>
      <x:c r="H608" s="19" t="str">
        <x:v>D:/Codex/GRL研究/outputs/grid09/GRID09_report.md</x:v>
      </x:c>
    </x:row>
    <x:row r="609" ht="36" customHeight="1">
      <x:c r="A609" s="19" t="str">
        <x:v>GRID09</x:v>
      </x:c>
      <x:c r="B609" s="19" t="str">
        <x:v>GRID09_report.md</x:v>
      </x:c>
      <x:c r="C609" s="19" t="str">
        <x:v>1. GRID09: decision-linked credit experiment</x:v>
      </x:c>
      <x:c r="D609" s="19" t="str">
        <x:v>Version=decision；Reference=PHYSICAL_CONTINUE</x:v>
      </x:c>
      <x:c r="E609" s="19" t="str">
        <x:v>Mean cost reduction</x:v>
      </x:c>
      <x:c r="F609" s="19" t="str">
        <x:v>0.0000%</x:v>
      </x:c>
      <x:c r="G609" s="19" t="str">
        <x:v>其他/配置</x:v>
      </x:c>
      <x:c r="H609" s="19" t="str">
        <x:v>D:/Codex/GRL研究/outputs/grid09/GRID09_report.md</x:v>
      </x:c>
    </x:row>
    <x:row r="610" ht="36" customHeight="1">
      <x:c r="A610" s="19" t="str">
        <x:v>GRID09</x:v>
      </x:c>
      <x:c r="B610" s="19" t="str">
        <x:v>GRID09_report.md</x:v>
      </x:c>
      <x:c r="C610" s="19" t="str">
        <x:v>1. GRID09: decision-linked credit experiment</x:v>
      </x:c>
      <x:c r="D610" s="19" t="str">
        <x:v>Version=decision；Reference=PHYSICAL_CONTINUE</x:v>
      </x:c>
      <x:c r="E610" s="19" t="str">
        <x:v>Positive / negative</x:v>
      </x:c>
      <x:c r="F610" s="19" t="str">
        <x:v>0 / 0</x:v>
      </x:c>
      <x:c r="G610" s="19" t="str">
        <x:v>其他/配置</x:v>
      </x:c>
      <x:c r="H610" s="19" t="str">
        <x:v>D:/Codex/GRL研究/outputs/grid09/GRID09_report.md</x:v>
      </x:c>
    </x:row>
    <x:row r="611" ht="36" customHeight="1">
      <x:c r="A611" s="19" t="str">
        <x:v>GRID09</x:v>
      </x:c>
      <x:c r="B611" s="19" t="str">
        <x:v>GRID09_report.md</x:v>
      </x:c>
      <x:c r="C611" s="19" t="str">
        <x:v>1. GRID09: decision-linked credit experiment</x:v>
      </x:c>
      <x:c r="D611" s="19" t="str">
        <x:v>Version=decision；Reference=PHYSICAL_CONTINUE</x:v>
      </x:c>
      <x:c r="E611" s="19" t="str">
        <x:v>Exact same trajectory</x:v>
      </x:c>
      <x:c r="F611" s="19" t="str">
        <x:v>4</x:v>
      </x:c>
      <x:c r="G611" s="19" t="str">
        <x:v>其他/配置</x:v>
      </x:c>
      <x:c r="H611" s="19" t="str">
        <x:v>D:/Codex/GRL研究/outputs/grid09/GRID09_report.md</x:v>
      </x:c>
    </x:row>
    <x:row r="612" ht="36" customHeight="1">
      <x:c r="A612" s="19" t="str">
        <x:v>GRID10</x:v>
      </x:c>
      <x:c r="B612" s="19" t="str">
        <x:v>GRID10_report.md</x:v>
      </x:c>
      <x:c r="C612" s="19" t="str">
        <x:v>1. GRID10: paired critic training package</x:v>
      </x:c>
      <x:c r="D612" s="19" t="str">
        <x:v>Version=raw；Reference=NN20</x:v>
      </x:c>
      <x:c r="E612" s="19" t="str">
        <x:v>Reference</x:v>
      </x:c>
      <x:c r="F612" s="19" t="str">
        <x:v>NN20</x:v>
      </x:c>
      <x:c r="G612" s="19" t="str">
        <x:v>其他/配置</x:v>
      </x:c>
      <x:c r="H612" s="19" t="str">
        <x:v>D:/Codex/GRL研究/outputs/grid10/GRID10_report.md</x:v>
      </x:c>
    </x:row>
    <x:row r="613" ht="36" customHeight="1">
      <x:c r="A613" s="19" t="str">
        <x:v>GRID10</x:v>
      </x:c>
      <x:c r="B613" s="19" t="str">
        <x:v>GRID10_report.md</x:v>
      </x:c>
      <x:c r="C613" s="19" t="str">
        <x:v>1. GRID10: paired critic training package</x:v>
      </x:c>
      <x:c r="D613" s="19" t="str">
        <x:v>Version=raw；Reference=NN20</x:v>
      </x:c>
      <x:c r="E613" s="19" t="str">
        <x:v>Jointly complete</x:v>
      </x:c>
      <x:c r="F613" s="19" t="str">
        <x:v>4</x:v>
      </x:c>
      <x:c r="G613" s="19" t="str">
        <x:v>其他/配置</x:v>
      </x:c>
      <x:c r="H613" s="19" t="str">
        <x:v>D:/Codex/GRL研究/outputs/grid10/GRID10_report.md</x:v>
      </x:c>
    </x:row>
    <x:row r="614" ht="36" customHeight="1">
      <x:c r="A614" s="19" t="str">
        <x:v>GRID10</x:v>
      </x:c>
      <x:c r="B614" s="19" t="str">
        <x:v>GRID10_report.md</x:v>
      </x:c>
      <x:c r="C614" s="19" t="str">
        <x:v>1. GRID10: paired critic training package</x:v>
      </x:c>
      <x:c r="D614" s="19" t="str">
        <x:v>Version=raw；Reference=NN20</x:v>
      </x:c>
      <x:c r="E614" s="19" t="str">
        <x:v>Mean cost reduction</x:v>
      </x:c>
      <x:c r="F614" s="19" t="str">
        <x:v>63.8645%</x:v>
      </x:c>
      <x:c r="G614" s="19" t="str">
        <x:v>其他/配置</x:v>
      </x:c>
      <x:c r="H614" s="19" t="str">
        <x:v>D:/Codex/GRL研究/outputs/grid10/GRID10_report.md</x:v>
      </x:c>
    </x:row>
    <x:row r="615" ht="36" customHeight="1">
      <x:c r="A615" s="19" t="str">
        <x:v>GRID10</x:v>
      </x:c>
      <x:c r="B615" s="19" t="str">
        <x:v>GRID10_report.md</x:v>
      </x:c>
      <x:c r="C615" s="19" t="str">
        <x:v>1. GRID10: paired critic training package</x:v>
      </x:c>
      <x:c r="D615" s="19" t="str">
        <x:v>Version=raw；Reference=NN20</x:v>
      </x:c>
      <x:c r="E615" s="19" t="str">
        <x:v>Positive / negative</x:v>
      </x:c>
      <x:c r="F615" s="19" t="str">
        <x:v>4 / 0</x:v>
      </x:c>
      <x:c r="G615" s="19" t="str">
        <x:v>其他/配置</x:v>
      </x:c>
      <x:c r="H615" s="19" t="str">
        <x:v>D:/Codex/GRL研究/outputs/grid10/GRID10_report.md</x:v>
      </x:c>
    </x:row>
    <x:row r="616" ht="36" customHeight="1">
      <x:c r="A616" s="19" t="str">
        <x:v>GRID10</x:v>
      </x:c>
      <x:c r="B616" s="19" t="str">
        <x:v>GRID10_report.md</x:v>
      </x:c>
      <x:c r="C616" s="19" t="str">
        <x:v>1. GRID10: paired critic training package</x:v>
      </x:c>
      <x:c r="D616" s="19" t="str">
        <x:v>Version=raw；Reference=NN20</x:v>
      </x:c>
      <x:c r="E616" s="19" t="str">
        <x:v>Identical trajectories</x:v>
      </x:c>
      <x:c r="F616" s="19" t="str">
        <x:v>0</x:v>
      </x:c>
      <x:c r="G616" s="19" t="str">
        <x:v>其他/配置</x:v>
      </x:c>
      <x:c r="H616" s="19" t="str">
        <x:v>D:/Codex/GRL研究/outputs/grid10/GRID10_report.md</x:v>
      </x:c>
    </x:row>
    <x:row r="617" ht="36" customHeight="1">
      <x:c r="A617" s="19" t="str">
        <x:v>GRID10</x:v>
      </x:c>
      <x:c r="B617" s="19" t="str">
        <x:v>GRID10_report.md</x:v>
      </x:c>
      <x:c r="C617" s="19" t="str">
        <x:v>1. GRID10: paired critic training package</x:v>
      </x:c>
      <x:c r="D617" s="19" t="str">
        <x:v>Version=raw；Reference=ALWAYS_RESTORE</x:v>
      </x:c>
      <x:c r="E617" s="19" t="str">
        <x:v>Reference</x:v>
      </x:c>
      <x:c r="F617" s="19" t="str">
        <x:v>ALWAYS_RESTORE</x:v>
      </x:c>
      <x:c r="G617" s="19" t="str">
        <x:v>其他/配置</x:v>
      </x:c>
      <x:c r="H617" s="19" t="str">
        <x:v>D:/Codex/GRL研究/outputs/grid10/GRID10_report.md</x:v>
      </x:c>
    </x:row>
    <x:row r="618" ht="36" customHeight="1">
      <x:c r="A618" s="19" t="str">
        <x:v>GRID10</x:v>
      </x:c>
      <x:c r="B618" s="19" t="str">
        <x:v>GRID10_report.md</x:v>
      </x:c>
      <x:c r="C618" s="19" t="str">
        <x:v>1. GRID10: paired critic training package</x:v>
      </x:c>
      <x:c r="D618" s="19" t="str">
        <x:v>Version=raw；Reference=ALWAYS_RESTORE</x:v>
      </x:c>
      <x:c r="E618" s="19" t="str">
        <x:v>Jointly complete</x:v>
      </x:c>
      <x:c r="F618" s="19" t="str">
        <x:v>4</x:v>
      </x:c>
      <x:c r="G618" s="19" t="str">
        <x:v>其他/配置</x:v>
      </x:c>
      <x:c r="H618" s="19" t="str">
        <x:v>D:/Codex/GRL研究/outputs/grid10/GRID10_report.md</x:v>
      </x:c>
    </x:row>
    <x:row r="619" ht="36" customHeight="1">
      <x:c r="A619" s="19" t="str">
        <x:v>GRID10</x:v>
      </x:c>
      <x:c r="B619" s="19" t="str">
        <x:v>GRID10_report.md</x:v>
      </x:c>
      <x:c r="C619" s="19" t="str">
        <x:v>1. GRID10: paired critic training package</x:v>
      </x:c>
      <x:c r="D619" s="19" t="str">
        <x:v>Version=raw；Reference=ALWAYS_RESTORE</x:v>
      </x:c>
      <x:c r="E619" s="19" t="str">
        <x:v>Mean cost reduction</x:v>
      </x:c>
      <x:c r="F619" s="19" t="str">
        <x:v>0.0000%</x:v>
      </x:c>
      <x:c r="G619" s="19" t="str">
        <x:v>其他/配置</x:v>
      </x:c>
      <x:c r="H619" s="19" t="str">
        <x:v>D:/Codex/GRL研究/outputs/grid10/GRID10_report.md</x:v>
      </x:c>
    </x:row>
    <x:row r="620" ht="36" customHeight="1">
      <x:c r="A620" s="19" t="str">
        <x:v>GRID10</x:v>
      </x:c>
      <x:c r="B620" s="19" t="str">
        <x:v>GRID10_report.md</x:v>
      </x:c>
      <x:c r="C620" s="19" t="str">
        <x:v>1. GRID10: paired critic training package</x:v>
      </x:c>
      <x:c r="D620" s="19" t="str">
        <x:v>Version=raw；Reference=ALWAYS_RESTORE</x:v>
      </x:c>
      <x:c r="E620" s="19" t="str">
        <x:v>Positive / negative</x:v>
      </x:c>
      <x:c r="F620" s="19" t="str">
        <x:v>0 / 0</x:v>
      </x:c>
      <x:c r="G620" s="19" t="str">
        <x:v>其他/配置</x:v>
      </x:c>
      <x:c r="H620" s="19" t="str">
        <x:v>D:/Codex/GRL研究/outputs/grid10/GRID10_report.md</x:v>
      </x:c>
    </x:row>
    <x:row r="621" ht="36" customHeight="1">
      <x:c r="A621" s="19" t="str">
        <x:v>GRID10</x:v>
      </x:c>
      <x:c r="B621" s="19" t="str">
        <x:v>GRID10_report.md</x:v>
      </x:c>
      <x:c r="C621" s="19" t="str">
        <x:v>1. GRID10: paired critic training package</x:v>
      </x:c>
      <x:c r="D621" s="19" t="str">
        <x:v>Version=raw；Reference=ALWAYS_RESTORE</x:v>
      </x:c>
      <x:c r="E621" s="19" t="str">
        <x:v>Identical trajectories</x:v>
      </x:c>
      <x:c r="F621" s="19" t="str">
        <x:v>4</x:v>
      </x:c>
      <x:c r="G621" s="19" t="str">
        <x:v>其他/配置</x:v>
      </x:c>
      <x:c r="H621" s="19" t="str">
        <x:v>D:/Codex/GRL研究/outputs/grid10/GRID10_report.md</x:v>
      </x:c>
    </x:row>
    <x:row r="622" ht="36" customHeight="1">
      <x:c r="A622" s="19" t="str">
        <x:v>GRID10</x:v>
      </x:c>
      <x:c r="B622" s="19" t="str">
        <x:v>GRID10_report.md</x:v>
      </x:c>
      <x:c r="C622" s="19" t="str">
        <x:v>1. GRID10: paired critic training package</x:v>
      </x:c>
      <x:c r="D622" s="19" t="str">
        <x:v>Version=raw；Reference=IMMEDIATE_COST</x:v>
      </x:c>
      <x:c r="E622" s="19" t="str">
        <x:v>Reference</x:v>
      </x:c>
      <x:c r="F622" s="19" t="str">
        <x:v>IMMEDIATE_COST</x:v>
      </x:c>
      <x:c r="G622" s="19" t="str">
        <x:v>其他/配置</x:v>
      </x:c>
      <x:c r="H622" s="19" t="str">
        <x:v>D:/Codex/GRL研究/outputs/grid10/GRID10_report.md</x:v>
      </x:c>
    </x:row>
    <x:row r="623" ht="36" customHeight="1">
      <x:c r="A623" s="19" t="str">
        <x:v>GRID10</x:v>
      </x:c>
      <x:c r="B623" s="19" t="str">
        <x:v>GRID10_report.md</x:v>
      </x:c>
      <x:c r="C623" s="19" t="str">
        <x:v>1. GRID10: paired critic training package</x:v>
      </x:c>
      <x:c r="D623" s="19" t="str">
        <x:v>Version=raw；Reference=IMMEDIATE_COST</x:v>
      </x:c>
      <x:c r="E623" s="19" t="str">
        <x:v>Jointly complete</x:v>
      </x:c>
      <x:c r="F623" s="19" t="str">
        <x:v>3</x:v>
      </x:c>
      <x:c r="G623" s="19" t="str">
        <x:v>其他/配置</x:v>
      </x:c>
      <x:c r="H623" s="19" t="str">
        <x:v>D:/Codex/GRL研究/outputs/grid10/GRID10_report.md</x:v>
      </x:c>
    </x:row>
    <x:row r="624" ht="36" customHeight="1">
      <x:c r="A624" s="19" t="str">
        <x:v>GRID10</x:v>
      </x:c>
      <x:c r="B624" s="19" t="str">
        <x:v>GRID10_report.md</x:v>
      </x:c>
      <x:c r="C624" s="19" t="str">
        <x:v>1. GRID10: paired critic training package</x:v>
      </x:c>
      <x:c r="D624" s="19" t="str">
        <x:v>Version=raw；Reference=IMMEDIATE_COST</x:v>
      </x:c>
      <x:c r="E624" s="19" t="str">
        <x:v>Mean cost reduction</x:v>
      </x:c>
      <x:c r="F624" s="19" t="str">
        <x:v>31.3110%</x:v>
      </x:c>
      <x:c r="G624" s="19" t="str">
        <x:v>其他/配置</x:v>
      </x:c>
      <x:c r="H624" s="19" t="str">
        <x:v>D:/Codex/GRL研究/outputs/grid10/GRID10_report.md</x:v>
      </x:c>
    </x:row>
    <x:row r="625" ht="36" customHeight="1">
      <x:c r="A625" s="19" t="str">
        <x:v>GRID10</x:v>
      </x:c>
      <x:c r="B625" s="19" t="str">
        <x:v>GRID10_report.md</x:v>
      </x:c>
      <x:c r="C625" s="19" t="str">
        <x:v>1. GRID10: paired critic training package</x:v>
      </x:c>
      <x:c r="D625" s="19" t="str">
        <x:v>Version=raw；Reference=IMMEDIATE_COST</x:v>
      </x:c>
      <x:c r="E625" s="19" t="str">
        <x:v>Positive / negative</x:v>
      </x:c>
      <x:c r="F625" s="19" t="str">
        <x:v>3 / 0</x:v>
      </x:c>
      <x:c r="G625" s="19" t="str">
        <x:v>其他/配置</x:v>
      </x:c>
      <x:c r="H625" s="19" t="str">
        <x:v>D:/Codex/GRL研究/outputs/grid10/GRID10_report.md</x:v>
      </x:c>
    </x:row>
    <x:row r="626" ht="36" customHeight="1">
      <x:c r="A626" s="19" t="str">
        <x:v>GRID10</x:v>
      </x:c>
      <x:c r="B626" s="19" t="str">
        <x:v>GRID10_report.md</x:v>
      </x:c>
      <x:c r="C626" s="19" t="str">
        <x:v>1. GRID10: paired critic training package</x:v>
      </x:c>
      <x:c r="D626" s="19" t="str">
        <x:v>Version=raw；Reference=IMMEDIATE_COST</x:v>
      </x:c>
      <x:c r="E626" s="19" t="str">
        <x:v>Identical trajectories</x:v>
      </x:c>
      <x:c r="F626" s="19" t="str">
        <x:v>0</x:v>
      </x:c>
      <x:c r="G626" s="19" t="str">
        <x:v>其他/配置</x:v>
      </x:c>
      <x:c r="H626" s="19" t="str">
        <x:v>D:/Codex/GRL研究/outputs/grid10/GRID10_report.md</x:v>
      </x:c>
    </x:row>
    <x:row r="627" ht="36" customHeight="1">
      <x:c r="A627" s="19" t="str">
        <x:v>GRID10</x:v>
      </x:c>
      <x:c r="B627" s="19" t="str">
        <x:v>GRID10_report.md</x:v>
      </x:c>
      <x:c r="C627" s="19" t="str">
        <x:v>1. GRID10: paired critic training package</x:v>
      </x:c>
      <x:c r="D627" s="19" t="str">
        <x:v>Version=raw；Reference=V2_GNN</x:v>
      </x:c>
      <x:c r="E627" s="19" t="str">
        <x:v>Reference</x:v>
      </x:c>
      <x:c r="F627" s="19" t="str">
        <x:v>V2_GNN</x:v>
      </x:c>
      <x:c r="G627" s="19" t="str">
        <x:v>其他/配置</x:v>
      </x:c>
      <x:c r="H627" s="19" t="str">
        <x:v>D:/Codex/GRL研究/outputs/grid10/GRID10_report.md</x:v>
      </x:c>
    </x:row>
    <x:row r="628" ht="36" customHeight="1">
      <x:c r="A628" s="19" t="str">
        <x:v>GRID10</x:v>
      </x:c>
      <x:c r="B628" s="19" t="str">
        <x:v>GRID10_report.md</x:v>
      </x:c>
      <x:c r="C628" s="19" t="str">
        <x:v>1. GRID10: paired critic training package</x:v>
      </x:c>
      <x:c r="D628" s="19" t="str">
        <x:v>Version=raw；Reference=V2_GNN</x:v>
      </x:c>
      <x:c r="E628" s="19" t="str">
        <x:v>Jointly complete</x:v>
      </x:c>
      <x:c r="F628" s="19" t="str">
        <x:v>4</x:v>
      </x:c>
      <x:c r="G628" s="19" t="str">
        <x:v>其他/配置</x:v>
      </x:c>
      <x:c r="H628" s="19" t="str">
        <x:v>D:/Codex/GRL研究/outputs/grid10/GRID10_report.md</x:v>
      </x:c>
    </x:row>
    <x:row r="629" ht="36" customHeight="1">
      <x:c r="A629" s="19" t="str">
        <x:v>GRID10</x:v>
      </x:c>
      <x:c r="B629" s="19" t="str">
        <x:v>GRID10_report.md</x:v>
      </x:c>
      <x:c r="C629" s="19" t="str">
        <x:v>1. GRID10: paired critic training package</x:v>
      </x:c>
      <x:c r="D629" s="19" t="str">
        <x:v>Version=raw；Reference=V2_GNN</x:v>
      </x:c>
      <x:c r="E629" s="19" t="str">
        <x:v>Mean cost reduction</x:v>
      </x:c>
      <x:c r="F629" s="19" t="str">
        <x:v>0.0000%</x:v>
      </x:c>
      <x:c r="G629" s="19" t="str">
        <x:v>其他/配置</x:v>
      </x:c>
      <x:c r="H629" s="19" t="str">
        <x:v>D:/Codex/GRL研究/outputs/grid10/GRID10_report.md</x:v>
      </x:c>
    </x:row>
    <x:row r="630" ht="36" customHeight="1">
      <x:c r="A630" s="19" t="str">
        <x:v>GRID10</x:v>
      </x:c>
      <x:c r="B630" s="19" t="str">
        <x:v>GRID10_report.md</x:v>
      </x:c>
      <x:c r="C630" s="19" t="str">
        <x:v>1. GRID10: paired critic training package</x:v>
      </x:c>
      <x:c r="D630" s="19" t="str">
        <x:v>Version=raw；Reference=V2_GNN</x:v>
      </x:c>
      <x:c r="E630" s="19" t="str">
        <x:v>Positive / negative</x:v>
      </x:c>
      <x:c r="F630" s="19" t="str">
        <x:v>0 / 0</x:v>
      </x:c>
      <x:c r="G630" s="19" t="str">
        <x:v>其他/配置</x:v>
      </x:c>
      <x:c r="H630" s="19" t="str">
        <x:v>D:/Codex/GRL研究/outputs/grid10/GRID10_report.md</x:v>
      </x:c>
    </x:row>
    <x:row r="631" ht="36" customHeight="1">
      <x:c r="A631" s="19" t="str">
        <x:v>GRID10</x:v>
      </x:c>
      <x:c r="B631" s="19" t="str">
        <x:v>GRID10_report.md</x:v>
      </x:c>
      <x:c r="C631" s="19" t="str">
        <x:v>1. GRID10: paired critic training package</x:v>
      </x:c>
      <x:c r="D631" s="19" t="str">
        <x:v>Version=raw；Reference=V2_GNN</x:v>
      </x:c>
      <x:c r="E631" s="19" t="str">
        <x:v>Identical trajectories</x:v>
      </x:c>
      <x:c r="F631" s="19" t="str">
        <x:v>4</x:v>
      </x:c>
      <x:c r="G631" s="19" t="str">
        <x:v>其他/配置</x:v>
      </x:c>
      <x:c r="H631" s="19" t="str">
        <x:v>D:/Codex/GRL研究/outputs/grid10/GRID10_report.md</x:v>
      </x:c>
    </x:row>
    <x:row r="632" ht="36" customHeight="1">
      <x:c r="A632" s="19" t="str">
        <x:v>GRID10</x:v>
      </x:c>
      <x:c r="B632" s="19" t="str">
        <x:v>GRID10_report.md</x:v>
      </x:c>
      <x:c r="C632" s="19" t="str">
        <x:v>1. GRID10: paired critic training package</x:v>
      </x:c>
      <x:c r="D632" s="19" t="str">
        <x:v>Version=normalized；Reference=NN20</x:v>
      </x:c>
      <x:c r="E632" s="19" t="str">
        <x:v>Reference</x:v>
      </x:c>
      <x:c r="F632" s="19" t="str">
        <x:v>NN20</x:v>
      </x:c>
      <x:c r="G632" s="19" t="str">
        <x:v>其他/配置</x:v>
      </x:c>
      <x:c r="H632" s="19" t="str">
        <x:v>D:/Codex/GRL研究/outputs/grid10/GRID10_report.md</x:v>
      </x:c>
    </x:row>
    <x:row r="633" ht="36" customHeight="1">
      <x:c r="A633" s="19" t="str">
        <x:v>GRID10</x:v>
      </x:c>
      <x:c r="B633" s="19" t="str">
        <x:v>GRID10_report.md</x:v>
      </x:c>
      <x:c r="C633" s="19" t="str">
        <x:v>1. GRID10: paired critic training package</x:v>
      </x:c>
      <x:c r="D633" s="19" t="str">
        <x:v>Version=normalized；Reference=NN20</x:v>
      </x:c>
      <x:c r="E633" s="19" t="str">
        <x:v>Jointly complete</x:v>
      </x:c>
      <x:c r="F633" s="19" t="str">
        <x:v>4</x:v>
      </x:c>
      <x:c r="G633" s="19" t="str">
        <x:v>其他/配置</x:v>
      </x:c>
      <x:c r="H633" s="19" t="str">
        <x:v>D:/Codex/GRL研究/outputs/grid10/GRID10_report.md</x:v>
      </x:c>
    </x:row>
    <x:row r="634" ht="36" customHeight="1">
      <x:c r="A634" s="19" t="str">
        <x:v>GRID10</x:v>
      </x:c>
      <x:c r="B634" s="19" t="str">
        <x:v>GRID10_report.md</x:v>
      </x:c>
      <x:c r="C634" s="19" t="str">
        <x:v>1. GRID10: paired critic training package</x:v>
      </x:c>
      <x:c r="D634" s="19" t="str">
        <x:v>Version=normalized；Reference=NN20</x:v>
      </x:c>
      <x:c r="E634" s="19" t="str">
        <x:v>Mean cost reduction</x:v>
      </x:c>
      <x:c r="F634" s="19" t="str">
        <x:v>63.8645%</x:v>
      </x:c>
      <x:c r="G634" s="19" t="str">
        <x:v>其他/配置</x:v>
      </x:c>
      <x:c r="H634" s="19" t="str">
        <x:v>D:/Codex/GRL研究/outputs/grid10/GRID10_report.md</x:v>
      </x:c>
    </x:row>
    <x:row r="635" ht="36" customHeight="1">
      <x:c r="A635" s="19" t="str">
        <x:v>GRID10</x:v>
      </x:c>
      <x:c r="B635" s="19" t="str">
        <x:v>GRID10_report.md</x:v>
      </x:c>
      <x:c r="C635" s="19" t="str">
        <x:v>1. GRID10: paired critic training package</x:v>
      </x:c>
      <x:c r="D635" s="19" t="str">
        <x:v>Version=normalized；Reference=NN20</x:v>
      </x:c>
      <x:c r="E635" s="19" t="str">
        <x:v>Positive / negative</x:v>
      </x:c>
      <x:c r="F635" s="19" t="str">
        <x:v>4 / 0</x:v>
      </x:c>
      <x:c r="G635" s="19" t="str">
        <x:v>其他/配置</x:v>
      </x:c>
      <x:c r="H635" s="19" t="str">
        <x:v>D:/Codex/GRL研究/outputs/grid10/GRID10_report.md</x:v>
      </x:c>
    </x:row>
    <x:row r="636" ht="36" customHeight="1">
      <x:c r="A636" s="19" t="str">
        <x:v>GRID10</x:v>
      </x:c>
      <x:c r="B636" s="19" t="str">
        <x:v>GRID10_report.md</x:v>
      </x:c>
      <x:c r="C636" s="19" t="str">
        <x:v>1. GRID10: paired critic training package</x:v>
      </x:c>
      <x:c r="D636" s="19" t="str">
        <x:v>Version=normalized；Reference=NN20</x:v>
      </x:c>
      <x:c r="E636" s="19" t="str">
        <x:v>Identical trajectories</x:v>
      </x:c>
      <x:c r="F636" s="19" t="str">
        <x:v>0</x:v>
      </x:c>
      <x:c r="G636" s="19" t="str">
        <x:v>其他/配置</x:v>
      </x:c>
      <x:c r="H636" s="19" t="str">
        <x:v>D:/Codex/GRL研究/outputs/grid10/GRID10_report.md</x:v>
      </x:c>
    </x:row>
    <x:row r="637" ht="36" customHeight="1">
      <x:c r="A637" s="19" t="str">
        <x:v>GRID10</x:v>
      </x:c>
      <x:c r="B637" s="19" t="str">
        <x:v>GRID10_report.md</x:v>
      </x:c>
      <x:c r="C637" s="19" t="str">
        <x:v>1. GRID10: paired critic training package</x:v>
      </x:c>
      <x:c r="D637" s="19" t="str">
        <x:v>Version=normalized；Reference=ALWAYS_RESTORE</x:v>
      </x:c>
      <x:c r="E637" s="19" t="str">
        <x:v>Reference</x:v>
      </x:c>
      <x:c r="F637" s="19" t="str">
        <x:v>ALWAYS_RESTORE</x:v>
      </x:c>
      <x:c r="G637" s="19" t="str">
        <x:v>其他/配置</x:v>
      </x:c>
      <x:c r="H637" s="19" t="str">
        <x:v>D:/Codex/GRL研究/outputs/grid10/GRID10_report.md</x:v>
      </x:c>
    </x:row>
    <x:row r="638" ht="36" customHeight="1">
      <x:c r="A638" s="19" t="str">
        <x:v>GRID10</x:v>
      </x:c>
      <x:c r="B638" s="19" t="str">
        <x:v>GRID10_report.md</x:v>
      </x:c>
      <x:c r="C638" s="19" t="str">
        <x:v>1. GRID10: paired critic training package</x:v>
      </x:c>
      <x:c r="D638" s="19" t="str">
        <x:v>Version=normalized；Reference=ALWAYS_RESTORE</x:v>
      </x:c>
      <x:c r="E638" s="19" t="str">
        <x:v>Jointly complete</x:v>
      </x:c>
      <x:c r="F638" s="19" t="str">
        <x:v>4</x:v>
      </x:c>
      <x:c r="G638" s="19" t="str">
        <x:v>其他/配置</x:v>
      </x:c>
      <x:c r="H638" s="19" t="str">
        <x:v>D:/Codex/GRL研究/outputs/grid10/GRID10_report.md</x:v>
      </x:c>
    </x:row>
    <x:row r="639" ht="36" customHeight="1">
      <x:c r="A639" s="19" t="str">
        <x:v>GRID10</x:v>
      </x:c>
      <x:c r="B639" s="19" t="str">
        <x:v>GRID10_report.md</x:v>
      </x:c>
      <x:c r="C639" s="19" t="str">
        <x:v>1. GRID10: paired critic training package</x:v>
      </x:c>
      <x:c r="D639" s="19" t="str">
        <x:v>Version=normalized；Reference=ALWAYS_RESTORE</x:v>
      </x:c>
      <x:c r="E639" s="19" t="str">
        <x:v>Mean cost reduction</x:v>
      </x:c>
      <x:c r="F639" s="19" t="str">
        <x:v>0.0000%</x:v>
      </x:c>
      <x:c r="G639" s="19" t="str">
        <x:v>其他/配置</x:v>
      </x:c>
      <x:c r="H639" s="19" t="str">
        <x:v>D:/Codex/GRL研究/outputs/grid10/GRID10_report.md</x:v>
      </x:c>
    </x:row>
    <x:row r="640" ht="36" customHeight="1">
      <x:c r="A640" s="19" t="str">
        <x:v>GRID10</x:v>
      </x:c>
      <x:c r="B640" s="19" t="str">
        <x:v>GRID10_report.md</x:v>
      </x:c>
      <x:c r="C640" s="19" t="str">
        <x:v>1. GRID10: paired critic training package</x:v>
      </x:c>
      <x:c r="D640" s="19" t="str">
        <x:v>Version=normalized；Reference=ALWAYS_RESTORE</x:v>
      </x:c>
      <x:c r="E640" s="19" t="str">
        <x:v>Positive / negative</x:v>
      </x:c>
      <x:c r="F640" s="19" t="str">
        <x:v>0 / 0</x:v>
      </x:c>
      <x:c r="G640" s="19" t="str">
        <x:v>其他/配置</x:v>
      </x:c>
      <x:c r="H640" s="19" t="str">
        <x:v>D:/Codex/GRL研究/outputs/grid10/GRID10_report.md</x:v>
      </x:c>
    </x:row>
    <x:row r="641" ht="36" customHeight="1">
      <x:c r="A641" s="19" t="str">
        <x:v>GRID10</x:v>
      </x:c>
      <x:c r="B641" s="19" t="str">
        <x:v>GRID10_report.md</x:v>
      </x:c>
      <x:c r="C641" s="19" t="str">
        <x:v>1. GRID10: paired critic training package</x:v>
      </x:c>
      <x:c r="D641" s="19" t="str">
        <x:v>Version=normalized；Reference=ALWAYS_RESTORE</x:v>
      </x:c>
      <x:c r="E641" s="19" t="str">
        <x:v>Identical trajectories</x:v>
      </x:c>
      <x:c r="F641" s="19" t="str">
        <x:v>4</x:v>
      </x:c>
      <x:c r="G641" s="19" t="str">
        <x:v>其他/配置</x:v>
      </x:c>
      <x:c r="H641" s="19" t="str">
        <x:v>D:/Codex/GRL研究/outputs/grid10/GRID10_report.md</x:v>
      </x:c>
    </x:row>
    <x:row r="642" ht="36" customHeight="1">
      <x:c r="A642" s="19" t="str">
        <x:v>GRID10</x:v>
      </x:c>
      <x:c r="B642" s="19" t="str">
        <x:v>GRID10_report.md</x:v>
      </x:c>
      <x:c r="C642" s="19" t="str">
        <x:v>1. GRID10: paired critic training package</x:v>
      </x:c>
      <x:c r="D642" s="19" t="str">
        <x:v>Version=normalized；Reference=IMMEDIATE_COST</x:v>
      </x:c>
      <x:c r="E642" s="19" t="str">
        <x:v>Reference</x:v>
      </x:c>
      <x:c r="F642" s="19" t="str">
        <x:v>IMMEDIATE_COST</x:v>
      </x:c>
      <x:c r="G642" s="19" t="str">
        <x:v>其他/配置</x:v>
      </x:c>
      <x:c r="H642" s="19" t="str">
        <x:v>D:/Codex/GRL研究/outputs/grid10/GRID10_report.md</x:v>
      </x:c>
    </x:row>
    <x:row r="643" ht="36" customHeight="1">
      <x:c r="A643" s="19" t="str">
        <x:v>GRID10</x:v>
      </x:c>
      <x:c r="B643" s="19" t="str">
        <x:v>GRID10_report.md</x:v>
      </x:c>
      <x:c r="C643" s="19" t="str">
        <x:v>1. GRID10: paired critic training package</x:v>
      </x:c>
      <x:c r="D643" s="19" t="str">
        <x:v>Version=normalized；Reference=IMMEDIATE_COST</x:v>
      </x:c>
      <x:c r="E643" s="19" t="str">
        <x:v>Jointly complete</x:v>
      </x:c>
      <x:c r="F643" s="19" t="str">
        <x:v>3</x:v>
      </x:c>
      <x:c r="G643" s="19" t="str">
        <x:v>其他/配置</x:v>
      </x:c>
      <x:c r="H643" s="19" t="str">
        <x:v>D:/Codex/GRL研究/outputs/grid10/GRID10_report.md</x:v>
      </x:c>
    </x:row>
    <x:row r="644" ht="36" customHeight="1">
      <x:c r="A644" s="19" t="str">
        <x:v>GRID10</x:v>
      </x:c>
      <x:c r="B644" s="19" t="str">
        <x:v>GRID10_report.md</x:v>
      </x:c>
      <x:c r="C644" s="19" t="str">
        <x:v>1. GRID10: paired critic training package</x:v>
      </x:c>
      <x:c r="D644" s="19" t="str">
        <x:v>Version=normalized；Reference=IMMEDIATE_COST</x:v>
      </x:c>
      <x:c r="E644" s="19" t="str">
        <x:v>Mean cost reduction</x:v>
      </x:c>
      <x:c r="F644" s="19" t="str">
        <x:v>31.3110%</x:v>
      </x:c>
      <x:c r="G644" s="19" t="str">
        <x:v>其他/配置</x:v>
      </x:c>
      <x:c r="H644" s="19" t="str">
        <x:v>D:/Codex/GRL研究/outputs/grid10/GRID10_report.md</x:v>
      </x:c>
    </x:row>
    <x:row r="645" ht="36" customHeight="1">
      <x:c r="A645" s="19" t="str">
        <x:v>GRID10</x:v>
      </x:c>
      <x:c r="B645" s="19" t="str">
        <x:v>GRID10_report.md</x:v>
      </x:c>
      <x:c r="C645" s="19" t="str">
        <x:v>1. GRID10: paired critic training package</x:v>
      </x:c>
      <x:c r="D645" s="19" t="str">
        <x:v>Version=normalized；Reference=IMMEDIATE_COST</x:v>
      </x:c>
      <x:c r="E645" s="19" t="str">
        <x:v>Positive / negative</x:v>
      </x:c>
      <x:c r="F645" s="19" t="str">
        <x:v>3 / 0</x:v>
      </x:c>
      <x:c r="G645" s="19" t="str">
        <x:v>其他/配置</x:v>
      </x:c>
      <x:c r="H645" s="19" t="str">
        <x:v>D:/Codex/GRL研究/outputs/grid10/GRID10_report.md</x:v>
      </x:c>
    </x:row>
    <x:row r="646" ht="36" customHeight="1">
      <x:c r="A646" s="19" t="str">
        <x:v>GRID10</x:v>
      </x:c>
      <x:c r="B646" s="19" t="str">
        <x:v>GRID10_report.md</x:v>
      </x:c>
      <x:c r="C646" s="19" t="str">
        <x:v>1. GRID10: paired critic training package</x:v>
      </x:c>
      <x:c r="D646" s="19" t="str">
        <x:v>Version=normalized；Reference=IMMEDIATE_COST</x:v>
      </x:c>
      <x:c r="E646" s="19" t="str">
        <x:v>Identical trajectories</x:v>
      </x:c>
      <x:c r="F646" s="19" t="str">
        <x:v>0</x:v>
      </x:c>
      <x:c r="G646" s="19" t="str">
        <x:v>其他/配置</x:v>
      </x:c>
      <x:c r="H646" s="19" t="str">
        <x:v>D:/Codex/GRL研究/outputs/grid10/GRID10_report.md</x:v>
      </x:c>
    </x:row>
    <x:row r="647" ht="36" customHeight="1">
      <x:c r="A647" s="19" t="str">
        <x:v>GRID10</x:v>
      </x:c>
      <x:c r="B647" s="19" t="str">
        <x:v>GRID10_report.md</x:v>
      </x:c>
      <x:c r="C647" s="19" t="str">
        <x:v>1. GRID10: paired critic training package</x:v>
      </x:c>
      <x:c r="D647" s="19" t="str">
        <x:v>Version=normalized；Reference=V2_GNN</x:v>
      </x:c>
      <x:c r="E647" s="19" t="str">
        <x:v>Reference</x:v>
      </x:c>
      <x:c r="F647" s="19" t="str">
        <x:v>V2_GNN</x:v>
      </x:c>
      <x:c r="G647" s="19" t="str">
        <x:v>其他/配置</x:v>
      </x:c>
      <x:c r="H647" s="19" t="str">
        <x:v>D:/Codex/GRL研究/outputs/grid10/GRID10_report.md</x:v>
      </x:c>
    </x:row>
    <x:row r="648" ht="36" customHeight="1">
      <x:c r="A648" s="19" t="str">
        <x:v>GRID10</x:v>
      </x:c>
      <x:c r="B648" s="19" t="str">
        <x:v>GRID10_report.md</x:v>
      </x:c>
      <x:c r="C648" s="19" t="str">
        <x:v>1. GRID10: paired critic training package</x:v>
      </x:c>
      <x:c r="D648" s="19" t="str">
        <x:v>Version=normalized；Reference=V2_GNN</x:v>
      </x:c>
      <x:c r="E648" s="19" t="str">
        <x:v>Jointly complete</x:v>
      </x:c>
      <x:c r="F648" s="19" t="str">
        <x:v>4</x:v>
      </x:c>
      <x:c r="G648" s="19" t="str">
        <x:v>其他/配置</x:v>
      </x:c>
      <x:c r="H648" s="19" t="str">
        <x:v>D:/Codex/GRL研究/outputs/grid10/GRID10_report.md</x:v>
      </x:c>
    </x:row>
    <x:row r="649" ht="36" customHeight="1">
      <x:c r="A649" s="19" t="str">
        <x:v>GRID10</x:v>
      </x:c>
      <x:c r="B649" s="19" t="str">
        <x:v>GRID10_report.md</x:v>
      </x:c>
      <x:c r="C649" s="19" t="str">
        <x:v>1. GRID10: paired critic training package</x:v>
      </x:c>
      <x:c r="D649" s="19" t="str">
        <x:v>Version=normalized；Reference=V2_GNN</x:v>
      </x:c>
      <x:c r="E649" s="19" t="str">
        <x:v>Mean cost reduction</x:v>
      </x:c>
      <x:c r="F649" s="19" t="str">
        <x:v>0.0000%</x:v>
      </x:c>
      <x:c r="G649" s="19" t="str">
        <x:v>其他/配置</x:v>
      </x:c>
      <x:c r="H649" s="19" t="str">
        <x:v>D:/Codex/GRL研究/outputs/grid10/GRID10_report.md</x:v>
      </x:c>
    </x:row>
    <x:row r="650" ht="36" customHeight="1">
      <x:c r="A650" s="19" t="str">
        <x:v>GRID10</x:v>
      </x:c>
      <x:c r="B650" s="19" t="str">
        <x:v>GRID10_report.md</x:v>
      </x:c>
      <x:c r="C650" s="19" t="str">
        <x:v>1. GRID10: paired critic training package</x:v>
      </x:c>
      <x:c r="D650" s="19" t="str">
        <x:v>Version=normalized；Reference=V2_GNN</x:v>
      </x:c>
      <x:c r="E650" s="19" t="str">
        <x:v>Positive / negative</x:v>
      </x:c>
      <x:c r="F650" s="19" t="str">
        <x:v>0 / 0</x:v>
      </x:c>
      <x:c r="G650" s="19" t="str">
        <x:v>其他/配置</x:v>
      </x:c>
      <x:c r="H650" s="19" t="str">
        <x:v>D:/Codex/GRL研究/outputs/grid10/GRID10_report.md</x:v>
      </x:c>
    </x:row>
    <x:row r="651" ht="36" customHeight="1">
      <x:c r="A651" s="19" t="str">
        <x:v>GRID10</x:v>
      </x:c>
      <x:c r="B651" s="19" t="str">
        <x:v>GRID10_report.md</x:v>
      </x:c>
      <x:c r="C651" s="19" t="str">
        <x:v>1. GRID10: paired critic training package</x:v>
      </x:c>
      <x:c r="D651" s="19" t="str">
        <x:v>Version=normalized；Reference=V2_GNN</x:v>
      </x:c>
      <x:c r="E651" s="19" t="str">
        <x:v>Identical trajectories</x:v>
      </x:c>
      <x:c r="F651" s="19" t="str">
        <x:v>4</x:v>
      </x:c>
      <x:c r="G651" s="19" t="str">
        <x:v>其他/配置</x:v>
      </x:c>
      <x:c r="H651" s="19" t="str">
        <x:v>D:/Codex/GRL研究/outputs/grid10/GRID10_report.md</x:v>
      </x:c>
    </x:row>
    <x:row r="652" ht="36" customHeight="1">
      <x:c r="A652" s="19" t="str">
        <x:v>GRID10</x:v>
      </x:c>
      <x:c r="B652" s="19" t="str">
        <x:v>GRID10_report.md</x:v>
      </x:c>
      <x:c r="C652" s="19" t="str">
        <x:v>1. GRID10: paired critic training package</x:v>
      </x:c>
      <x:c r="D652" s="19" t="str">
        <x:v>Version=normalized；Reference=RAW_HUBER</x:v>
      </x:c>
      <x:c r="E652" s="19" t="str">
        <x:v>Reference</x:v>
      </x:c>
      <x:c r="F652" s="19" t="str">
        <x:v>RAW_HUBER</x:v>
      </x:c>
      <x:c r="G652" s="19" t="str">
        <x:v>其他/配置</x:v>
      </x:c>
      <x:c r="H652" s="19" t="str">
        <x:v>D:/Codex/GRL研究/outputs/grid10/GRID10_report.md</x:v>
      </x:c>
    </x:row>
    <x:row r="653" ht="36" customHeight="1">
      <x:c r="A653" s="19" t="str">
        <x:v>GRID10</x:v>
      </x:c>
      <x:c r="B653" s="19" t="str">
        <x:v>GRID10_report.md</x:v>
      </x:c>
      <x:c r="C653" s="19" t="str">
        <x:v>1. GRID10: paired critic training package</x:v>
      </x:c>
      <x:c r="D653" s="19" t="str">
        <x:v>Version=normalized；Reference=RAW_HUBER</x:v>
      </x:c>
      <x:c r="E653" s="19" t="str">
        <x:v>Jointly complete</x:v>
      </x:c>
      <x:c r="F653" s="19" t="str">
        <x:v>4</x:v>
      </x:c>
      <x:c r="G653" s="19" t="str">
        <x:v>其他/配置</x:v>
      </x:c>
      <x:c r="H653" s="19" t="str">
        <x:v>D:/Codex/GRL研究/outputs/grid10/GRID10_report.md</x:v>
      </x:c>
    </x:row>
    <x:row r="654" ht="36" customHeight="1">
      <x:c r="A654" s="19" t="str">
        <x:v>GRID10</x:v>
      </x:c>
      <x:c r="B654" s="19" t="str">
        <x:v>GRID10_report.md</x:v>
      </x:c>
      <x:c r="C654" s="19" t="str">
        <x:v>1. GRID10: paired critic training package</x:v>
      </x:c>
      <x:c r="D654" s="19" t="str">
        <x:v>Version=normalized；Reference=RAW_HUBER</x:v>
      </x:c>
      <x:c r="E654" s="19" t="str">
        <x:v>Mean cost reduction</x:v>
      </x:c>
      <x:c r="F654" s="19" t="str">
        <x:v>0.0000%</x:v>
      </x:c>
      <x:c r="G654" s="19" t="str">
        <x:v>其他/配置</x:v>
      </x:c>
      <x:c r="H654" s="19" t="str">
        <x:v>D:/Codex/GRL研究/outputs/grid10/GRID10_report.md</x:v>
      </x:c>
    </x:row>
    <x:row r="655" ht="36" customHeight="1">
      <x:c r="A655" s="19" t="str">
        <x:v>GRID10</x:v>
      </x:c>
      <x:c r="B655" s="19" t="str">
        <x:v>GRID10_report.md</x:v>
      </x:c>
      <x:c r="C655" s="19" t="str">
        <x:v>1. GRID10: paired critic training package</x:v>
      </x:c>
      <x:c r="D655" s="19" t="str">
        <x:v>Version=normalized；Reference=RAW_HUBER</x:v>
      </x:c>
      <x:c r="E655" s="19" t="str">
        <x:v>Positive / negative</x:v>
      </x:c>
      <x:c r="F655" s="19" t="str">
        <x:v>0 / 0</x:v>
      </x:c>
      <x:c r="G655" s="19" t="str">
        <x:v>其他/配置</x:v>
      </x:c>
      <x:c r="H655" s="19" t="str">
        <x:v>D:/Codex/GRL研究/outputs/grid10/GRID10_report.md</x:v>
      </x:c>
    </x:row>
    <x:row r="656" ht="36" customHeight="1">
      <x:c r="A656" s="19" t="str">
        <x:v>GRID10</x:v>
      </x:c>
      <x:c r="B656" s="19" t="str">
        <x:v>GRID10_report.md</x:v>
      </x:c>
      <x:c r="C656" s="19" t="str">
        <x:v>1. GRID10: paired critic training package</x:v>
      </x:c>
      <x:c r="D656" s="19" t="str">
        <x:v>Version=normalized；Reference=RAW_HUBER</x:v>
      </x:c>
      <x:c r="E656" s="19" t="str">
        <x:v>Identical trajectories</x:v>
      </x:c>
      <x:c r="F656" s="19" t="str">
        <x:v>4</x:v>
      </x:c>
      <x:c r="G656" s="19" t="str">
        <x:v>其他/配置</x:v>
      </x:c>
      <x:c r="H656" s="19" t="str">
        <x:v>D:/Codex/GRL研究/outputs/grid10/GRID10_report.md</x:v>
      </x:c>
    </x:row>
    <x:row r="657" ht="36" customHeight="1">
      <x:c r="A657" s="19" t="str">
        <x:v>GRID11</x:v>
      </x:c>
      <x:c r="B657" s="19" t="str">
        <x:v>GRID11_review_zh.md</x:v>
      </x:c>
      <x:c r="C657" s="19" t="str">
        <x:v>1. GRID11：一月训练故障诊断</x:v>
      </x:c>
      <x:c r="D657" s="19" t="str">
        <x:v>公共状态步=1714；当前最大负载率=0.984485</x:v>
      </x:c>
      <x:c r="E657" s="19" t="str">
        <x:v>当前最大负载率</x:v>
      </x:c>
      <x:c r="F657" s="19" t="str">
        <x:v>0.984485</x:v>
      </x:c>
      <x:c r="G657" s="19" t="str">
        <x:v>其他/配置</x:v>
      </x:c>
      <x:c r="H657" s="19" t="str">
        <x:v>D:/Codex/GRL研究/outputs/grid11_failure_context/GRID11_review_zh.md</x:v>
      </x:c>
    </x:row>
    <x:row r="658" ht="36" customHeight="1">
      <x:c r="A658" s="19" t="str">
        <x:v>GRID11</x:v>
      </x:c>
      <x:c r="B658" s="19" t="str">
        <x:v>GRID11_review_zh.md</x:v>
      </x:c>
      <x:c r="C658" s="19" t="str">
        <x:v>1. GRID11：一月训练故障诊断</x:v>
      </x:c>
      <x:c r="D658" s="19" t="str">
        <x:v>公共状态步=1714；当前最大负载率=0.984485</x:v>
      </x:c>
      <x:c r="E658" s="19" t="str">
        <x:v>去重后拓扑候选</x:v>
      </x:c>
      <x:c r="F658" s="19" t="str">
        <x:v>1025</x:v>
      </x:c>
      <x:c r="G658" s="19" t="str">
        <x:v>其他/配置</x:v>
      </x:c>
      <x:c r="H658" s="19" t="str">
        <x:v>D:/Codex/GRL研究/outputs/grid11_failure_context/GRID11_review_zh.md</x:v>
      </x:c>
    </x:row>
    <x:row r="659" ht="36" customHeight="1">
      <x:c r="A659" s="19" t="str">
        <x:v>GRID11</x:v>
      </x:c>
      <x:c r="B659" s="19" t="str">
        <x:v>GRID11_review_zh.md</x:v>
      </x:c>
      <x:c r="C659" s="19" t="str">
        <x:v>1. GRID11：一月训练故障诊断</x:v>
      </x:c>
      <x:c r="D659" s="19" t="str">
        <x:v>公共状态步=1714；当前最大负载率=0.984485</x:v>
      </x:c>
      <x:c r="E659" s="19" t="str">
        <x:v>一步合法非终止</x:v>
      </x:c>
      <x:c r="F659" s="19" t="str">
        <x:v>979</x:v>
      </x:c>
      <x:c r="G659" s="19" t="str">
        <x:v>其他/配置</x:v>
      </x:c>
      <x:c r="H659" s="19" t="str">
        <x:v>D:/Codex/GRL研究/outputs/grid11_failure_context/GRID11_review_zh.md</x:v>
      </x:c>
    </x:row>
    <x:row r="660" ht="36" customHeight="1">
      <x:c r="A660" s="19" t="str">
        <x:v>GRID11</x:v>
      </x:c>
      <x:c r="B660" s="19" t="str">
        <x:v>GRID11_review_zh.md</x:v>
      </x:c>
      <x:c r="C660" s="19" t="str">
        <x:v>1. GRID11：一月训练故障诊断</x:v>
      </x:c>
      <x:c r="D660" s="19" t="str">
        <x:v>公共状态步=1714；当前最大负载率=0.984485</x:v>
      </x:c>
      <x:c r="E660" s="19" t="str">
        <x:v>一步最大负载率 &lt; 1</x:v>
      </x:c>
      <x:c r="F660" s="19" t="str">
        <x:v>0</x:v>
      </x:c>
      <x:c r="G660" s="19" t="str">
        <x:v>其他/配置</x:v>
      </x:c>
      <x:c r="H660" s="19" t="str">
        <x:v>D:/Codex/GRL研究/outputs/grid11_failure_context/GRID11_review_zh.md</x:v>
      </x:c>
    </x:row>
    <x:row r="661" ht="36" customHeight="1">
      <x:c r="A661" s="19" t="str">
        <x:v>GRID11</x:v>
      </x:c>
      <x:c r="B661" s="19" t="str">
        <x:v>GRID11_review_zh.md</x:v>
      </x:c>
      <x:c r="C661" s="19" t="str">
        <x:v>1. GRID11：一月训练故障诊断</x:v>
      </x:c>
      <x:c r="D661" s="19" t="str">
        <x:v>公共状态步=1718；当前最大负载率=1.014742</x:v>
      </x:c>
      <x:c r="E661" s="19" t="str">
        <x:v>当前最大负载率</x:v>
      </x:c>
      <x:c r="F661" s="19" t="str">
        <x:v>1.014742</x:v>
      </x:c>
      <x:c r="G661" s="19" t="str">
        <x:v>其他/配置</x:v>
      </x:c>
      <x:c r="H661" s="19" t="str">
        <x:v>D:/Codex/GRL研究/outputs/grid11_failure_context/GRID11_review_zh.md</x:v>
      </x:c>
    </x:row>
    <x:row r="662" ht="36" customHeight="1">
      <x:c r="A662" s="19" t="str">
        <x:v>GRID11</x:v>
      </x:c>
      <x:c r="B662" s="19" t="str">
        <x:v>GRID11_review_zh.md</x:v>
      </x:c>
      <x:c r="C662" s="19" t="str">
        <x:v>1. GRID11：一月训练故障诊断</x:v>
      </x:c>
      <x:c r="D662" s="19" t="str">
        <x:v>公共状态步=1718；当前最大负载率=1.014742</x:v>
      </x:c>
      <x:c r="E662" s="19" t="str">
        <x:v>去重后拓扑候选</x:v>
      </x:c>
      <x:c r="F662" s="19" t="str">
        <x:v>1018</x:v>
      </x:c>
      <x:c r="G662" s="19" t="str">
        <x:v>其他/配置</x:v>
      </x:c>
      <x:c r="H662" s="19" t="str">
        <x:v>D:/Codex/GRL研究/outputs/grid11_failure_context/GRID11_review_zh.md</x:v>
      </x:c>
    </x:row>
    <x:row r="663" ht="36" customHeight="1">
      <x:c r="A663" s="19" t="str">
        <x:v>GRID11</x:v>
      </x:c>
      <x:c r="B663" s="19" t="str">
        <x:v>GRID11_review_zh.md</x:v>
      </x:c>
      <x:c r="C663" s="19" t="str">
        <x:v>1. GRID11：一月训练故障诊断</x:v>
      </x:c>
      <x:c r="D663" s="19" t="str">
        <x:v>公共状态步=1718；当前最大负载率=1.014742</x:v>
      </x:c>
      <x:c r="E663" s="19" t="str">
        <x:v>一步合法非终止</x:v>
      </x:c>
      <x:c r="F663" s="19" t="str">
        <x:v>0</x:v>
      </x:c>
      <x:c r="G663" s="19" t="str">
        <x:v>其他/配置</x:v>
      </x:c>
      <x:c r="H663" s="19" t="str">
        <x:v>D:/Codex/GRL研究/outputs/grid11_failure_context/GRID11_review_zh.md</x:v>
      </x:c>
    </x:row>
    <x:row r="664" ht="36" customHeight="1">
      <x:c r="A664" s="19" t="str">
        <x:v>GRID11</x:v>
      </x:c>
      <x:c r="B664" s="19" t="str">
        <x:v>GRID11_review_zh.md</x:v>
      </x:c>
      <x:c r="C664" s="19" t="str">
        <x:v>1. GRID11：一月训练故障诊断</x:v>
      </x:c>
      <x:c r="D664" s="19" t="str">
        <x:v>公共状态步=1718；当前最大负载率=1.014742</x:v>
      </x:c>
      <x:c r="E664" s="19" t="str">
        <x:v>一步最大负载率 &lt; 1</x:v>
      </x:c>
      <x:c r="F664" s="19" t="str">
        <x:v>0</x:v>
      </x:c>
      <x:c r="G664" s="19" t="str">
        <x:v>其他/配置</x:v>
      </x:c>
      <x:c r="H664" s="19" t="str">
        <x:v>D:/Codex/GRL研究/outputs/grid11_failure_context/GRID11_review_zh.md</x:v>
      </x:c>
    </x:row>
    <x:row r="665" ht="36" customHeight="1">
      <x:c r="A665" s="19" t="str">
        <x:v>GRID12</x:v>
      </x:c>
      <x:c r="B665" s="19" t="str">
        <x:v>GRID12_review_zh.md</x:v>
      </x:c>
      <x:c r="C665" s="19" t="str">
        <x:v>1. GRID12：提前调用现有应急 QP 的公共预测探针</x:v>
      </x:c>
      <x:c r="D665" s="19" t="str">
        <x:v>已见训练状态=1714；现有动作分支=第 4 个预测步终止；第一步 ρ=1.022310</x:v>
      </x:c>
      <x:c r="E665" s="19" t="str">
        <x:v>现有动作分支</x:v>
      </x:c>
      <x:c r="F665" s="19" t="str">
        <x:v>第 4 个预测步终止；第一步 ρ=1.022310</x:v>
      </x:c>
      <x:c r="G665" s="19" t="str">
        <x:v>其他/配置</x:v>
      </x:c>
      <x:c r="H665" s="19" t="str">
        <x:v>D:/Codex/GRL研究/outputs/grid12/GRID12_review_zh.md</x:v>
      </x:c>
    </x:row>
    <x:row r="666" ht="36" customHeight="1">
      <x:c r="A666" s="19" t="str">
        <x:v>GRID12</x:v>
      </x:c>
      <x:c r="B666" s="19" t="str">
        <x:v>GRID12_review_zh.md</x:v>
      </x:c>
      <x:c r="C666" s="19" t="str">
        <x:v>1. GRID12：提前调用现有应急 QP 的公共预测探针</x:v>
      </x:c>
      <x:c r="D666" s="19" t="str">
        <x:v>已见训练状态=1714；现有动作分支=第 4 个预测步终止；第一步 ρ=1.022310</x:v>
      </x:c>
      <x:c r="E666" s="19" t="str">
        <x:v>一次应急 QP 分支</x:v>
      </x:c>
      <x:c r="F666" s="19" t="str">
        <x:v>第 4 个预测步终止；第一步 ρ=1.022310</x:v>
      </x:c>
      <x:c r="G666" s="19" t="str">
        <x:v>其他/配置</x:v>
      </x:c>
      <x:c r="H666" s="19" t="str">
        <x:v>D:/Codex/GRL研究/outputs/grid12/GRID12_review_zh.md</x:v>
      </x:c>
    </x:row>
    <x:row r="667" ht="36" customHeight="1">
      <x:c r="A667" s="19" t="str">
        <x:v>GRID12</x:v>
      </x:c>
      <x:c r="B667" s="19" t="str">
        <x:v>GRID12_review_zh.md</x:v>
      </x:c>
      <x:c r="C667" s="19" t="str">
        <x:v>1. GRID12：提前调用现有应急 QP 的公共预测探针</x:v>
      </x:c>
      <x:c r="D667" s="19" t="str">
        <x:v>已见训练状态=1714；现有动作分支=第 4 个预测步终止；第一步 ρ=1.022310</x:v>
      </x:c>
      <x:c r="E667" s="19" t="str">
        <x:v>QP 状态</x:v>
      </x:c>
      <x:c r="F667" s="19" t="str">
        <x:v>optimal</x:v>
      </x:c>
      <x:c r="G667" s="19" t="str">
        <x:v>其他/配置</x:v>
      </x:c>
      <x:c r="H667" s="19" t="str">
        <x:v>D:/Codex/GRL研究/outputs/grid12/GRID12_review_zh.md</x:v>
      </x:c>
    </x:row>
    <x:row r="668" ht="36" customHeight="1">
      <x:c r="A668" s="19" t="str">
        <x:v>GRID12</x:v>
      </x:c>
      <x:c r="B668" s="19" t="str">
        <x:v>GRID12_review_zh.md</x:v>
      </x:c>
      <x:c r="C668" s="19" t="str">
        <x:v>1. GRID12：提前调用现有应急 QP 的公共预测探针</x:v>
      </x:c>
      <x:c r="D668" s="19" t="str">
        <x:v>已见训练状态=1716；现有动作分支=第 3 个预测步终止；第一步 ρ=1.035954</x:v>
      </x:c>
      <x:c r="E668" s="19" t="str">
        <x:v>现有动作分支</x:v>
      </x:c>
      <x:c r="F668" s="19" t="str">
        <x:v>第 3 个预测步终止；第一步 ρ=1.035954</x:v>
      </x:c>
      <x:c r="G668" s="19" t="str">
        <x:v>其他/配置</x:v>
      </x:c>
      <x:c r="H668" s="19" t="str">
        <x:v>D:/Codex/GRL研究/outputs/grid12/GRID12_review_zh.md</x:v>
      </x:c>
    </x:row>
    <x:row r="669" ht="36" customHeight="1">
      <x:c r="A669" s="19" t="str">
        <x:v>GRID12</x:v>
      </x:c>
      <x:c r="B669" s="19" t="str">
        <x:v>GRID12_review_zh.md</x:v>
      </x:c>
      <x:c r="C669" s="19" t="str">
        <x:v>1. GRID12：提前调用现有应急 QP 的公共预测探针</x:v>
      </x:c>
      <x:c r="D669" s="19" t="str">
        <x:v>已见训练状态=1716；现有动作分支=第 3 个预测步终止；第一步 ρ=1.035954</x:v>
      </x:c>
      <x:c r="E669" s="19" t="str">
        <x:v>一次应急 QP 分支</x:v>
      </x:c>
      <x:c r="F669" s="19" t="str">
        <x:v>第 3 个预测步终止；第一步 ρ=1.035954</x:v>
      </x:c>
      <x:c r="G669" s="19" t="str">
        <x:v>其他/配置</x:v>
      </x:c>
      <x:c r="H669" s="19" t="str">
        <x:v>D:/Codex/GRL研究/outputs/grid12/GRID12_review_zh.md</x:v>
      </x:c>
    </x:row>
    <x:row r="670" ht="36" customHeight="1">
      <x:c r="A670" s="19" t="str">
        <x:v>GRID12</x:v>
      </x:c>
      <x:c r="B670" s="19" t="str">
        <x:v>GRID12_review_zh.md</x:v>
      </x:c>
      <x:c r="C670" s="19" t="str">
        <x:v>1. GRID12：提前调用现有应急 QP 的公共预测探针</x:v>
      </x:c>
      <x:c r="D670" s="19" t="str">
        <x:v>已见训练状态=1716；现有动作分支=第 3 个预测步终止；第一步 ρ=1.035954</x:v>
      </x:c>
      <x:c r="E670" s="19" t="str">
        <x:v>QP 状态</x:v>
      </x:c>
      <x:c r="F670" s="19" t="str">
        <x:v>optimal</x:v>
      </x:c>
      <x:c r="G670" s="19" t="str">
        <x:v>其他/配置</x:v>
      </x:c>
      <x:c r="H670" s="19" t="str">
        <x:v>D:/Codex/GRL研究/outputs/grid12/GRID12_review_zh.md</x:v>
      </x:c>
    </x:row>
    <x:row r="671" ht="36" customHeight="1">
      <x:c r="A671" s="19" t="str">
        <x:v>GRID13</x:v>
      </x:c>
      <x:c r="B671" s="19" t="str">
        <x:v>GRID13_review_zh.md</x:v>
      </x:c>
      <x:c r="C671" s="19" t="str">
        <x:v>1. GRID13：重连与真实扰动的区分</x:v>
      </x:c>
      <x:c r="D671" s="19" t="str">
        <x:v>状态=1,717，冷却 0；原动作公共预测=六步均非终止</x:v>
      </x:c>
      <x:c r="E671" s="19" t="str">
        <x:v>原动作公共预测</x:v>
      </x:c>
      <x:c r="F671" s="19" t="str">
        <x:v>六步均非终止</x:v>
      </x:c>
      <x:c r="G671" s="19" t="str">
        <x:v>速度/计算</x:v>
      </x:c>
      <x:c r="H671" s="19" t="str">
        <x:v>D:/Codex/GRL研究/outputs/grid13/GRID13_review_zh.md</x:v>
      </x:c>
    </x:row>
    <x:row r="672" ht="36" customHeight="1">
      <x:c r="A672" s="19" t="str">
        <x:v>GRID13</x:v>
      </x:c>
      <x:c r="B672" s="19" t="str">
        <x:v>GRID13_review_zh.md</x:v>
      </x:c>
      <x:c r="C672" s="19" t="str">
        <x:v>1. GRID13：重连与真实扰动的区分</x:v>
      </x:c>
      <x:c r="D672" s="19" t="str">
        <x:v>状态=1,717，冷却 0；原动作公共预测=六步均非终止</x:v>
      </x:c>
      <x:c r="E672" s="19" t="str">
        <x:v>默认母线重连</x:v>
      </x:c>
      <x:c r="F672" s="19" t="str">
        <x:v>六步均非终止</x:v>
      </x:c>
      <x:c r="G672" s="19" t="str">
        <x:v>其他/配置</x:v>
      </x:c>
      <x:c r="H672" s="19" t="str">
        <x:v>D:/Codex/GRL研究/outputs/grid13/GRID13_review_zh.md</x:v>
      </x:c>
    </x:row>
    <x:row r="673" ht="36" customHeight="1">
      <x:c r="A673" s="19" t="str">
        <x:v>GRID13</x:v>
      </x:c>
      <x:c r="B673" s="19" t="str">
        <x:v>GRID13_review_zh.md</x:v>
      </x:c>
      <x:c r="C673" s="19" t="str">
        <x:v>1. GRID13：重连与真实扰动的区分</x:v>
      </x:c>
      <x:c r="D673" s="19" t="str">
        <x:v>状态=1,717，冷却 0；原动作公共预测=六步均非终止</x:v>
      </x:c>
      <x:c r="E673" s="19" t="str">
        <x:v>四种显式母线组合</x:v>
      </x:c>
      <x:c r="F673" s="19" t="str">
        <x:v>1/1 六步非终止；1/2、2/1 在第二步终止；2/2 在第一步终止</x:v>
      </x:c>
      <x:c r="G673" s="19" t="str">
        <x:v>其他/配置</x:v>
      </x:c>
      <x:c r="H673" s="19" t="str">
        <x:v>D:/Codex/GRL研究/outputs/grid13/GRID13_review_zh.md</x:v>
      </x:c>
    </x:row>
    <x:row r="674" ht="36" customHeight="1">
      <x:c r="A674" s="19" t="str">
        <x:v>GRID13</x:v>
      </x:c>
      <x:c r="B674" s="19" t="str">
        <x:v>GRID13_review_zh.md</x:v>
      </x:c>
      <x:c r="C674" s="19" t="str">
        <x:v>1. GRID13：重连与真实扰动的区分</x:v>
      </x:c>
      <x:c r="D674" s="19" t="str">
        <x:v>状态=1,718，冷却 3；原动作公共预测=下一步终止</x:v>
      </x:c>
      <x:c r="E674" s="19" t="str">
        <x:v>原动作公共预测</x:v>
      </x:c>
      <x:c r="F674" s="19" t="str">
        <x:v>下一步终止</x:v>
      </x:c>
      <x:c r="G674" s="19" t="str">
        <x:v>速度/计算</x:v>
      </x:c>
      <x:c r="H674" s="19" t="str">
        <x:v>D:/Codex/GRL研究/outputs/grid13/GRID13_review_zh.md</x:v>
      </x:c>
    </x:row>
    <x:row r="675" ht="36" customHeight="1">
      <x:c r="A675" s="19" t="str">
        <x:v>GRID13</x:v>
      </x:c>
      <x:c r="B675" s="19" t="str">
        <x:v>GRID13_review_zh.md</x:v>
      </x:c>
      <x:c r="C675" s="19" t="str">
        <x:v>1. GRID13：重连与真实扰动的区分</x:v>
      </x:c>
      <x:c r="D675" s="19" t="str">
        <x:v>状态=1,718，冷却 3；原动作公共预测=下一步终止</x:v>
      </x:c>
      <x:c r="E675" s="19" t="str">
        <x:v>默认母线重连</x:v>
      </x:c>
      <x:c r="F675" s="19" t="str">
        <x:v>非法重连、下一步终止</x:v>
      </x:c>
      <x:c r="G675" s="19" t="str">
        <x:v>其他/配置</x:v>
      </x:c>
      <x:c r="H675" s="19" t="str">
        <x:v>D:/Codex/GRL研究/outputs/grid13/GRID13_review_zh.md</x:v>
      </x:c>
    </x:row>
    <x:row r="676" ht="36" customHeight="1">
      <x:c r="A676" s="19" t="str">
        <x:v>GRID13</x:v>
      </x:c>
      <x:c r="B676" s="19" t="str">
        <x:v>GRID13_review_zh.md</x:v>
      </x:c>
      <x:c r="C676" s="19" t="str">
        <x:v>1. GRID13：重连与真实扰动的区分</x:v>
      </x:c>
      <x:c r="D676" s="19" t="str">
        <x:v>状态=1,718，冷却 3；原动作公共预测=下一步终止</x:v>
      </x:c>
      <x:c r="E676" s="19" t="str">
        <x:v>四种显式母线组合</x:v>
      </x:c>
      <x:c r="F676" s="19" t="str">
        <x:v>全部非法重连、下一步终止</x:v>
      </x:c>
      <x:c r="G676" s="19" t="str">
        <x:v>其他/配置</x:v>
      </x:c>
      <x:c r="H676" s="19" t="str">
        <x:v>D:/Codex/GRL研究/outputs/grid13/GRID13_review_zh.md</x:v>
      </x:c>
    </x:row>
    <x:row r="677" ht="36" customHeight="1">
      <x:c r="A677" s="19" t="str">
        <x:v>GRID14</x:v>
      </x:c>
      <x:c r="B677" s="19" t="str">
        <x:v>GRID14_review_zh.md</x:v>
      </x:c>
      <x:c r="C677" s="19" t="str">
        <x:v>1. GRID14：加入恢复后的拓扑候选与后续费用</x:v>
      </x:c>
      <x:c r="D677" s="19" t="str">
        <x:v>训练周=2035-01-29_4；干预步=201</x:v>
      </x:c>
      <x:c r="E677" s="19" t="str">
        <x:v>干预步</x:v>
      </x:c>
      <x:c r="F677" s="19" t="str">
        <x:v>201</x:v>
      </x:c>
      <x:c r="G677" s="19" t="str">
        <x:v>其他/配置</x:v>
      </x:c>
      <x:c r="H677" s="19" t="str">
        <x:v>D:/Codex/GRL研究/outputs/grid14/GRID14_review_zh.md</x:v>
      </x:c>
    </x:row>
    <x:row r="678" ht="36" customHeight="1">
      <x:c r="A678" s="19" t="str">
        <x:v>GRID14</x:v>
      </x:c>
      <x:c r="B678" s="19" t="str">
        <x:v>GRID14_review_zh.md</x:v>
      </x:c>
      <x:c r="C678" s="19" t="str">
        <x:v>1. GRID14：加入恢复后的拓扑候选与后续费用</x:v>
      </x:c>
      <x:c r="D678" s="19" t="str">
        <x:v>训练周=2035-01-29_4；干预步=201</x:v>
      </x:c>
      <x:c r="E678" s="19" t="str">
        <x:v>规则</x:v>
      </x:c>
      <x:c r="F678" s="19" t="str">
        <x:v>FINAL_COST</x:v>
      </x:c>
      <x:c r="G678" s="19" t="str">
        <x:v>其他/配置</x:v>
      </x:c>
      <x:c r="H678" s="19" t="str">
        <x:v>D:/Codex/GRL研究/outputs/grid14/GRID14_review_zh.md</x:v>
      </x:c>
    </x:row>
    <x:row r="679" ht="36" customHeight="1">
      <x:c r="A679" s="19" t="str">
        <x:v>GRID14</x:v>
      </x:c>
      <x:c r="B679" s="19" t="str">
        <x:v>GRID14_review_zh.md</x:v>
      </x:c>
      <x:c r="C679" s="19" t="str">
        <x:v>1. GRID14：加入恢复后的拓扑候选与后续费用</x:v>
      </x:c>
      <x:c r="D679" s="19" t="str">
        <x:v>训练周=2035-01-29_4；干预步=201</x:v>
      </x:c>
      <x:c r="E679" s="19" t="str">
        <x:v>完成：原/改</x:v>
      </x:c>
      <x:c r="F679" s="19" t="str">
        <x:v>False/False</x:v>
      </x:c>
      <x:c r="G679" s="19" t="str">
        <x:v>质量/成本</x:v>
      </x:c>
      <x:c r="H679" s="19" t="str">
        <x:v>D:/Codex/GRL研究/outputs/grid14/GRID14_review_zh.md</x:v>
      </x:c>
    </x:row>
    <x:row r="680" ht="36" customHeight="1">
      <x:c r="A680" s="19" t="str">
        <x:v>GRID14</x:v>
      </x:c>
      <x:c r="B680" s="19" t="str">
        <x:v>GRID14_review_zh.md</x:v>
      </x:c>
      <x:c r="C680" s="19" t="str">
        <x:v>1. GRID14：加入恢复后的拓扑候选与后续费用</x:v>
      </x:c>
      <x:c r="D680" s="19" t="str">
        <x:v>训练周=2035-01-29_4；干预步=201</x:v>
      </x:c>
      <x:c r="E680" s="19" t="str">
        <x:v>一步预测费用差</x:v>
      </x:c>
      <x:c r="F680" s="19" t="str">
        <x:v>-39.5855</x:v>
      </x:c>
      <x:c r="G680" s="19" t="str">
        <x:v>质量/成本</x:v>
      </x:c>
      <x:c r="H680" s="19" t="str">
        <x:v>D:/Codex/GRL研究/outputs/grid14/GRID14_review_zh.md</x:v>
      </x:c>
    </x:row>
    <x:row r="681" ht="36" customHeight="1">
      <x:c r="A681" s="19" t="str">
        <x:v>GRID14</x:v>
      </x:c>
      <x:c r="B681" s="19" t="str">
        <x:v>GRID14_review_zh.md</x:v>
      </x:c>
      <x:c r="C681" s="19" t="str">
        <x:v>1. GRID14：加入恢复后的拓扑候选与后续费用</x:v>
      </x:c>
      <x:c r="D681" s="19" t="str">
        <x:v>训练周=2035-01-29_4；干预步=201</x:v>
      </x:c>
      <x:c r="E681" s="19" t="str">
        <x:v>整周费用降幅</x:v>
      </x:c>
      <x:c r="F681" s="19" t="str">
        <x:v>不对失败分支作费用排名</x:v>
      </x:c>
      <x:c r="G681" s="19" t="str">
        <x:v>质量/成本</x:v>
      </x:c>
      <x:c r="H681" s="19" t="str">
        <x:v>D:/Codex/GRL研究/outputs/grid14/GRID14_review_zh.md</x:v>
      </x:c>
    </x:row>
    <x:row r="682" ht="36" customHeight="1">
      <x:c r="A682" s="19" t="str">
        <x:v>GRID14</x:v>
      </x:c>
      <x:c r="B682" s="19" t="str">
        <x:v>GRID14_review_zh.md</x:v>
      </x:c>
      <x:c r="C682" s="19" t="str">
        <x:v>1. GRID14：加入恢复后的拓扑候选与后续费用</x:v>
      </x:c>
      <x:c r="D682" s="19" t="str">
        <x:v>训练周=2035-01-29_4；干预步=201</x:v>
      </x:c>
      <x:c r="E682" s="19" t="str">
        <x:v>干预步</x:v>
      </x:c>
      <x:c r="F682" s="19" t="str">
        <x:v>201</x:v>
      </x:c>
      <x:c r="G682" s="19" t="str">
        <x:v>其他/配置</x:v>
      </x:c>
      <x:c r="H682" s="19" t="str">
        <x:v>D:/Codex/GRL研究/outputs/grid14/GRID14_review_zh.md</x:v>
      </x:c>
    </x:row>
    <x:row r="683" ht="36" customHeight="1">
      <x:c r="A683" s="19" t="str">
        <x:v>GRID14</x:v>
      </x:c>
      <x:c r="B683" s="19" t="str">
        <x:v>GRID14_review_zh.md</x:v>
      </x:c>
      <x:c r="C683" s="19" t="str">
        <x:v>1. GRID14：加入恢复后的拓扑候选与后续费用</x:v>
      </x:c>
      <x:c r="D683" s="19" t="str">
        <x:v>训练周=2035-01-29_4；干预步=201</x:v>
      </x:c>
      <x:c r="E683" s="19" t="str">
        <x:v>规则</x:v>
      </x:c>
      <x:c r="F683" s="19" t="str">
        <x:v>FINAL_RHO</x:v>
      </x:c>
      <x:c r="G683" s="19" t="str">
        <x:v>其他/配置</x:v>
      </x:c>
      <x:c r="H683" s="19" t="str">
        <x:v>D:/Codex/GRL研究/outputs/grid14/GRID14_review_zh.md</x:v>
      </x:c>
    </x:row>
    <x:row r="684" ht="36" customHeight="1">
      <x:c r="A684" s="19" t="str">
        <x:v>GRID14</x:v>
      </x:c>
      <x:c r="B684" s="19" t="str">
        <x:v>GRID14_review_zh.md</x:v>
      </x:c>
      <x:c r="C684" s="19" t="str">
        <x:v>1. GRID14：加入恢复后的拓扑候选与后续费用</x:v>
      </x:c>
      <x:c r="D684" s="19" t="str">
        <x:v>训练周=2035-01-29_4；干预步=201</x:v>
      </x:c>
      <x:c r="E684" s="19" t="str">
        <x:v>完成：原/改</x:v>
      </x:c>
      <x:c r="F684" s="19" t="str">
        <x:v>False/False</x:v>
      </x:c>
      <x:c r="G684" s="19" t="str">
        <x:v>质量/成本</x:v>
      </x:c>
      <x:c r="H684" s="19" t="str">
        <x:v>D:/Codex/GRL研究/outputs/grid14/GRID14_review_zh.md</x:v>
      </x:c>
    </x:row>
    <x:row r="685" ht="36" customHeight="1">
      <x:c r="A685" s="19" t="str">
        <x:v>GRID14</x:v>
      </x:c>
      <x:c r="B685" s="19" t="str">
        <x:v>GRID14_review_zh.md</x:v>
      </x:c>
      <x:c r="C685" s="19" t="str">
        <x:v>1. GRID14：加入恢复后的拓扑候选与后续费用</x:v>
      </x:c>
      <x:c r="D685" s="19" t="str">
        <x:v>训练周=2035-01-29_4；干预步=201</x:v>
      </x:c>
      <x:c r="E685" s="19" t="str">
        <x:v>一步预测费用差</x:v>
      </x:c>
      <x:c r="F685" s="19" t="str">
        <x:v>+0.0000</x:v>
      </x:c>
      <x:c r="G685" s="19" t="str">
        <x:v>质量/成本</x:v>
      </x:c>
      <x:c r="H685" s="19" t="str">
        <x:v>D:/Codex/GRL研究/outputs/grid14/GRID14_review_zh.md</x:v>
      </x:c>
    </x:row>
    <x:row r="686" ht="36" customHeight="1">
      <x:c r="A686" s="19" t="str">
        <x:v>GRID14</x:v>
      </x:c>
      <x:c r="B686" s="19" t="str">
        <x:v>GRID14_review_zh.md</x:v>
      </x:c>
      <x:c r="C686" s="19" t="str">
        <x:v>1. GRID14：加入恢复后的拓扑候选与后续费用</x:v>
      </x:c>
      <x:c r="D686" s="19" t="str">
        <x:v>训练周=2035-01-29_4；干预步=201</x:v>
      </x:c>
      <x:c r="E686" s="19" t="str">
        <x:v>整周费用降幅</x:v>
      </x:c>
      <x:c r="F686" s="19" t="str">
        <x:v>不对失败分支作费用排名</x:v>
      </x:c>
      <x:c r="G686" s="19" t="str">
        <x:v>质量/成本</x:v>
      </x:c>
      <x:c r="H686" s="19" t="str">
        <x:v>D:/Codex/GRL研究/outputs/grid14/GRID14_review_zh.md</x:v>
      </x:c>
    </x:row>
    <x:row r="687" ht="36" customHeight="1">
      <x:c r="A687" s="19" t="str">
        <x:v>GRID14</x:v>
      </x:c>
      <x:c r="B687" s="19" t="str">
        <x:v>GRID14_review_zh.md</x:v>
      </x:c>
      <x:c r="C687" s="19" t="str">
        <x:v>1. GRID14：加入恢复后的拓扑候选与后续费用</x:v>
      </x:c>
      <x:c r="D687" s="19" t="str">
        <x:v>训练周=2035-04-16_2；干预步=111</x:v>
      </x:c>
      <x:c r="E687" s="19" t="str">
        <x:v>干预步</x:v>
      </x:c>
      <x:c r="F687" s="19" t="str">
        <x:v>111</x:v>
      </x:c>
      <x:c r="G687" s="19" t="str">
        <x:v>其他/配置</x:v>
      </x:c>
      <x:c r="H687" s="19" t="str">
        <x:v>D:/Codex/GRL研究/outputs/grid14/GRID14_review_zh.md</x:v>
      </x:c>
    </x:row>
    <x:row r="688" ht="36" customHeight="1">
      <x:c r="A688" s="19" t="str">
        <x:v>GRID14</x:v>
      </x:c>
      <x:c r="B688" s="19" t="str">
        <x:v>GRID14_review_zh.md</x:v>
      </x:c>
      <x:c r="C688" s="19" t="str">
        <x:v>1. GRID14：加入恢复后的拓扑候选与后续费用</x:v>
      </x:c>
      <x:c r="D688" s="19" t="str">
        <x:v>训练周=2035-04-16_2；干预步=111</x:v>
      </x:c>
      <x:c r="E688" s="19" t="str">
        <x:v>规则</x:v>
      </x:c>
      <x:c r="F688" s="19" t="str">
        <x:v>FINAL_COST</x:v>
      </x:c>
      <x:c r="G688" s="19" t="str">
        <x:v>其他/配置</x:v>
      </x:c>
      <x:c r="H688" s="19" t="str">
        <x:v>D:/Codex/GRL研究/outputs/grid14/GRID14_review_zh.md</x:v>
      </x:c>
    </x:row>
    <x:row r="689" ht="36" customHeight="1">
      <x:c r="A689" s="19" t="str">
        <x:v>GRID14</x:v>
      </x:c>
      <x:c r="B689" s="19" t="str">
        <x:v>GRID14_review_zh.md</x:v>
      </x:c>
      <x:c r="C689" s="19" t="str">
        <x:v>1. GRID14：加入恢复后的拓扑候选与后续费用</x:v>
      </x:c>
      <x:c r="D689" s="19" t="str">
        <x:v>训练周=2035-04-16_2；干预步=111</x:v>
      </x:c>
      <x:c r="E689" s="19" t="str">
        <x:v>完成：原/改</x:v>
      </x:c>
      <x:c r="F689" s="19" t="str">
        <x:v>True/True</x:v>
      </x:c>
      <x:c r="G689" s="19" t="str">
        <x:v>质量/成本</x:v>
      </x:c>
      <x:c r="H689" s="19" t="str">
        <x:v>D:/Codex/GRL研究/outputs/grid14/GRID14_review_zh.md</x:v>
      </x:c>
    </x:row>
    <x:row r="690" ht="36" customHeight="1">
      <x:c r="A690" s="19" t="str">
        <x:v>GRID14</x:v>
      </x:c>
      <x:c r="B690" s="19" t="str">
        <x:v>GRID14_review_zh.md</x:v>
      </x:c>
      <x:c r="C690" s="19" t="str">
        <x:v>1. GRID14：加入恢复后的拓扑候选与后续费用</x:v>
      </x:c>
      <x:c r="D690" s="19" t="str">
        <x:v>训练周=2035-04-16_2；干预步=111</x:v>
      </x:c>
      <x:c r="E690" s="19" t="str">
        <x:v>一步预测费用差</x:v>
      </x:c>
      <x:c r="F690" s="19" t="str">
        <x:v>+0.0000</x:v>
      </x:c>
      <x:c r="G690" s="19" t="str">
        <x:v>质量/成本</x:v>
      </x:c>
      <x:c r="H690" s="19" t="str">
        <x:v>D:/Codex/GRL研究/outputs/grid14/GRID14_review_zh.md</x:v>
      </x:c>
    </x:row>
    <x:row r="691" ht="36" customHeight="1">
      <x:c r="A691" s="19" t="str">
        <x:v>GRID14</x:v>
      </x:c>
      <x:c r="B691" s="19" t="str">
        <x:v>GRID14_review_zh.md</x:v>
      </x:c>
      <x:c r="C691" s="19" t="str">
        <x:v>1. GRID14：加入恢复后的拓扑候选与后续费用</x:v>
      </x:c>
      <x:c r="D691" s="19" t="str">
        <x:v>训练周=2035-04-16_2；干预步=111</x:v>
      </x:c>
      <x:c r="E691" s="19" t="str">
        <x:v>整周费用降幅</x:v>
      </x:c>
      <x:c r="F691" s="19" t="str">
        <x:v>+0.0000%</x:v>
      </x:c>
      <x:c r="G691" s="19" t="str">
        <x:v>质量/成本</x:v>
      </x:c>
      <x:c r="H691" s="19" t="str">
        <x:v>D:/Codex/GRL研究/outputs/grid14/GRID14_review_zh.md</x:v>
      </x:c>
    </x:row>
    <x:row r="692" ht="36" customHeight="1">
      <x:c r="A692" s="19" t="str">
        <x:v>GRID14</x:v>
      </x:c>
      <x:c r="B692" s="19" t="str">
        <x:v>GRID14_review_zh.md</x:v>
      </x:c>
      <x:c r="C692" s="19" t="str">
        <x:v>1. GRID14：加入恢复后的拓扑候选与后续费用</x:v>
      </x:c>
      <x:c r="D692" s="19" t="str">
        <x:v>训练周=2035-04-16_2；干预步=111</x:v>
      </x:c>
      <x:c r="E692" s="19" t="str">
        <x:v>干预步</x:v>
      </x:c>
      <x:c r="F692" s="19" t="str">
        <x:v>111</x:v>
      </x:c>
      <x:c r="G692" s="19" t="str">
        <x:v>其他/配置</x:v>
      </x:c>
      <x:c r="H692" s="19" t="str">
        <x:v>D:/Codex/GRL研究/outputs/grid14/GRID14_review_zh.md</x:v>
      </x:c>
    </x:row>
    <x:row r="693" ht="36" customHeight="1">
      <x:c r="A693" s="19" t="str">
        <x:v>GRID14</x:v>
      </x:c>
      <x:c r="B693" s="19" t="str">
        <x:v>GRID14_review_zh.md</x:v>
      </x:c>
      <x:c r="C693" s="19" t="str">
        <x:v>1. GRID14：加入恢复后的拓扑候选与后续费用</x:v>
      </x:c>
      <x:c r="D693" s="19" t="str">
        <x:v>训练周=2035-04-16_2；干预步=111</x:v>
      </x:c>
      <x:c r="E693" s="19" t="str">
        <x:v>规则</x:v>
      </x:c>
      <x:c r="F693" s="19" t="str">
        <x:v>FINAL_RHO</x:v>
      </x:c>
      <x:c r="G693" s="19" t="str">
        <x:v>其他/配置</x:v>
      </x:c>
      <x:c r="H693" s="19" t="str">
        <x:v>D:/Codex/GRL研究/outputs/grid14/GRID14_review_zh.md</x:v>
      </x:c>
    </x:row>
    <x:row r="694" ht="36" customHeight="1">
      <x:c r="A694" s="19" t="str">
        <x:v>GRID14</x:v>
      </x:c>
      <x:c r="B694" s="19" t="str">
        <x:v>GRID14_review_zh.md</x:v>
      </x:c>
      <x:c r="C694" s="19" t="str">
        <x:v>1. GRID14：加入恢复后的拓扑候选与后续费用</x:v>
      </x:c>
      <x:c r="D694" s="19" t="str">
        <x:v>训练周=2035-04-16_2；干预步=111</x:v>
      </x:c>
      <x:c r="E694" s="19" t="str">
        <x:v>完成：原/改</x:v>
      </x:c>
      <x:c r="F694" s="19" t="str">
        <x:v>True/True</x:v>
      </x:c>
      <x:c r="G694" s="19" t="str">
        <x:v>质量/成本</x:v>
      </x:c>
      <x:c r="H694" s="19" t="str">
        <x:v>D:/Codex/GRL研究/outputs/grid14/GRID14_review_zh.md</x:v>
      </x:c>
    </x:row>
    <x:row r="695" ht="36" customHeight="1">
      <x:c r="A695" s="19" t="str">
        <x:v>GRID14</x:v>
      </x:c>
      <x:c r="B695" s="19" t="str">
        <x:v>GRID14_review_zh.md</x:v>
      </x:c>
      <x:c r="C695" s="19" t="str">
        <x:v>1. GRID14：加入恢复后的拓扑候选与后续费用</x:v>
      </x:c>
      <x:c r="D695" s="19" t="str">
        <x:v>训练周=2035-04-16_2；干预步=111</x:v>
      </x:c>
      <x:c r="E695" s="19" t="str">
        <x:v>一步预测费用差</x:v>
      </x:c>
      <x:c r="F695" s="19" t="str">
        <x:v>+0.0000</x:v>
      </x:c>
      <x:c r="G695" s="19" t="str">
        <x:v>质量/成本</x:v>
      </x:c>
      <x:c r="H695" s="19" t="str">
        <x:v>D:/Codex/GRL研究/outputs/grid14/GRID14_review_zh.md</x:v>
      </x:c>
    </x:row>
    <x:row r="696" ht="36" customHeight="1">
      <x:c r="A696" s="19" t="str">
        <x:v>GRID14</x:v>
      </x:c>
      <x:c r="B696" s="19" t="str">
        <x:v>GRID14_review_zh.md</x:v>
      </x:c>
      <x:c r="C696" s="19" t="str">
        <x:v>1. GRID14：加入恢复后的拓扑候选与后续费用</x:v>
      </x:c>
      <x:c r="D696" s="19" t="str">
        <x:v>训练周=2035-04-16_2；干预步=111</x:v>
      </x:c>
      <x:c r="E696" s="19" t="str">
        <x:v>整周费用降幅</x:v>
      </x:c>
      <x:c r="F696" s="19" t="str">
        <x:v>+0.0000%</x:v>
      </x:c>
      <x:c r="G696" s="19" t="str">
        <x:v>质量/成本</x:v>
      </x:c>
      <x:c r="H696" s="19" t="str">
        <x:v>D:/Codex/GRL研究/outputs/grid14/GRID14_review_zh.md</x:v>
      </x:c>
    </x:row>
    <x:row r="697" ht="36" customHeight="1">
      <x:c r="A697" s="19" t="str">
        <x:v>GRID14</x:v>
      </x:c>
      <x:c r="B697" s="19" t="str">
        <x:v>GRID14_review_zh.md</x:v>
      </x:c>
      <x:c r="C697" s="19" t="str">
        <x:v>1. GRID14：加入恢复后的拓扑候选与后续费用</x:v>
      </x:c>
      <x:c r="D697" s="19" t="str">
        <x:v>训练周=2035-07-23_10；干预步=548</x:v>
      </x:c>
      <x:c r="E697" s="19" t="str">
        <x:v>干预步</x:v>
      </x:c>
      <x:c r="F697" s="19" t="str">
        <x:v>548</x:v>
      </x:c>
      <x:c r="G697" s="19" t="str">
        <x:v>其他/配置</x:v>
      </x:c>
      <x:c r="H697" s="19" t="str">
        <x:v>D:/Codex/GRL研究/outputs/grid14/GRID14_review_zh.md</x:v>
      </x:c>
    </x:row>
    <x:row r="698" ht="36" customHeight="1">
      <x:c r="A698" s="19" t="str">
        <x:v>GRID14</x:v>
      </x:c>
      <x:c r="B698" s="19" t="str">
        <x:v>GRID14_review_zh.md</x:v>
      </x:c>
      <x:c r="C698" s="19" t="str">
        <x:v>1. GRID14：加入恢复后的拓扑候选与后续费用</x:v>
      </x:c>
      <x:c r="D698" s="19" t="str">
        <x:v>训练周=2035-07-23_10；干预步=548</x:v>
      </x:c>
      <x:c r="E698" s="19" t="str">
        <x:v>规则</x:v>
      </x:c>
      <x:c r="F698" s="19" t="str">
        <x:v>FINAL_COST</x:v>
      </x:c>
      <x:c r="G698" s="19" t="str">
        <x:v>其他/配置</x:v>
      </x:c>
      <x:c r="H698" s="19" t="str">
        <x:v>D:/Codex/GRL研究/outputs/grid14/GRID14_review_zh.md</x:v>
      </x:c>
    </x:row>
    <x:row r="699" ht="36" customHeight="1">
      <x:c r="A699" s="19" t="str">
        <x:v>GRID14</x:v>
      </x:c>
      <x:c r="B699" s="19" t="str">
        <x:v>GRID14_review_zh.md</x:v>
      </x:c>
      <x:c r="C699" s="19" t="str">
        <x:v>1. GRID14：加入恢复后的拓扑候选与后续费用</x:v>
      </x:c>
      <x:c r="D699" s="19" t="str">
        <x:v>训练周=2035-07-23_10；干预步=548</x:v>
      </x:c>
      <x:c r="E699" s="19" t="str">
        <x:v>完成：原/改</x:v>
      </x:c>
      <x:c r="F699" s="19" t="str">
        <x:v>True/True</x:v>
      </x:c>
      <x:c r="G699" s="19" t="str">
        <x:v>质量/成本</x:v>
      </x:c>
      <x:c r="H699" s="19" t="str">
        <x:v>D:/Codex/GRL研究/outputs/grid14/GRID14_review_zh.md</x:v>
      </x:c>
    </x:row>
    <x:row r="700" ht="36" customHeight="1">
      <x:c r="A700" s="19" t="str">
        <x:v>GRID14</x:v>
      </x:c>
      <x:c r="B700" s="19" t="str">
        <x:v>GRID14_review_zh.md</x:v>
      </x:c>
      <x:c r="C700" s="19" t="str">
        <x:v>1. GRID14：加入恢复后的拓扑候选与后续费用</x:v>
      </x:c>
      <x:c r="D700" s="19" t="str">
        <x:v>训练周=2035-07-23_10；干预步=548</x:v>
      </x:c>
      <x:c r="E700" s="19" t="str">
        <x:v>一步预测费用差</x:v>
      </x:c>
      <x:c r="F700" s="19" t="str">
        <x:v>-31.1144</x:v>
      </x:c>
      <x:c r="G700" s="19" t="str">
        <x:v>质量/成本</x:v>
      </x:c>
      <x:c r="H700" s="19" t="str">
        <x:v>D:/Codex/GRL研究/outputs/grid14/GRID14_review_zh.md</x:v>
      </x:c>
    </x:row>
    <x:row r="701" ht="36" customHeight="1">
      <x:c r="A701" s="19" t="str">
        <x:v>GRID14</x:v>
      </x:c>
      <x:c r="B701" s="19" t="str">
        <x:v>GRID14_review_zh.md</x:v>
      </x:c>
      <x:c r="C701" s="19" t="str">
        <x:v>1. GRID14：加入恢复后的拓扑候选与后续费用</x:v>
      </x:c>
      <x:c r="D701" s="19" t="str">
        <x:v>训练周=2035-07-23_10；干预步=548</x:v>
      </x:c>
      <x:c r="E701" s="19" t="str">
        <x:v>整周费用降幅</x:v>
      </x:c>
      <x:c r="F701" s="19" t="str">
        <x:v>+0.2751%</x:v>
      </x:c>
      <x:c r="G701" s="19" t="str">
        <x:v>质量/成本</x:v>
      </x:c>
      <x:c r="H701" s="19" t="str">
        <x:v>D:/Codex/GRL研究/outputs/grid14/GRID14_review_zh.md</x:v>
      </x:c>
    </x:row>
    <x:row r="702" ht="36" customHeight="1">
      <x:c r="A702" s="19" t="str">
        <x:v>GRID14</x:v>
      </x:c>
      <x:c r="B702" s="19" t="str">
        <x:v>GRID14_review_zh.md</x:v>
      </x:c>
      <x:c r="C702" s="19" t="str">
        <x:v>1. GRID14：加入恢复后的拓扑候选与后续费用</x:v>
      </x:c>
      <x:c r="D702" s="19" t="str">
        <x:v>训练周=2035-07-23_10；干预步=548</x:v>
      </x:c>
      <x:c r="E702" s="19" t="str">
        <x:v>干预步</x:v>
      </x:c>
      <x:c r="F702" s="19" t="str">
        <x:v>548</x:v>
      </x:c>
      <x:c r="G702" s="19" t="str">
        <x:v>其他/配置</x:v>
      </x:c>
      <x:c r="H702" s="19" t="str">
        <x:v>D:/Codex/GRL研究/outputs/grid14/GRID14_review_zh.md</x:v>
      </x:c>
    </x:row>
    <x:row r="703" ht="36" customHeight="1">
      <x:c r="A703" s="19" t="str">
        <x:v>GRID14</x:v>
      </x:c>
      <x:c r="B703" s="19" t="str">
        <x:v>GRID14_review_zh.md</x:v>
      </x:c>
      <x:c r="C703" s="19" t="str">
        <x:v>1. GRID14：加入恢复后的拓扑候选与后续费用</x:v>
      </x:c>
      <x:c r="D703" s="19" t="str">
        <x:v>训练周=2035-07-23_10；干预步=548</x:v>
      </x:c>
      <x:c r="E703" s="19" t="str">
        <x:v>规则</x:v>
      </x:c>
      <x:c r="F703" s="19" t="str">
        <x:v>FINAL_RHO</x:v>
      </x:c>
      <x:c r="G703" s="19" t="str">
        <x:v>其他/配置</x:v>
      </x:c>
      <x:c r="H703" s="19" t="str">
        <x:v>D:/Codex/GRL研究/outputs/grid14/GRID14_review_zh.md</x:v>
      </x:c>
    </x:row>
    <x:row r="704" ht="36" customHeight="1">
      <x:c r="A704" s="19" t="str">
        <x:v>GRID14</x:v>
      </x:c>
      <x:c r="B704" s="19" t="str">
        <x:v>GRID14_review_zh.md</x:v>
      </x:c>
      <x:c r="C704" s="19" t="str">
        <x:v>1. GRID14：加入恢复后的拓扑候选与后续费用</x:v>
      </x:c>
      <x:c r="D704" s="19" t="str">
        <x:v>训练周=2035-07-23_10；干预步=548</x:v>
      </x:c>
      <x:c r="E704" s="19" t="str">
        <x:v>完成：原/改</x:v>
      </x:c>
      <x:c r="F704" s="19" t="str">
        <x:v>True/True</x:v>
      </x:c>
      <x:c r="G704" s="19" t="str">
        <x:v>质量/成本</x:v>
      </x:c>
      <x:c r="H704" s="19" t="str">
        <x:v>D:/Codex/GRL研究/outputs/grid14/GRID14_review_zh.md</x:v>
      </x:c>
    </x:row>
    <x:row r="705" ht="36" customHeight="1">
      <x:c r="A705" s="19" t="str">
        <x:v>GRID14</x:v>
      </x:c>
      <x:c r="B705" s="19" t="str">
        <x:v>GRID14_review_zh.md</x:v>
      </x:c>
      <x:c r="C705" s="19" t="str">
        <x:v>1. GRID14：加入恢复后的拓扑候选与后续费用</x:v>
      </x:c>
      <x:c r="D705" s="19" t="str">
        <x:v>训练周=2035-07-23_10；干预步=548</x:v>
      </x:c>
      <x:c r="E705" s="19" t="str">
        <x:v>一步预测费用差</x:v>
      </x:c>
      <x:c r="F705" s="19" t="str">
        <x:v>+0.0000</x:v>
      </x:c>
      <x:c r="G705" s="19" t="str">
        <x:v>质量/成本</x:v>
      </x:c>
      <x:c r="H705" s="19" t="str">
        <x:v>D:/Codex/GRL研究/outputs/grid14/GRID14_review_zh.md</x:v>
      </x:c>
    </x:row>
    <x:row r="706" ht="36" customHeight="1">
      <x:c r="A706" s="19" t="str">
        <x:v>GRID14</x:v>
      </x:c>
      <x:c r="B706" s="19" t="str">
        <x:v>GRID14_review_zh.md</x:v>
      </x:c>
      <x:c r="C706" s="19" t="str">
        <x:v>1. GRID14：加入恢复后的拓扑候选与后续费用</x:v>
      </x:c>
      <x:c r="D706" s="19" t="str">
        <x:v>训练周=2035-07-23_10；干预步=548</x:v>
      </x:c>
      <x:c r="E706" s="19" t="str">
        <x:v>整周费用降幅</x:v>
      </x:c>
      <x:c r="F706" s="19" t="str">
        <x:v>+0.0000%</x:v>
      </x:c>
      <x:c r="G706" s="19" t="str">
        <x:v>质量/成本</x:v>
      </x:c>
      <x:c r="H706" s="19" t="str">
        <x:v>D:/Codex/GRL研究/outputs/grid14/GRID14_review_zh.md</x:v>
      </x:c>
    </x:row>
    <x:row r="707" ht="36" customHeight="1">
      <x:c r="A707" s="19" t="str">
        <x:v>GRID14</x:v>
      </x:c>
      <x:c r="B707" s="19" t="str">
        <x:v>GRID14_review_zh.md</x:v>
      </x:c>
      <x:c r="C707" s="19" t="str">
        <x:v>1. GRID14：加入恢复后的拓扑候选与后续费用</x:v>
      </x:c>
      <x:c r="D707" s="19" t="str">
        <x:v>训练周=2035-10-29_15；干预步=100</x:v>
      </x:c>
      <x:c r="E707" s="19" t="str">
        <x:v>干预步</x:v>
      </x:c>
      <x:c r="F707" s="19" t="str">
        <x:v>100</x:v>
      </x:c>
      <x:c r="G707" s="19" t="str">
        <x:v>其他/配置</x:v>
      </x:c>
      <x:c r="H707" s="19" t="str">
        <x:v>D:/Codex/GRL研究/outputs/grid14/GRID14_review_zh.md</x:v>
      </x:c>
    </x:row>
    <x:row r="708" ht="36" customHeight="1">
      <x:c r="A708" s="19" t="str">
        <x:v>GRID14</x:v>
      </x:c>
      <x:c r="B708" s="19" t="str">
        <x:v>GRID14_review_zh.md</x:v>
      </x:c>
      <x:c r="C708" s="19" t="str">
        <x:v>1. GRID14：加入恢复后的拓扑候选与后续费用</x:v>
      </x:c>
      <x:c r="D708" s="19" t="str">
        <x:v>训练周=2035-10-29_15；干预步=100</x:v>
      </x:c>
      <x:c r="E708" s="19" t="str">
        <x:v>规则</x:v>
      </x:c>
      <x:c r="F708" s="19" t="str">
        <x:v>FINAL_COST</x:v>
      </x:c>
      <x:c r="G708" s="19" t="str">
        <x:v>其他/配置</x:v>
      </x:c>
      <x:c r="H708" s="19" t="str">
        <x:v>D:/Codex/GRL研究/outputs/grid14/GRID14_review_zh.md</x:v>
      </x:c>
    </x:row>
    <x:row r="709" ht="36" customHeight="1">
      <x:c r="A709" s="19" t="str">
        <x:v>GRID14</x:v>
      </x:c>
      <x:c r="B709" s="19" t="str">
        <x:v>GRID14_review_zh.md</x:v>
      </x:c>
      <x:c r="C709" s="19" t="str">
        <x:v>1. GRID14：加入恢复后的拓扑候选与后续费用</x:v>
      </x:c>
      <x:c r="D709" s="19" t="str">
        <x:v>训练周=2035-10-29_15；干预步=100</x:v>
      </x:c>
      <x:c r="E709" s="19" t="str">
        <x:v>完成：原/改</x:v>
      </x:c>
      <x:c r="F709" s="19" t="str">
        <x:v>True/True</x:v>
      </x:c>
      <x:c r="G709" s="19" t="str">
        <x:v>质量/成本</x:v>
      </x:c>
      <x:c r="H709" s="19" t="str">
        <x:v>D:/Codex/GRL研究/outputs/grid14/GRID14_review_zh.md</x:v>
      </x:c>
    </x:row>
    <x:row r="710" ht="36" customHeight="1">
      <x:c r="A710" s="19" t="str">
        <x:v>GRID14</x:v>
      </x:c>
      <x:c r="B710" s="19" t="str">
        <x:v>GRID14_review_zh.md</x:v>
      </x:c>
      <x:c r="C710" s="19" t="str">
        <x:v>1. GRID14：加入恢复后的拓扑候选与后续费用</x:v>
      </x:c>
      <x:c r="D710" s="19" t="str">
        <x:v>训练周=2035-10-29_15；干预步=100</x:v>
      </x:c>
      <x:c r="E710" s="19" t="str">
        <x:v>一步预测费用差</x:v>
      </x:c>
      <x:c r="F710" s="19" t="str">
        <x:v>-14.0348</x:v>
      </x:c>
      <x:c r="G710" s="19" t="str">
        <x:v>质量/成本</x:v>
      </x:c>
      <x:c r="H710" s="19" t="str">
        <x:v>D:/Codex/GRL研究/outputs/grid14/GRID14_review_zh.md</x:v>
      </x:c>
    </x:row>
    <x:row r="711" ht="36" customHeight="1">
      <x:c r="A711" s="19" t="str">
        <x:v>GRID14</x:v>
      </x:c>
      <x:c r="B711" s="19" t="str">
        <x:v>GRID14_review_zh.md</x:v>
      </x:c>
      <x:c r="C711" s="19" t="str">
        <x:v>1. GRID14：加入恢复后的拓扑候选与后续费用</x:v>
      </x:c>
      <x:c r="D711" s="19" t="str">
        <x:v>训练周=2035-10-29_15；干预步=100</x:v>
      </x:c>
      <x:c r="E711" s="19" t="str">
        <x:v>整周费用降幅</x:v>
      </x:c>
      <x:c r="F711" s="19" t="str">
        <x:v>+0.0209%</x:v>
      </x:c>
      <x:c r="G711" s="19" t="str">
        <x:v>质量/成本</x:v>
      </x:c>
      <x:c r="H711" s="19" t="str">
        <x:v>D:/Codex/GRL研究/outputs/grid14/GRID14_review_zh.md</x:v>
      </x:c>
    </x:row>
    <x:row r="712" ht="36" customHeight="1">
      <x:c r="A712" s="19" t="str">
        <x:v>GRID14</x:v>
      </x:c>
      <x:c r="B712" s="19" t="str">
        <x:v>GRID14_review_zh.md</x:v>
      </x:c>
      <x:c r="C712" s="19" t="str">
        <x:v>1. GRID14：加入恢复后的拓扑候选与后续费用</x:v>
      </x:c>
      <x:c r="D712" s="19" t="str">
        <x:v>训练周=2035-10-29_15；干预步=100</x:v>
      </x:c>
      <x:c r="E712" s="19" t="str">
        <x:v>干预步</x:v>
      </x:c>
      <x:c r="F712" s="19" t="str">
        <x:v>100</x:v>
      </x:c>
      <x:c r="G712" s="19" t="str">
        <x:v>其他/配置</x:v>
      </x:c>
      <x:c r="H712" s="19" t="str">
        <x:v>D:/Codex/GRL研究/outputs/grid14/GRID14_review_zh.md</x:v>
      </x:c>
    </x:row>
    <x:row r="713" ht="36" customHeight="1">
      <x:c r="A713" s="19" t="str">
        <x:v>GRID14</x:v>
      </x:c>
      <x:c r="B713" s="19" t="str">
        <x:v>GRID14_review_zh.md</x:v>
      </x:c>
      <x:c r="C713" s="19" t="str">
        <x:v>1. GRID14：加入恢复后的拓扑候选与后续费用</x:v>
      </x:c>
      <x:c r="D713" s="19" t="str">
        <x:v>训练周=2035-10-29_15；干预步=100</x:v>
      </x:c>
      <x:c r="E713" s="19" t="str">
        <x:v>规则</x:v>
      </x:c>
      <x:c r="F713" s="19" t="str">
        <x:v>FINAL_RHO</x:v>
      </x:c>
      <x:c r="G713" s="19" t="str">
        <x:v>其他/配置</x:v>
      </x:c>
      <x:c r="H713" s="19" t="str">
        <x:v>D:/Codex/GRL研究/outputs/grid14/GRID14_review_zh.md</x:v>
      </x:c>
    </x:row>
    <x:row r="714" ht="36" customHeight="1">
      <x:c r="A714" s="19" t="str">
        <x:v>GRID14</x:v>
      </x:c>
      <x:c r="B714" s="19" t="str">
        <x:v>GRID14_review_zh.md</x:v>
      </x:c>
      <x:c r="C714" s="19" t="str">
        <x:v>1. GRID14：加入恢复后的拓扑候选与后续费用</x:v>
      </x:c>
      <x:c r="D714" s="19" t="str">
        <x:v>训练周=2035-10-29_15；干预步=100</x:v>
      </x:c>
      <x:c r="E714" s="19" t="str">
        <x:v>完成：原/改</x:v>
      </x:c>
      <x:c r="F714" s="19" t="str">
        <x:v>True/True</x:v>
      </x:c>
      <x:c r="G714" s="19" t="str">
        <x:v>质量/成本</x:v>
      </x:c>
      <x:c r="H714" s="19" t="str">
        <x:v>D:/Codex/GRL研究/outputs/grid14/GRID14_review_zh.md</x:v>
      </x:c>
    </x:row>
    <x:row r="715" ht="36" customHeight="1">
      <x:c r="A715" s="19" t="str">
        <x:v>GRID14</x:v>
      </x:c>
      <x:c r="B715" s="19" t="str">
        <x:v>GRID14_review_zh.md</x:v>
      </x:c>
      <x:c r="C715" s="19" t="str">
        <x:v>1. GRID14：加入恢复后的拓扑候选与后续费用</x:v>
      </x:c>
      <x:c r="D715" s="19" t="str">
        <x:v>训练周=2035-10-29_15；干预步=100</x:v>
      </x:c>
      <x:c r="E715" s="19" t="str">
        <x:v>一步预测费用差</x:v>
      </x:c>
      <x:c r="F715" s="19" t="str">
        <x:v>+0.0000</x:v>
      </x:c>
      <x:c r="G715" s="19" t="str">
        <x:v>质量/成本</x:v>
      </x:c>
      <x:c r="H715" s="19" t="str">
        <x:v>D:/Codex/GRL研究/outputs/grid14/GRID14_review_zh.md</x:v>
      </x:c>
    </x:row>
    <x:row r="716" ht="36" customHeight="1">
      <x:c r="A716" s="19" t="str">
        <x:v>GRID14</x:v>
      </x:c>
      <x:c r="B716" s="19" t="str">
        <x:v>GRID14_review_zh.md</x:v>
      </x:c>
      <x:c r="C716" s="19" t="str">
        <x:v>1. GRID14：加入恢复后的拓扑候选与后续费用</x:v>
      </x:c>
      <x:c r="D716" s="19" t="str">
        <x:v>训练周=2035-10-29_15；干预步=100</x:v>
      </x:c>
      <x:c r="E716" s="19" t="str">
        <x:v>整周费用降幅</x:v>
      </x:c>
      <x:c r="F716" s="19" t="str">
        <x:v>+0.0000%</x:v>
      </x:c>
      <x:c r="G716" s="19" t="str">
        <x:v>质量/成本</x:v>
      </x:c>
      <x:c r="H716" s="19" t="str">
        <x:v>D:/Codex/GRL研究/outputs/grid14/GRID14_review_zh.md</x:v>
      </x:c>
    </x:row>
    <x:row r="717" ht="36" customHeight="1">
      <x:c r="A717" s="19" t="str">
        <x:v>GRID15</x:v>
      </x:c>
      <x:c r="B717" s="19" t="str">
        <x:v>GRID15_report.md</x:v>
      </x:c>
      <x:c r="C717" s="19" t="str">
        <x:v>1. 冻结裁决</x:v>
      </x:c>
      <x:c r="D717" s="19" t="str">
        <x:v>规则=ALL；平均候选=894.8</x:v>
      </x:c>
      <x:c r="E717" s="19" t="str">
        <x:v>平均候选</x:v>
      </x:c>
      <x:c r="F717" s="19" t="str">
        <x:v>894.8</x:v>
      </x:c>
      <x:c r="G717" s="19" t="str">
        <x:v>其他/配置</x:v>
      </x:c>
      <x:c r="H717" s="19" t="str">
        <x:v>D:/Codex/GRL研究/outputs/grid15/GRID15_report.md</x:v>
      </x:c>
    </x:row>
    <x:row r="718" ht="36" customHeight="1">
      <x:c r="A718" s="19" t="str">
        <x:v>GRID15</x:v>
      </x:c>
      <x:c r="B718" s="19" t="str">
        <x:v>GRID15_report.md</x:v>
      </x:c>
      <x:c r="C718" s="19" t="str">
        <x:v>1. 冻结裁决</x:v>
      </x:c>
      <x:c r="D718" s="19" t="str">
        <x:v>规则=ALL；平均候选=894.8</x:v>
      </x:c>
      <x:c r="E718" s="19" t="str">
        <x:v>与完整池最优ρ差≤0.01</x:v>
      </x:c>
      <x:c r="F718" s="19" t="str">
        <x:v>100.0%</x:v>
      </x:c>
      <x:c r="G718" s="19" t="str">
        <x:v>质量/成本</x:v>
      </x:c>
      <x:c r="H718" s="19" t="str">
        <x:v>D:/Codex/GRL研究/outputs/grid15/GRID15_report.md</x:v>
      </x:c>
    </x:row>
    <x:row r="719" ht="36" customHeight="1">
      <x:c r="A719" s="19" t="str">
        <x:v>GRID15</x:v>
      </x:c>
      <x:c r="B719" s="19" t="str">
        <x:v>GRID15_report.md</x:v>
      </x:c>
      <x:c r="C719" s="19" t="str">
        <x:v>1. 冻结裁决</x:v>
      </x:c>
      <x:c r="D719" s="19" t="str">
        <x:v>规则=ALL；平均候选=894.8</x:v>
      </x:c>
      <x:c r="E719" s="19" t="str">
        <x:v>丢失全部合格候选的状态</x:v>
      </x:c>
      <x:c r="F719" s="19" t="str">
        <x:v>0</x:v>
      </x:c>
      <x:c r="G719" s="19" t="str">
        <x:v>其他/配置</x:v>
      </x:c>
      <x:c r="H719" s="19" t="str">
        <x:v>D:/Codex/GRL研究/outputs/grid15/GRID15_report.md</x:v>
      </x:c>
    </x:row>
    <x:row r="720" ht="36" customHeight="1">
      <x:c r="A720" s="19" t="str">
        <x:v>GRID15</x:v>
      </x:c>
      <x:c r="B720" s="19" t="str">
        <x:v>GRID15_report.md</x:v>
      </x:c>
      <x:c r="C720" s="19" t="str">
        <x:v>1. 冻结裁决</x:v>
      </x:c>
      <x:c r="D720" s="19" t="str">
        <x:v>规则=ALL；平均候选=894.8</x:v>
      </x:c>
      <x:c r="E720" s="19" t="str">
        <x:v>减少源搜索调用</x:v>
      </x:c>
      <x:c r="F720" s="19" t="str">
        <x:v>0.0%</x:v>
      </x:c>
      <x:c r="G720" s="19" t="str">
        <x:v>速度/计算</x:v>
      </x:c>
      <x:c r="H720" s="19" t="str">
        <x:v>D:/Codex/GRL研究/outputs/grid15/GRID15_report.md</x:v>
      </x:c>
    </x:row>
    <x:row r="721" ht="36" customHeight="1">
      <x:c r="A721" s="19" t="str">
        <x:v>GRID15</x:v>
      </x:c>
      <x:c r="B721" s="19" t="str">
        <x:v>GRID15_report.md</x:v>
      </x:c>
      <x:c r="C721" s="19" t="str">
        <x:v>1. 冻结裁决</x:v>
      </x:c>
      <x:c r="D721" s="19" t="str">
        <x:v>规则=ZONE；平均候选=336.5</x:v>
      </x:c>
      <x:c r="E721" s="19" t="str">
        <x:v>平均候选</x:v>
      </x:c>
      <x:c r="F721" s="19" t="str">
        <x:v>336.5</x:v>
      </x:c>
      <x:c r="G721" s="19" t="str">
        <x:v>其他/配置</x:v>
      </x:c>
      <x:c r="H721" s="19" t="str">
        <x:v>D:/Codex/GRL研究/outputs/grid15/GRID15_report.md</x:v>
      </x:c>
    </x:row>
    <x:row r="722" ht="36" customHeight="1">
      <x:c r="A722" s="19" t="str">
        <x:v>GRID15</x:v>
      </x:c>
      <x:c r="B722" s="19" t="str">
        <x:v>GRID15_report.md</x:v>
      </x:c>
      <x:c r="C722" s="19" t="str">
        <x:v>1. 冻结裁决</x:v>
      </x:c>
      <x:c r="D722" s="19" t="str">
        <x:v>规则=ZONE；平均候选=336.5</x:v>
      </x:c>
      <x:c r="E722" s="19" t="str">
        <x:v>与完整池最优ρ差≤0.01</x:v>
      </x:c>
      <x:c r="F722" s="19" t="str">
        <x:v>78.3%</x:v>
      </x:c>
      <x:c r="G722" s="19" t="str">
        <x:v>质量/成本</x:v>
      </x:c>
      <x:c r="H722" s="19" t="str">
        <x:v>D:/Codex/GRL研究/outputs/grid15/GRID15_report.md</x:v>
      </x:c>
    </x:row>
    <x:row r="723" ht="36" customHeight="1">
      <x:c r="A723" s="19" t="str">
        <x:v>GRID15</x:v>
      </x:c>
      <x:c r="B723" s="19" t="str">
        <x:v>GRID15_report.md</x:v>
      </x:c>
      <x:c r="C723" s="19" t="str">
        <x:v>1. 冻结裁决</x:v>
      </x:c>
      <x:c r="D723" s="19" t="str">
        <x:v>规则=ZONE；平均候选=336.5</x:v>
      </x:c>
      <x:c r="E723" s="19" t="str">
        <x:v>丢失全部合格候选的状态</x:v>
      </x:c>
      <x:c r="F723" s="19" t="str">
        <x:v>0</x:v>
      </x:c>
      <x:c r="G723" s="19" t="str">
        <x:v>其他/配置</x:v>
      </x:c>
      <x:c r="H723" s="19" t="str">
        <x:v>D:/Codex/GRL研究/outputs/grid15/GRID15_report.md</x:v>
      </x:c>
    </x:row>
    <x:row r="724" ht="36" customHeight="1">
      <x:c r="A724" s="19" t="str">
        <x:v>GRID15</x:v>
      </x:c>
      <x:c r="B724" s="19" t="str">
        <x:v>GRID15_report.md</x:v>
      </x:c>
      <x:c r="C724" s="19" t="str">
        <x:v>1. 冻结裁决</x:v>
      </x:c>
      <x:c r="D724" s="19" t="str">
        <x:v>规则=ZONE；平均候选=336.5</x:v>
      </x:c>
      <x:c r="E724" s="19" t="str">
        <x:v>减少源搜索调用</x:v>
      </x:c>
      <x:c r="F724" s="19" t="str">
        <x:v>62.4%</x:v>
      </x:c>
      <x:c r="G724" s="19" t="str">
        <x:v>速度/计算</x:v>
      </x:c>
      <x:c r="H724" s="19" t="str">
        <x:v>D:/Codex/GRL研究/outputs/grid15/GRID15_report.md</x:v>
      </x:c>
    </x:row>
    <x:row r="725" ht="36" customHeight="1">
      <x:c r="A725" s="19" t="str">
        <x:v>GRID15</x:v>
      </x:c>
      <x:c r="B725" s="19" t="str">
        <x:v>GRID15_report.md</x:v>
      </x:c>
      <x:c r="C725" s="19" t="str">
        <x:v>1. 冻结裁决</x:v>
      </x:c>
      <x:c r="D725" s="19" t="str">
        <x:v>规则=LOCAL32；平均候选=32.0</x:v>
      </x:c>
      <x:c r="E725" s="19" t="str">
        <x:v>平均候选</x:v>
      </x:c>
      <x:c r="F725" s="19" t="str">
        <x:v>32.0</x:v>
      </x:c>
      <x:c r="G725" s="19" t="str">
        <x:v>其他/配置</x:v>
      </x:c>
      <x:c r="H725" s="19" t="str">
        <x:v>D:/Codex/GRL研究/outputs/grid15/GRID15_report.md</x:v>
      </x:c>
    </x:row>
    <x:row r="726" ht="36" customHeight="1">
      <x:c r="A726" s="19" t="str">
        <x:v>GRID15</x:v>
      </x:c>
      <x:c r="B726" s="19" t="str">
        <x:v>GRID15_report.md</x:v>
      </x:c>
      <x:c r="C726" s="19" t="str">
        <x:v>1. 冻结裁决</x:v>
      </x:c>
      <x:c r="D726" s="19" t="str">
        <x:v>规则=LOCAL32；平均候选=32.0</x:v>
      </x:c>
      <x:c r="E726" s="19" t="str">
        <x:v>与完整池最优ρ差≤0.01</x:v>
      </x:c>
      <x:c r="F726" s="19" t="str">
        <x:v>52.2%</x:v>
      </x:c>
      <x:c r="G726" s="19" t="str">
        <x:v>质量/成本</x:v>
      </x:c>
      <x:c r="H726" s="19" t="str">
        <x:v>D:/Codex/GRL研究/outputs/grid15/GRID15_report.md</x:v>
      </x:c>
    </x:row>
    <x:row r="727" ht="36" customHeight="1">
      <x:c r="A727" s="19" t="str">
        <x:v>GRID15</x:v>
      </x:c>
      <x:c r="B727" s="19" t="str">
        <x:v>GRID15_report.md</x:v>
      </x:c>
      <x:c r="C727" s="19" t="str">
        <x:v>1. 冻结裁决</x:v>
      </x:c>
      <x:c r="D727" s="19" t="str">
        <x:v>规则=LOCAL32；平均候选=32.0</x:v>
      </x:c>
      <x:c r="E727" s="19" t="str">
        <x:v>丢失全部合格候选的状态</x:v>
      </x:c>
      <x:c r="F727" s="19" t="str">
        <x:v>1</x:v>
      </x:c>
      <x:c r="G727" s="19" t="str">
        <x:v>其他/配置</x:v>
      </x:c>
      <x:c r="H727" s="19" t="str">
        <x:v>D:/Codex/GRL研究/outputs/grid15/GRID15_report.md</x:v>
      </x:c>
    </x:row>
    <x:row r="728" ht="36" customHeight="1">
      <x:c r="A728" s="19" t="str">
        <x:v>GRID15</x:v>
      </x:c>
      <x:c r="B728" s="19" t="str">
        <x:v>GRID15_report.md</x:v>
      </x:c>
      <x:c r="C728" s="19" t="str">
        <x:v>1. 冻结裁决</x:v>
      </x:c>
      <x:c r="D728" s="19" t="str">
        <x:v>规则=LOCAL32；平均候选=32.0</x:v>
      </x:c>
      <x:c r="E728" s="19" t="str">
        <x:v>减少源搜索调用</x:v>
      </x:c>
      <x:c r="F728" s="19" t="str">
        <x:v>96.4%</x:v>
      </x:c>
      <x:c r="G728" s="19" t="str">
        <x:v>速度/计算</x:v>
      </x:c>
      <x:c r="H728" s="19" t="str">
        <x:v>D:/Codex/GRL研究/outputs/grid15/GRID15_report.md</x:v>
      </x:c>
    </x:row>
    <x:row r="729" ht="36" customHeight="1">
      <x:c r="A729" s="19" t="str">
        <x:v>GRID15</x:v>
      </x:c>
      <x:c r="B729" s="19" t="str">
        <x:v>GRID15_report.md</x:v>
      </x:c>
      <x:c r="C729" s="19" t="str">
        <x:v>1. 冻结裁决</x:v>
      </x:c>
      <x:c r="D729" s="19" t="str">
        <x:v>规则=LOCAL128；平均候选=128.0</x:v>
      </x:c>
      <x:c r="E729" s="19" t="str">
        <x:v>平均候选</x:v>
      </x:c>
      <x:c r="F729" s="19" t="str">
        <x:v>128.0</x:v>
      </x:c>
      <x:c r="G729" s="19" t="str">
        <x:v>其他/配置</x:v>
      </x:c>
      <x:c r="H729" s="19" t="str">
        <x:v>D:/Codex/GRL研究/outputs/grid15/GRID15_report.md</x:v>
      </x:c>
    </x:row>
    <x:row r="730" ht="36" customHeight="1">
      <x:c r="A730" s="19" t="str">
        <x:v>GRID15</x:v>
      </x:c>
      <x:c r="B730" s="19" t="str">
        <x:v>GRID15_report.md</x:v>
      </x:c>
      <x:c r="C730" s="19" t="str">
        <x:v>1. 冻结裁决</x:v>
      </x:c>
      <x:c r="D730" s="19" t="str">
        <x:v>规则=LOCAL128；平均候选=128.0</x:v>
      </x:c>
      <x:c r="E730" s="19" t="str">
        <x:v>与完整池最优ρ差≤0.01</x:v>
      </x:c>
      <x:c r="F730" s="19" t="str">
        <x:v>73.9%</x:v>
      </x:c>
      <x:c r="G730" s="19" t="str">
        <x:v>质量/成本</x:v>
      </x:c>
      <x:c r="H730" s="19" t="str">
        <x:v>D:/Codex/GRL研究/outputs/grid15/GRID15_report.md</x:v>
      </x:c>
    </x:row>
    <x:row r="731" ht="36" customHeight="1">
      <x:c r="A731" s="19" t="str">
        <x:v>GRID15</x:v>
      </x:c>
      <x:c r="B731" s="19" t="str">
        <x:v>GRID15_report.md</x:v>
      </x:c>
      <x:c r="C731" s="19" t="str">
        <x:v>1. 冻结裁决</x:v>
      </x:c>
      <x:c r="D731" s="19" t="str">
        <x:v>规则=LOCAL128；平均候选=128.0</x:v>
      </x:c>
      <x:c r="E731" s="19" t="str">
        <x:v>丢失全部合格候选的状态</x:v>
      </x:c>
      <x:c r="F731" s="19" t="str">
        <x:v>0</x:v>
      </x:c>
      <x:c r="G731" s="19" t="str">
        <x:v>其他/配置</x:v>
      </x:c>
      <x:c r="H731" s="19" t="str">
        <x:v>D:/Codex/GRL研究/outputs/grid15/GRID15_report.md</x:v>
      </x:c>
    </x:row>
    <x:row r="732" ht="36" customHeight="1">
      <x:c r="A732" s="19" t="str">
        <x:v>GRID15</x:v>
      </x:c>
      <x:c r="B732" s="19" t="str">
        <x:v>GRID15_report.md</x:v>
      </x:c>
      <x:c r="C732" s="19" t="str">
        <x:v>1. 冻结裁决</x:v>
      </x:c>
      <x:c r="D732" s="19" t="str">
        <x:v>规则=LOCAL128；平均候选=128.0</x:v>
      </x:c>
      <x:c r="E732" s="19" t="str">
        <x:v>减少源搜索调用</x:v>
      </x:c>
      <x:c r="F732" s="19" t="str">
        <x:v>85.7%</x:v>
      </x:c>
      <x:c r="G732" s="19" t="str">
        <x:v>速度/计算</x:v>
      </x:c>
      <x:c r="H732" s="19" t="str">
        <x:v>D:/Codex/GRL研究/outputs/grid15/GRID15_report.md</x:v>
      </x:c>
    </x:row>
    <x:row r="733" ht="36" customHeight="1">
      <x:c r="A733" s="19" t="str">
        <x:v>GRID15</x:v>
      </x:c>
      <x:c r="B733" s="19" t="str">
        <x:v>GRID15_report.md</x:v>
      </x:c>
      <x:c r="C733" s="19" t="str">
        <x:v>1. 冻结裁决</x:v>
      </x:c>
      <x:c r="D733" s="19" t="str">
        <x:v>规则=RANDOM32；平均候选=32.0</x:v>
      </x:c>
      <x:c r="E733" s="19" t="str">
        <x:v>平均候选</x:v>
      </x:c>
      <x:c r="F733" s="19" t="str">
        <x:v>32.0</x:v>
      </x:c>
      <x:c r="G733" s="19" t="str">
        <x:v>其他/配置</x:v>
      </x:c>
      <x:c r="H733" s="19" t="str">
        <x:v>D:/Codex/GRL研究/outputs/grid15/GRID15_report.md</x:v>
      </x:c>
    </x:row>
    <x:row r="734" ht="36" customHeight="1">
      <x:c r="A734" s="19" t="str">
        <x:v>GRID15</x:v>
      </x:c>
      <x:c r="B734" s="19" t="str">
        <x:v>GRID15_report.md</x:v>
      </x:c>
      <x:c r="C734" s="19" t="str">
        <x:v>1. 冻结裁决</x:v>
      </x:c>
      <x:c r="D734" s="19" t="str">
        <x:v>规则=RANDOM32；平均候选=32.0</x:v>
      </x:c>
      <x:c r="E734" s="19" t="str">
        <x:v>与完整池最优ρ差≤0.01</x:v>
      </x:c>
      <x:c r="F734" s="19" t="str">
        <x:v>39.1%</x:v>
      </x:c>
      <x:c r="G734" s="19" t="str">
        <x:v>质量/成本</x:v>
      </x:c>
      <x:c r="H734" s="19" t="str">
        <x:v>D:/Codex/GRL研究/outputs/grid15/GRID15_report.md</x:v>
      </x:c>
    </x:row>
    <x:row r="735" ht="36" customHeight="1">
      <x:c r="A735" s="19" t="str">
        <x:v>GRID15</x:v>
      </x:c>
      <x:c r="B735" s="19" t="str">
        <x:v>GRID15_report.md</x:v>
      </x:c>
      <x:c r="C735" s="19" t="str">
        <x:v>1. 冻结裁决</x:v>
      </x:c>
      <x:c r="D735" s="19" t="str">
        <x:v>规则=RANDOM32；平均候选=32.0</x:v>
      </x:c>
      <x:c r="E735" s="19" t="str">
        <x:v>丢失全部合格候选的状态</x:v>
      </x:c>
      <x:c r="F735" s="19" t="str">
        <x:v>4</x:v>
      </x:c>
      <x:c r="G735" s="19" t="str">
        <x:v>其他/配置</x:v>
      </x:c>
      <x:c r="H735" s="19" t="str">
        <x:v>D:/Codex/GRL研究/outputs/grid15/GRID15_report.md</x:v>
      </x:c>
    </x:row>
    <x:row r="736" ht="36" customHeight="1">
      <x:c r="A736" s="19" t="str">
        <x:v>GRID15</x:v>
      </x:c>
      <x:c r="B736" s="19" t="str">
        <x:v>GRID15_report.md</x:v>
      </x:c>
      <x:c r="C736" s="19" t="str">
        <x:v>1. 冻结裁决</x:v>
      </x:c>
      <x:c r="D736" s="19" t="str">
        <x:v>规则=RANDOM32；平均候选=32.0</x:v>
      </x:c>
      <x:c r="E736" s="19" t="str">
        <x:v>减少源搜索调用</x:v>
      </x:c>
      <x:c r="F736" s="19" t="str">
        <x:v>96.4%</x:v>
      </x:c>
      <x:c r="G736" s="19" t="str">
        <x:v>速度/计算</x:v>
      </x:c>
      <x:c r="H736" s="19" t="str">
        <x:v>D:/Codex/GRL研究/outputs/grid15/GRID15_report.md</x:v>
      </x:c>
    </x:row>
    <x:row r="737" ht="36" customHeight="1">
      <x:c r="A737" s="19" t="str">
        <x:v>GRID15</x:v>
      </x:c>
      <x:c r="B737" s="19" t="str">
        <x:v>GRID15_report.md</x:v>
      </x:c>
      <x:c r="C737" s="19" t="str">
        <x:v>1. 冻结裁决</x:v>
      </x:c>
      <x:c r="D737" s="19" t="str">
        <x:v>规则=RANDOM128；平均候选=128.0</x:v>
      </x:c>
      <x:c r="E737" s="19" t="str">
        <x:v>平均候选</x:v>
      </x:c>
      <x:c r="F737" s="19" t="str">
        <x:v>128.0</x:v>
      </x:c>
      <x:c r="G737" s="19" t="str">
        <x:v>其他/配置</x:v>
      </x:c>
      <x:c r="H737" s="19" t="str">
        <x:v>D:/Codex/GRL研究/outputs/grid15/GRID15_report.md</x:v>
      </x:c>
    </x:row>
    <x:row r="738" ht="36" customHeight="1">
      <x:c r="A738" s="19" t="str">
        <x:v>GRID15</x:v>
      </x:c>
      <x:c r="B738" s="19" t="str">
        <x:v>GRID15_report.md</x:v>
      </x:c>
      <x:c r="C738" s="19" t="str">
        <x:v>1. 冻结裁决</x:v>
      </x:c>
      <x:c r="D738" s="19" t="str">
        <x:v>规则=RANDOM128；平均候选=128.0</x:v>
      </x:c>
      <x:c r="E738" s="19" t="str">
        <x:v>与完整池最优ρ差≤0.01</x:v>
      </x:c>
      <x:c r="F738" s="19" t="str">
        <x:v>56.5%</x:v>
      </x:c>
      <x:c r="G738" s="19" t="str">
        <x:v>质量/成本</x:v>
      </x:c>
      <x:c r="H738" s="19" t="str">
        <x:v>D:/Codex/GRL研究/outputs/grid15/GRID15_report.md</x:v>
      </x:c>
    </x:row>
    <x:row r="739" ht="36" customHeight="1">
      <x:c r="A739" s="19" t="str">
        <x:v>GRID15</x:v>
      </x:c>
      <x:c r="B739" s="19" t="str">
        <x:v>GRID15_report.md</x:v>
      </x:c>
      <x:c r="C739" s="19" t="str">
        <x:v>1. 冻结裁决</x:v>
      </x:c>
      <x:c r="D739" s="19" t="str">
        <x:v>规则=RANDOM128；平均候选=128.0</x:v>
      </x:c>
      <x:c r="E739" s="19" t="str">
        <x:v>丢失全部合格候选的状态</x:v>
      </x:c>
      <x:c r="F739" s="19" t="str">
        <x:v>0</x:v>
      </x:c>
      <x:c r="G739" s="19" t="str">
        <x:v>其他/配置</x:v>
      </x:c>
      <x:c r="H739" s="19" t="str">
        <x:v>D:/Codex/GRL研究/outputs/grid15/GRID15_report.md</x:v>
      </x:c>
    </x:row>
    <x:row r="740" ht="36" customHeight="1">
      <x:c r="A740" s="19" t="str">
        <x:v>GRID15</x:v>
      </x:c>
      <x:c r="B740" s="19" t="str">
        <x:v>GRID15_report.md</x:v>
      </x:c>
      <x:c r="C740" s="19" t="str">
        <x:v>1. 冻结裁决</x:v>
      </x:c>
      <x:c r="D740" s="19" t="str">
        <x:v>规则=RANDOM128；平均候选=128.0</x:v>
      </x:c>
      <x:c r="E740" s="19" t="str">
        <x:v>减少源搜索调用</x:v>
      </x:c>
      <x:c r="F740" s="19" t="str">
        <x:v>85.7%</x:v>
      </x:c>
      <x:c r="G740" s="19" t="str">
        <x:v>速度/计算</x:v>
      </x:c>
      <x:c r="H740" s="19" t="str">
        <x:v>D:/Codex/GRL研究/outputs/grid15/GRID15_report.md</x:v>
      </x:c>
    </x:row>
    <x:row r="741" ht="36" customHeight="1">
      <x:c r="A741" s="19" t="str">
        <x:v>GRID15</x:v>
      </x:c>
      <x:c r="B741" s="19" t="str">
        <x:v>GRID15_report.md</x:v>
      </x:c>
      <x:c r="C741" s="19" t="str">
        <x:v>1. 冻结裁决</x:v>
      </x:c>
      <x:c r="D741" s="19" t="str">
        <x:v>规则=PREFIX32；平均候选=32.0</x:v>
      </x:c>
      <x:c r="E741" s="19" t="str">
        <x:v>平均候选</x:v>
      </x:c>
      <x:c r="F741" s="19" t="str">
        <x:v>32.0</x:v>
      </x:c>
      <x:c r="G741" s="19" t="str">
        <x:v>其他/配置</x:v>
      </x:c>
      <x:c r="H741" s="19" t="str">
        <x:v>D:/Codex/GRL研究/outputs/grid15/GRID15_report.md</x:v>
      </x:c>
    </x:row>
    <x:row r="742" ht="36" customHeight="1">
      <x:c r="A742" s="19" t="str">
        <x:v>GRID15</x:v>
      </x:c>
      <x:c r="B742" s="19" t="str">
        <x:v>GRID15_report.md</x:v>
      </x:c>
      <x:c r="C742" s="19" t="str">
        <x:v>1. 冻结裁决</x:v>
      </x:c>
      <x:c r="D742" s="19" t="str">
        <x:v>规则=PREFIX32；平均候选=32.0</x:v>
      </x:c>
      <x:c r="E742" s="19" t="str">
        <x:v>与完整池最优ρ差≤0.01</x:v>
      </x:c>
      <x:c r="F742" s="19" t="str">
        <x:v>52.2%</x:v>
      </x:c>
      <x:c r="G742" s="19" t="str">
        <x:v>质量/成本</x:v>
      </x:c>
      <x:c r="H742" s="19" t="str">
        <x:v>D:/Codex/GRL研究/outputs/grid15/GRID15_report.md</x:v>
      </x:c>
    </x:row>
    <x:row r="743" ht="36" customHeight="1">
      <x:c r="A743" s="19" t="str">
        <x:v>GRID15</x:v>
      </x:c>
      <x:c r="B743" s="19" t="str">
        <x:v>GRID15_report.md</x:v>
      </x:c>
      <x:c r="C743" s="19" t="str">
        <x:v>1. 冻结裁决</x:v>
      </x:c>
      <x:c r="D743" s="19" t="str">
        <x:v>规则=PREFIX32；平均候选=32.0</x:v>
      </x:c>
      <x:c r="E743" s="19" t="str">
        <x:v>丢失全部合格候选的状态</x:v>
      </x:c>
      <x:c r="F743" s="19" t="str">
        <x:v>3</x:v>
      </x:c>
      <x:c r="G743" s="19" t="str">
        <x:v>其他/配置</x:v>
      </x:c>
      <x:c r="H743" s="19" t="str">
        <x:v>D:/Codex/GRL研究/outputs/grid15/GRID15_report.md</x:v>
      </x:c>
    </x:row>
    <x:row r="744" ht="36" customHeight="1">
      <x:c r="A744" s="19" t="str">
        <x:v>GRID15</x:v>
      </x:c>
      <x:c r="B744" s="19" t="str">
        <x:v>GRID15_report.md</x:v>
      </x:c>
      <x:c r="C744" s="19" t="str">
        <x:v>1. 冻结裁决</x:v>
      </x:c>
      <x:c r="D744" s="19" t="str">
        <x:v>规则=PREFIX32；平均候选=32.0</x:v>
      </x:c>
      <x:c r="E744" s="19" t="str">
        <x:v>减少源搜索调用</x:v>
      </x:c>
      <x:c r="F744" s="19" t="str">
        <x:v>96.4%</x:v>
      </x:c>
      <x:c r="G744" s="19" t="str">
        <x:v>速度/计算</x:v>
      </x:c>
      <x:c r="H744" s="19" t="str">
        <x:v>D:/Codex/GRL研究/outputs/grid15/GRID15_report.md</x:v>
      </x:c>
    </x:row>
    <x:row r="745" ht="36" customHeight="1">
      <x:c r="A745" s="19" t="str">
        <x:v>GRID15</x:v>
      </x:c>
      <x:c r="B745" s="19" t="str">
        <x:v>GRID15_report.md</x:v>
      </x:c>
      <x:c r="C745" s="19" t="str">
        <x:v>1. 冻结裁决</x:v>
      </x:c>
      <x:c r="D745" s="19" t="str">
        <x:v>规则=PREFIX128；平均候选=128.0</x:v>
      </x:c>
      <x:c r="E745" s="19" t="str">
        <x:v>平均候选</x:v>
      </x:c>
      <x:c r="F745" s="19" t="str">
        <x:v>128.0</x:v>
      </x:c>
      <x:c r="G745" s="19" t="str">
        <x:v>其他/配置</x:v>
      </x:c>
      <x:c r="H745" s="19" t="str">
        <x:v>D:/Codex/GRL研究/outputs/grid15/GRID15_report.md</x:v>
      </x:c>
    </x:row>
    <x:row r="746" ht="36" customHeight="1">
      <x:c r="A746" s="19" t="str">
        <x:v>GRID15</x:v>
      </x:c>
      <x:c r="B746" s="19" t="str">
        <x:v>GRID15_report.md</x:v>
      </x:c>
      <x:c r="C746" s="19" t="str">
        <x:v>1. 冻结裁决</x:v>
      </x:c>
      <x:c r="D746" s="19" t="str">
        <x:v>规则=PREFIX128；平均候选=128.0</x:v>
      </x:c>
      <x:c r="E746" s="19" t="str">
        <x:v>与完整池最优ρ差≤0.01</x:v>
      </x:c>
      <x:c r="F746" s="19" t="str">
        <x:v>69.6%</x:v>
      </x:c>
      <x:c r="G746" s="19" t="str">
        <x:v>质量/成本</x:v>
      </x:c>
      <x:c r="H746" s="19" t="str">
        <x:v>D:/Codex/GRL研究/outputs/grid15/GRID15_report.md</x:v>
      </x:c>
    </x:row>
    <x:row r="747" ht="36" customHeight="1">
      <x:c r="A747" s="19" t="str">
        <x:v>GRID15</x:v>
      </x:c>
      <x:c r="B747" s="19" t="str">
        <x:v>GRID15_report.md</x:v>
      </x:c>
      <x:c r="C747" s="19" t="str">
        <x:v>1. 冻结裁决</x:v>
      </x:c>
      <x:c r="D747" s="19" t="str">
        <x:v>规则=PREFIX128；平均候选=128.0</x:v>
      </x:c>
      <x:c r="E747" s="19" t="str">
        <x:v>丢失全部合格候选的状态</x:v>
      </x:c>
      <x:c r="F747" s="19" t="str">
        <x:v>0</x:v>
      </x:c>
      <x:c r="G747" s="19" t="str">
        <x:v>其他/配置</x:v>
      </x:c>
      <x:c r="H747" s="19" t="str">
        <x:v>D:/Codex/GRL研究/outputs/grid15/GRID15_report.md</x:v>
      </x:c>
    </x:row>
    <x:row r="748" ht="36" customHeight="1">
      <x:c r="A748" s="19" t="str">
        <x:v>GRID15</x:v>
      </x:c>
      <x:c r="B748" s="19" t="str">
        <x:v>GRID15_report.md</x:v>
      </x:c>
      <x:c r="C748" s="19" t="str">
        <x:v>1. 冻结裁决</x:v>
      </x:c>
      <x:c r="D748" s="19" t="str">
        <x:v>规则=PREFIX128；平均候选=128.0</x:v>
      </x:c>
      <x:c r="E748" s="19" t="str">
        <x:v>减少源搜索调用</x:v>
      </x:c>
      <x:c r="F748" s="19" t="str">
        <x:v>85.7%</x:v>
      </x:c>
      <x:c r="G748" s="19" t="str">
        <x:v>速度/计算</x:v>
      </x:c>
      <x:c r="H748" s="19" t="str">
        <x:v>D:/Codex/GRL研究/outputs/grid15/GRID15_report.md</x:v>
      </x:c>
    </x:row>
    <x:row r="749" ht="36" customHeight="1">
      <x:c r="A749" s="19" t="str">
        <x:v>GRID15</x:v>
      </x:c>
      <x:c r="B749" s="19" t="str">
        <x:v>GRID15_report.md</x:v>
      </x:c>
      <x:c r="C749" s="19" t="str">
        <x:v>2. 冻结裁决</x:v>
      </x:c>
      <x:c r="D749" s="19" t="str">
        <x:v>训练周=2035-01-29_4；N1 预测秒=19.13</x:v>
      </x:c>
      <x:c r="E749" s="19" t="str">
        <x:v>N1 预测秒</x:v>
      </x:c>
      <x:c r="F749" s="19" t="str">
        <x:v>19.13</x:v>
      </x:c>
      <x:c r="G749" s="19" t="str">
        <x:v>速度/计算</x:v>
      </x:c>
      <x:c r="H749" s="19" t="str">
        <x:v>D:/Codex/GRL研究/outputs/grid15/GRID15_report.md</x:v>
      </x:c>
    </x:row>
    <x:row r="750" ht="36" customHeight="1">
      <x:c r="A750" s="19" t="str">
        <x:v>GRID15</x:v>
      </x:c>
      <x:c r="B750" s="19" t="str">
        <x:v>GRID15_report.md</x:v>
      </x:c>
      <x:c r="C750" s="19" t="str">
        <x:v>2. 冻结裁决</x:v>
      </x:c>
      <x:c r="D750" s="19" t="str">
        <x:v>训练周=2035-01-29_4；N1 预测秒=19.13</x:v>
      </x:c>
      <x:c r="E750" s="19" t="str">
        <x:v>全控制决策秒（含记录器）</x:v>
      </x:c>
      <x:c r="F750" s="19" t="str">
        <x:v>164.25</x:v>
      </x:c>
      <x:c r="G750" s="19" t="str">
        <x:v>速度/计算</x:v>
      </x:c>
      <x:c r="H750" s="19" t="str">
        <x:v>D:/Codex/GRL研究/outputs/grid15/GRID15_report.md</x:v>
      </x:c>
    </x:row>
    <x:row r="751" ht="36" customHeight="1">
      <x:c r="A751" s="19" t="str">
        <x:v>GRID15</x:v>
      </x:c>
      <x:c r="B751" s="19" t="str">
        <x:v>GRID15_report.md</x:v>
      </x:c>
      <x:c r="C751" s="19" t="str">
        <x:v>2. 冻结裁决</x:v>
      </x:c>
      <x:c r="D751" s="19" t="str">
        <x:v>训练周=2035-01-29_4；N1 预测秒=19.13</x:v>
      </x:c>
      <x:c r="E751" s="19" t="str">
        <x:v>比例</x:v>
      </x:c>
      <x:c r="F751" s="19" t="str">
        <x:v>11.6%</x:v>
      </x:c>
      <x:c r="G751" s="19" t="str">
        <x:v>其他/配置</x:v>
      </x:c>
      <x:c r="H751" s="19" t="str">
        <x:v>D:/Codex/GRL研究/outputs/grid15/GRID15_report.md</x:v>
      </x:c>
    </x:row>
    <x:row r="752" ht="36" customHeight="1">
      <x:c r="A752" s="19" t="str">
        <x:v>GRID15</x:v>
      </x:c>
      <x:c r="B752" s="19" t="str">
        <x:v>GRID15_report.md</x:v>
      </x:c>
      <x:c r="C752" s="19" t="str">
        <x:v>2. 冻结裁决</x:v>
      </x:c>
      <x:c r="D752" s="19" t="str">
        <x:v>训练周=2035-04-16_2；N1 预测秒=13.67</x:v>
      </x:c>
      <x:c r="E752" s="19" t="str">
        <x:v>N1 预测秒</x:v>
      </x:c>
      <x:c r="F752" s="19" t="str">
        <x:v>13.67</x:v>
      </x:c>
      <x:c r="G752" s="19" t="str">
        <x:v>速度/计算</x:v>
      </x:c>
      <x:c r="H752" s="19" t="str">
        <x:v>D:/Codex/GRL研究/outputs/grid15/GRID15_report.md</x:v>
      </x:c>
    </x:row>
    <x:row r="753" ht="36" customHeight="1">
      <x:c r="A753" s="19" t="str">
        <x:v>GRID15</x:v>
      </x:c>
      <x:c r="B753" s="19" t="str">
        <x:v>GRID15_report.md</x:v>
      </x:c>
      <x:c r="C753" s="19" t="str">
        <x:v>2. 冻结裁决</x:v>
      </x:c>
      <x:c r="D753" s="19" t="str">
        <x:v>训练周=2035-04-16_2；N1 预测秒=13.67</x:v>
      </x:c>
      <x:c r="E753" s="19" t="str">
        <x:v>全控制决策秒（含记录器）</x:v>
      </x:c>
      <x:c r="F753" s="19" t="str">
        <x:v>129.94</x:v>
      </x:c>
      <x:c r="G753" s="19" t="str">
        <x:v>速度/计算</x:v>
      </x:c>
      <x:c r="H753" s="19" t="str">
        <x:v>D:/Codex/GRL研究/outputs/grid15/GRID15_report.md</x:v>
      </x:c>
    </x:row>
    <x:row r="754" ht="36" customHeight="1">
      <x:c r="A754" s="19" t="str">
        <x:v>GRID15</x:v>
      </x:c>
      <x:c r="B754" s="19" t="str">
        <x:v>GRID15_report.md</x:v>
      </x:c>
      <x:c r="C754" s="19" t="str">
        <x:v>2. 冻结裁决</x:v>
      </x:c>
      <x:c r="D754" s="19" t="str">
        <x:v>训练周=2035-04-16_2；N1 预测秒=13.67</x:v>
      </x:c>
      <x:c r="E754" s="19" t="str">
        <x:v>比例</x:v>
      </x:c>
      <x:c r="F754" s="19" t="str">
        <x:v>10.5%</x:v>
      </x:c>
      <x:c r="G754" s="19" t="str">
        <x:v>其他/配置</x:v>
      </x:c>
      <x:c r="H754" s="19" t="str">
        <x:v>D:/Codex/GRL研究/outputs/grid15/GRID15_report.md</x:v>
      </x:c>
    </x:row>
    <x:row r="755" ht="36" customHeight="1">
      <x:c r="A755" s="19" t="str">
        <x:v>GRID15</x:v>
      </x:c>
      <x:c r="B755" s="19" t="str">
        <x:v>GRID15_report.md</x:v>
      </x:c>
      <x:c r="C755" s="19" t="str">
        <x:v>2. 冻结裁决</x:v>
      </x:c>
      <x:c r="D755" s="19" t="str">
        <x:v>训练周=2035-07-23_10；N1 预测秒=9.70</x:v>
      </x:c>
      <x:c r="E755" s="19" t="str">
        <x:v>N1 预测秒</x:v>
      </x:c>
      <x:c r="F755" s="19" t="str">
        <x:v>9.70</x:v>
      </x:c>
      <x:c r="G755" s="19" t="str">
        <x:v>速度/计算</x:v>
      </x:c>
      <x:c r="H755" s="19" t="str">
        <x:v>D:/Codex/GRL研究/outputs/grid15/GRID15_report.md</x:v>
      </x:c>
    </x:row>
    <x:row r="756" ht="36" customHeight="1">
      <x:c r="A756" s="19" t="str">
        <x:v>GRID15</x:v>
      </x:c>
      <x:c r="B756" s="19" t="str">
        <x:v>GRID15_report.md</x:v>
      </x:c>
      <x:c r="C756" s="19" t="str">
        <x:v>2. 冻结裁决</x:v>
      </x:c>
      <x:c r="D756" s="19" t="str">
        <x:v>训练周=2035-07-23_10；N1 预测秒=9.70</x:v>
      </x:c>
      <x:c r="E756" s="19" t="str">
        <x:v>全控制决策秒（含记录器）</x:v>
      </x:c>
      <x:c r="F756" s="19" t="str">
        <x:v>22.51</x:v>
      </x:c>
      <x:c r="G756" s="19" t="str">
        <x:v>速度/计算</x:v>
      </x:c>
      <x:c r="H756" s="19" t="str">
        <x:v>D:/Codex/GRL研究/outputs/grid15/GRID15_report.md</x:v>
      </x:c>
    </x:row>
    <x:row r="757" ht="36" customHeight="1">
      <x:c r="A757" s="19" t="str">
        <x:v>GRID15</x:v>
      </x:c>
      <x:c r="B757" s="19" t="str">
        <x:v>GRID15_report.md</x:v>
      </x:c>
      <x:c r="C757" s="19" t="str">
        <x:v>2. 冻结裁决</x:v>
      </x:c>
      <x:c r="D757" s="19" t="str">
        <x:v>训练周=2035-07-23_10；N1 预测秒=9.70</x:v>
      </x:c>
      <x:c r="E757" s="19" t="str">
        <x:v>比例</x:v>
      </x:c>
      <x:c r="F757" s="19" t="str">
        <x:v>43.1%</x:v>
      </x:c>
      <x:c r="G757" s="19" t="str">
        <x:v>其他/配置</x:v>
      </x:c>
      <x:c r="H757" s="19" t="str">
        <x:v>D:/Codex/GRL研究/outputs/grid15/GRID15_report.md</x:v>
      </x:c>
    </x:row>
    <x:row r="758" ht="36" customHeight="1">
      <x:c r="A758" s="19" t="str">
        <x:v>GRID15</x:v>
      </x:c>
      <x:c r="B758" s="19" t="str">
        <x:v>GRID15_report.md</x:v>
      </x:c>
      <x:c r="C758" s="19" t="str">
        <x:v>2. 冻结裁决</x:v>
      </x:c>
      <x:c r="D758" s="19" t="str">
        <x:v>训练周=2035-10-29_15；N1 预测秒=16.45</x:v>
      </x:c>
      <x:c r="E758" s="19" t="str">
        <x:v>N1 预测秒</x:v>
      </x:c>
      <x:c r="F758" s="19" t="str">
        <x:v>16.45</x:v>
      </x:c>
      <x:c r="G758" s="19" t="str">
        <x:v>速度/计算</x:v>
      </x:c>
      <x:c r="H758" s="19" t="str">
        <x:v>D:/Codex/GRL研究/outputs/grid15/GRID15_report.md</x:v>
      </x:c>
    </x:row>
    <x:row r="759" ht="36" customHeight="1">
      <x:c r="A759" s="19" t="str">
        <x:v>GRID15</x:v>
      </x:c>
      <x:c r="B759" s="19" t="str">
        <x:v>GRID15_report.md</x:v>
      </x:c>
      <x:c r="C759" s="19" t="str">
        <x:v>2. 冻结裁决</x:v>
      </x:c>
      <x:c r="D759" s="19" t="str">
        <x:v>训练周=2035-10-29_15；N1 预测秒=16.45</x:v>
      </x:c>
      <x:c r="E759" s="19" t="str">
        <x:v>全控制决策秒（含记录器）</x:v>
      </x:c>
      <x:c r="F759" s="19" t="str">
        <x:v>162.19</x:v>
      </x:c>
      <x:c r="G759" s="19" t="str">
        <x:v>速度/计算</x:v>
      </x:c>
      <x:c r="H759" s="19" t="str">
        <x:v>D:/Codex/GRL研究/outputs/grid15/GRID15_report.md</x:v>
      </x:c>
    </x:row>
    <x:row r="760" ht="36" customHeight="1">
      <x:c r="A760" s="19" t="str">
        <x:v>GRID15</x:v>
      </x:c>
      <x:c r="B760" s="19" t="str">
        <x:v>GRID15_report.md</x:v>
      </x:c>
      <x:c r="C760" s="19" t="str">
        <x:v>2. 冻结裁决</x:v>
      </x:c>
      <x:c r="D760" s="19" t="str">
        <x:v>训练周=2035-10-29_15；N1 预测秒=16.45</x:v>
      </x:c>
      <x:c r="E760" s="19" t="str">
        <x:v>比例</x:v>
      </x:c>
      <x:c r="F760" s="19" t="str">
        <x:v>10.1%</x:v>
      </x:c>
      <x:c r="G760" s="19" t="str">
        <x:v>其他/配置</x:v>
      </x:c>
      <x:c r="H760" s="19" t="str">
        <x:v>D:/Codex/GRL研究/outputs/grid15/GRID15_report.md</x:v>
      </x:c>
    </x:row>
    <x:row r="761" ht="36" customHeight="1">
      <x:c r="A761" s="19" t="str">
        <x:v>GRID16</x:v>
      </x:c>
      <x:c r="B761" s="19" t="str">
        <x:v>GRID16_report.md</x:v>
      </x:c>
      <x:c r="C761" s="19" t="str">
        <x:v>1. 完整周主比较</x:v>
      </x:c>
      <x:c r="D761" s="19" t="str">
        <x:v>方法=LOCAL128；共同完整周=3</x:v>
      </x:c>
      <x:c r="E761" s="19" t="str">
        <x:v>共同完整周</x:v>
      </x:c>
      <x:c r="F761" s="19" t="str">
        <x:v>3</x:v>
      </x:c>
      <x:c r="G761" s="19" t="str">
        <x:v>质量/成本</x:v>
      </x:c>
      <x:c r="H761" s="19" t="str">
        <x:v>D:/Codex/GRL研究/outputs/grid16/GRID16_report.md</x:v>
      </x:c>
    </x:row>
    <x:row r="762" ht="36" customHeight="1">
      <x:c r="A762" s="19" t="str">
        <x:v>GRID16</x:v>
      </x:c>
      <x:c r="B762" s="19" t="str">
        <x:v>GRID16_report.md</x:v>
      </x:c>
      <x:c r="C762" s="19" t="str">
        <x:v>1. 完整周主比较</x:v>
      </x:c>
      <x:c r="D762" s="19" t="str">
        <x:v>方法=LOCAL128；共同完整周=3</x:v>
      </x:c>
      <x:c r="E762" s="19" t="str">
        <x:v>成本增益</x:v>
      </x:c>
      <x:c r="F762" s="19" t="str">
        <x:v>2.648%</x:v>
      </x:c>
      <x:c r="G762" s="19" t="str">
        <x:v>质量/成本</x:v>
      </x:c>
      <x:c r="H762" s="19" t="str">
        <x:v>D:/Codex/GRL研究/outputs/grid16/GRID16_report.md</x:v>
      </x:c>
    </x:row>
    <x:row r="763" ht="36" customHeight="1">
      <x:c r="A763" s="19" t="str">
        <x:v>GRID16</x:v>
      </x:c>
      <x:c r="B763" s="19" t="str">
        <x:v>GRID16_report.md</x:v>
      </x:c>
      <x:c r="C763" s="19" t="str">
        <x:v>1. 完整周主比较</x:v>
      </x:c>
      <x:c r="D763" s="19" t="str">
        <x:v>方法=LOCAL128；共同完整周=3</x:v>
      </x:c>
      <x:c r="E763" s="19" t="str">
        <x:v>N1预测减少</x:v>
      </x:c>
      <x:c r="F763" s="19" t="str">
        <x:v>83.9%</x:v>
      </x:c>
      <x:c r="G763" s="19" t="str">
        <x:v>速度/计算</x:v>
      </x:c>
      <x:c r="H763" s="19" t="str">
        <x:v>D:/Codex/GRL研究/outputs/grid16/GRID16_report.md</x:v>
      </x:c>
    </x:row>
    <x:row r="764" ht="36" customHeight="1">
      <x:c r="A764" s="19" t="str">
        <x:v>GRID16</x:v>
      </x:c>
      <x:c r="B764" s="19" t="str">
        <x:v>GRID16_report.md</x:v>
      </x:c>
      <x:c r="C764" s="19" t="str">
        <x:v>1. 完整周主比较</x:v>
      </x:c>
      <x:c r="D764" s="19" t="str">
        <x:v>方法=LOCAL128；共同完整周=3</x:v>
      </x:c>
      <x:c r="E764" s="19" t="str">
        <x:v>全控制决策时间减少</x:v>
      </x:c>
      <x:c r="F764" s="19" t="str">
        <x:v>9.1%</x:v>
      </x:c>
      <x:c r="G764" s="19" t="str">
        <x:v>速度/计算</x:v>
      </x:c>
      <x:c r="H764" s="19" t="str">
        <x:v>D:/Codex/GRL研究/outputs/grid16/GRID16_report.md</x:v>
      </x:c>
    </x:row>
    <x:row r="765" ht="36" customHeight="1">
      <x:c r="A765" s="19" t="str">
        <x:v>GRID16</x:v>
      </x:c>
      <x:c r="B765" s="19" t="str">
        <x:v>GRID16_report.md</x:v>
      </x:c>
      <x:c r="C765" s="19" t="str">
        <x:v>1. 完整周主比较</x:v>
      </x:c>
      <x:c r="D765" s="19" t="str">
        <x:v>方法=LOCAL128；共同完整周=3</x:v>
      </x:c>
      <x:c r="E765" s="19" t="str">
        <x:v>失去FULL完整周</x:v>
      </x:c>
      <x:c r="F765" s="19" t="str">
        <x:v>0</x:v>
      </x:c>
      <x:c r="G765" s="19" t="str">
        <x:v>质量/成本</x:v>
      </x:c>
      <x:c r="H765" s="19" t="str">
        <x:v>D:/Codex/GRL研究/outputs/grid16/GRID16_report.md</x:v>
      </x:c>
    </x:row>
    <x:row r="766" ht="36" customHeight="1">
      <x:c r="A766" s="19" t="str">
        <x:v>GRID16</x:v>
      </x:c>
      <x:c r="B766" s="19" t="str">
        <x:v>GRID16_report.md</x:v>
      </x:c>
      <x:c r="C766" s="19" t="str">
        <x:v>1. 完整周主比较</x:v>
      </x:c>
      <x:c r="D766" s="19" t="str">
        <x:v>方法=LOCAL128；共同完整周=3</x:v>
      </x:c>
      <x:c r="E766" s="19" t="str">
        <x:v>冻结筛查</x:v>
      </x:c>
      <x:c r="F766" s="19" t="str">
        <x:v>未通过</x:v>
      </x:c>
      <x:c r="G766" s="19" t="str">
        <x:v>其他/配置</x:v>
      </x:c>
      <x:c r="H766" s="19" t="str">
        <x:v>D:/Codex/GRL研究/outputs/grid16/GRID16_report.md</x:v>
      </x:c>
    </x:row>
    <x:row r="767" ht="36" customHeight="1">
      <x:c r="A767" s="19" t="str">
        <x:v>GRID16</x:v>
      </x:c>
      <x:c r="B767" s="19" t="str">
        <x:v>GRID16_report.md</x:v>
      </x:c>
      <x:c r="C767" s="19" t="str">
        <x:v>1. 完整周主比较</x:v>
      </x:c>
      <x:c r="D767" s="19" t="str">
        <x:v>方法=OLDNN128；共同完整周=3</x:v>
      </x:c>
      <x:c r="E767" s="19" t="str">
        <x:v>共同完整周</x:v>
      </x:c>
      <x:c r="F767" s="19" t="str">
        <x:v>3</x:v>
      </x:c>
      <x:c r="G767" s="19" t="str">
        <x:v>质量/成本</x:v>
      </x:c>
      <x:c r="H767" s="19" t="str">
        <x:v>D:/Codex/GRL研究/outputs/grid16/GRID16_report.md</x:v>
      </x:c>
    </x:row>
    <x:row r="768" ht="36" customHeight="1">
      <x:c r="A768" s="19" t="str">
        <x:v>GRID16</x:v>
      </x:c>
      <x:c r="B768" s="19" t="str">
        <x:v>GRID16_report.md</x:v>
      </x:c>
      <x:c r="C768" s="19" t="str">
        <x:v>1. 完整周主比较</x:v>
      </x:c>
      <x:c r="D768" s="19" t="str">
        <x:v>方法=OLDNN128；共同完整周=3</x:v>
      </x:c>
      <x:c r="E768" s="19" t="str">
        <x:v>成本增益</x:v>
      </x:c>
      <x:c r="F768" s="19" t="str">
        <x:v>-0.003%</x:v>
      </x:c>
      <x:c r="G768" s="19" t="str">
        <x:v>质量/成本</x:v>
      </x:c>
      <x:c r="H768" s="19" t="str">
        <x:v>D:/Codex/GRL研究/outputs/grid16/GRID16_report.md</x:v>
      </x:c>
    </x:row>
    <x:row r="769" ht="36" customHeight="1">
      <x:c r="A769" s="19" t="str">
        <x:v>GRID16</x:v>
      </x:c>
      <x:c r="B769" s="19" t="str">
        <x:v>GRID16_report.md</x:v>
      </x:c>
      <x:c r="C769" s="19" t="str">
        <x:v>1. 完整周主比较</x:v>
      </x:c>
      <x:c r="D769" s="19" t="str">
        <x:v>方法=OLDNN128；共同完整周=3</x:v>
      </x:c>
      <x:c r="E769" s="19" t="str">
        <x:v>N1预测减少</x:v>
      </x:c>
      <x:c r="F769" s="19" t="str">
        <x:v>82.6%</x:v>
      </x:c>
      <x:c r="G769" s="19" t="str">
        <x:v>速度/计算</x:v>
      </x:c>
      <x:c r="H769" s="19" t="str">
        <x:v>D:/Codex/GRL研究/outputs/grid16/GRID16_report.md</x:v>
      </x:c>
    </x:row>
    <x:row r="770" ht="36" customHeight="1">
      <x:c r="A770" s="19" t="str">
        <x:v>GRID16</x:v>
      </x:c>
      <x:c r="B770" s="19" t="str">
        <x:v>GRID16_report.md</x:v>
      </x:c>
      <x:c r="C770" s="19" t="str">
        <x:v>1. 完整周主比较</x:v>
      </x:c>
      <x:c r="D770" s="19" t="str">
        <x:v>方法=OLDNN128；共同完整周=3</x:v>
      </x:c>
      <x:c r="E770" s="19" t="str">
        <x:v>全控制决策时间减少</x:v>
      </x:c>
      <x:c r="F770" s="19" t="str">
        <x:v>19.9%</x:v>
      </x:c>
      <x:c r="G770" s="19" t="str">
        <x:v>速度/计算</x:v>
      </x:c>
      <x:c r="H770" s="19" t="str">
        <x:v>D:/Codex/GRL研究/outputs/grid16/GRID16_report.md</x:v>
      </x:c>
    </x:row>
    <x:row r="771" ht="36" customHeight="1">
      <x:c r="A771" s="19" t="str">
        <x:v>GRID16</x:v>
      </x:c>
      <x:c r="B771" s="19" t="str">
        <x:v>GRID16_report.md</x:v>
      </x:c>
      <x:c r="C771" s="19" t="str">
        <x:v>1. 完整周主比较</x:v>
      </x:c>
      <x:c r="D771" s="19" t="str">
        <x:v>方法=OLDNN128；共同完整周=3</x:v>
      </x:c>
      <x:c r="E771" s="19" t="str">
        <x:v>失去FULL完整周</x:v>
      </x:c>
      <x:c r="F771" s="19" t="str">
        <x:v>0</x:v>
      </x:c>
      <x:c r="G771" s="19" t="str">
        <x:v>质量/成本</x:v>
      </x:c>
      <x:c r="H771" s="19" t="str">
        <x:v>D:/Codex/GRL研究/outputs/grid16/GRID16_report.md</x:v>
      </x:c>
    </x:row>
    <x:row r="772" ht="36" customHeight="1">
      <x:c r="A772" s="19" t="str">
        <x:v>GRID16</x:v>
      </x:c>
      <x:c r="B772" s="19" t="str">
        <x:v>GRID16_report.md</x:v>
      </x:c>
      <x:c r="C772" s="19" t="str">
        <x:v>1. 完整周主比较</x:v>
      </x:c>
      <x:c r="D772" s="19" t="str">
        <x:v>方法=OLDNN128；共同完整周=3</x:v>
      </x:c>
      <x:c r="E772" s="19" t="str">
        <x:v>冻结筛查</x:v>
      </x:c>
      <x:c r="F772" s="19" t="str">
        <x:v>通过</x:v>
      </x:c>
      <x:c r="G772" s="19" t="str">
        <x:v>其他/配置</x:v>
      </x:c>
      <x:c r="H772" s="19" t="str">
        <x:v>D:/Codex/GRL研究/outputs/grid16/GRID16_report.md</x:v>
      </x:c>
    </x:row>
    <x:row r="773" ht="36" customHeight="1">
      <x:c r="A773" s="19" t="str">
        <x:v>GRID16</x:v>
      </x:c>
      <x:c r="B773" s="19" t="str">
        <x:v>GRID16_report.md</x:v>
      </x:c>
      <x:c r="C773" s="19" t="str">
        <x:v>1. 完整周主比较</x:v>
      </x:c>
      <x:c r="D773" s="19" t="str">
        <x:v>方法=ZONE；共同完整周=1</x:v>
      </x:c>
      <x:c r="E773" s="19" t="str">
        <x:v>共同完整周</x:v>
      </x:c>
      <x:c r="F773" s="19" t="str">
        <x:v>1</x:v>
      </x:c>
      <x:c r="G773" s="19" t="str">
        <x:v>质量/成本</x:v>
      </x:c>
      <x:c r="H773" s="19" t="str">
        <x:v>D:/Codex/GRL研究/outputs/grid16/GRID16_report.md</x:v>
      </x:c>
    </x:row>
    <x:row r="774" ht="36" customHeight="1">
      <x:c r="A774" s="19" t="str">
        <x:v>GRID16</x:v>
      </x:c>
      <x:c r="B774" s="19" t="str">
        <x:v>GRID16_report.md</x:v>
      </x:c>
      <x:c r="C774" s="19" t="str">
        <x:v>1. 完整周主比较</x:v>
      </x:c>
      <x:c r="D774" s="19" t="str">
        <x:v>方法=ZONE；共同完整周=1</x:v>
      </x:c>
      <x:c r="E774" s="19" t="str">
        <x:v>成本增益</x:v>
      </x:c>
      <x:c r="F774" s="19" t="str">
        <x:v>2.180%</x:v>
      </x:c>
      <x:c r="G774" s="19" t="str">
        <x:v>质量/成本</x:v>
      </x:c>
      <x:c r="H774" s="19" t="str">
        <x:v>D:/Codex/GRL研究/outputs/grid16/GRID16_report.md</x:v>
      </x:c>
    </x:row>
    <x:row r="775" ht="36" customHeight="1">
      <x:c r="A775" s="19" t="str">
        <x:v>GRID16</x:v>
      </x:c>
      <x:c r="B775" s="19" t="str">
        <x:v>GRID16_report.md</x:v>
      </x:c>
      <x:c r="C775" s="19" t="str">
        <x:v>1. 完整周主比较</x:v>
      </x:c>
      <x:c r="D775" s="19" t="str">
        <x:v>方法=ZONE；共同完整周=1</x:v>
      </x:c>
      <x:c r="E775" s="19" t="str">
        <x:v>N1预测减少</x:v>
      </x:c>
      <x:c r="F775" s="19" t="str">
        <x:v>58.6%</x:v>
      </x:c>
      <x:c r="G775" s="19" t="str">
        <x:v>速度/计算</x:v>
      </x:c>
      <x:c r="H775" s="19" t="str">
        <x:v>D:/Codex/GRL研究/outputs/grid16/GRID16_report.md</x:v>
      </x:c>
    </x:row>
    <x:row r="776" ht="36" customHeight="1">
      <x:c r="A776" s="19" t="str">
        <x:v>GRID16</x:v>
      </x:c>
      <x:c r="B776" s="19" t="str">
        <x:v>GRID16_report.md</x:v>
      </x:c>
      <x:c r="C776" s="19" t="str">
        <x:v>1. 完整周主比较</x:v>
      </x:c>
      <x:c r="D776" s="19" t="str">
        <x:v>方法=ZONE；共同完整周=1</x:v>
      </x:c>
      <x:c r="E776" s="19" t="str">
        <x:v>全控制决策时间减少</x:v>
      </x:c>
      <x:c r="F776" s="19" t="str">
        <x:v>9.8%</x:v>
      </x:c>
      <x:c r="G776" s="19" t="str">
        <x:v>速度/计算</x:v>
      </x:c>
      <x:c r="H776" s="19" t="str">
        <x:v>D:/Codex/GRL研究/outputs/grid16/GRID16_report.md</x:v>
      </x:c>
    </x:row>
    <x:row r="777" ht="36" customHeight="1">
      <x:c r="A777" s="19" t="str">
        <x:v>GRID16</x:v>
      </x:c>
      <x:c r="B777" s="19" t="str">
        <x:v>GRID16_report.md</x:v>
      </x:c>
      <x:c r="C777" s="19" t="str">
        <x:v>1. 完整周主比较</x:v>
      </x:c>
      <x:c r="D777" s="19" t="str">
        <x:v>方法=ZONE；共同完整周=1</x:v>
      </x:c>
      <x:c r="E777" s="19" t="str">
        <x:v>失去FULL完整周</x:v>
      </x:c>
      <x:c r="F777" s="19" t="str">
        <x:v>2</x:v>
      </x:c>
      <x:c r="G777" s="19" t="str">
        <x:v>质量/成本</x:v>
      </x:c>
      <x:c r="H777" s="19" t="str">
        <x:v>D:/Codex/GRL研究/outputs/grid16/GRID16_report.md</x:v>
      </x:c>
    </x:row>
    <x:row r="778" ht="36" customHeight="1">
      <x:c r="A778" s="19" t="str">
        <x:v>GRID16</x:v>
      </x:c>
      <x:c r="B778" s="19" t="str">
        <x:v>GRID16_report.md</x:v>
      </x:c>
      <x:c r="C778" s="19" t="str">
        <x:v>1. 完整周主比较</x:v>
      </x:c>
      <x:c r="D778" s="19" t="str">
        <x:v>方法=ZONE；共同完整周=1</x:v>
      </x:c>
      <x:c r="E778" s="19" t="str">
        <x:v>冻结筛查</x:v>
      </x:c>
      <x:c r="F778" s="19" t="str">
        <x:v>未通过</x:v>
      </x:c>
      <x:c r="G778" s="19" t="str">
        <x:v>其他/配置</x:v>
      </x:c>
      <x:c r="H778" s="19" t="str">
        <x:v>D:/Codex/GRL研究/outputs/grid16/GRID16_report.md</x:v>
      </x:c>
    </x:row>
    <x:row r="779" ht="36" customHeight="1">
      <x:c r="A779" s="19" t="str">
        <x:v>GRID16</x:v>
      </x:c>
      <x:c r="B779" s="19" t="str">
        <x:v>GRID16_report.md</x:v>
      </x:c>
      <x:c r="C779" s="19" t="str">
        <x:v>2. 完整周主比较</x:v>
      </x:c>
      <x:c r="D779" s="19" t="str">
        <x:v>周=2035-01-29_4；方法=FULL</x:v>
      </x:c>
      <x:c r="E779" s="19" t="str">
        <x:v>方法</x:v>
      </x:c>
      <x:c r="F779" s="19" t="str">
        <x:v>FULL</x:v>
      </x:c>
      <x:c r="G779" s="19" t="str">
        <x:v>其他/配置</x:v>
      </x:c>
      <x:c r="H779" s="19" t="str">
        <x:v>D:/Codex/GRL研究/outputs/grid16/GRID16_report.md</x:v>
      </x:c>
    </x:row>
    <x:row r="780" ht="36" customHeight="1">
      <x:c r="A780" s="19" t="str">
        <x:v>GRID16</x:v>
      </x:c>
      <x:c r="B780" s="19" t="str">
        <x:v>GRID16_report.md</x:v>
      </x:c>
      <x:c r="C780" s="19" t="str">
        <x:v>2. 完整周主比较</x:v>
      </x:c>
      <x:c r="D780" s="19" t="str">
        <x:v>周=2035-01-29_4；方法=FULL</x:v>
      </x:c>
      <x:c r="E780" s="19" t="str">
        <x:v>运行步数</x:v>
      </x:c>
      <x:c r="F780" s="19" t="str">
        <x:v>1719</x:v>
      </x:c>
      <x:c r="G780" s="19" t="str">
        <x:v>质量/成本</x:v>
      </x:c>
      <x:c r="H780" s="19" t="str">
        <x:v>D:/Codex/GRL研究/outputs/grid16/GRID16_report.md</x:v>
      </x:c>
    </x:row>
    <x:row r="781" ht="36" customHeight="1">
      <x:c r="A781" s="19" t="str">
        <x:v>GRID16</x:v>
      </x:c>
      <x:c r="B781" s="19" t="str">
        <x:v>GRID16_report.md</x:v>
      </x:c>
      <x:c r="C781" s="19" t="str">
        <x:v>2. 完整周主比较</x:v>
      </x:c>
      <x:c r="D781" s="19" t="str">
        <x:v>周=2035-01-29_4；方法=FULL</x:v>
      </x:c>
      <x:c r="E781" s="19" t="str">
        <x:v>完整</x:v>
      </x:c>
      <x:c r="F781" s="19" t="str">
        <x:v>False</x:v>
      </x:c>
      <x:c r="G781" s="19" t="str">
        <x:v>其他/配置</x:v>
      </x:c>
      <x:c r="H781" s="19" t="str">
        <x:v>D:/Codex/GRL研究/outputs/grid16/GRID16_report.md</x:v>
      </x:c>
    </x:row>
    <x:row r="782" ht="36" customHeight="1">
      <x:c r="A782" s="19" t="str">
        <x:v>GRID16</x:v>
      </x:c>
      <x:c r="B782" s="19" t="str">
        <x:v>GRID16_report.md</x:v>
      </x:c>
      <x:c r="C782" s="19" t="str">
        <x:v>2. 完整周主比较</x:v>
      </x:c>
      <x:c r="D782" s="19" t="str">
        <x:v>周=2035-01-29_4；方法=FULL</x:v>
      </x:c>
      <x:c r="E782" s="19" t="str">
        <x:v>模拟成本</x:v>
      </x:c>
      <x:c r="F782" s="19" t="str">
        <x:v>2555318.18</x:v>
      </x:c>
      <x:c r="G782" s="19" t="str">
        <x:v>质量/成本</x:v>
      </x:c>
      <x:c r="H782" s="19" t="str">
        <x:v>D:/Codex/GRL研究/outputs/grid16/GRID16_report.md</x:v>
      </x:c>
    </x:row>
    <x:row r="783" ht="36" customHeight="1">
      <x:c r="A783" s="19" t="str">
        <x:v>GRID16</x:v>
      </x:c>
      <x:c r="B783" s="19" t="str">
        <x:v>GRID16_report.md</x:v>
      </x:c>
      <x:c r="C783" s="19" t="str">
        <x:v>2. 完整周主比较</x:v>
      </x:c>
      <x:c r="D783" s="19" t="str">
        <x:v>周=2035-01-29_4；方法=FULL</x:v>
      </x:c>
      <x:c r="E783" s="19" t="str">
        <x:v>N1预测</x:v>
      </x:c>
      <x:c r="F783" s="19" t="str">
        <x:v>6997</x:v>
      </x:c>
      <x:c r="G783" s="19" t="str">
        <x:v>速度/计算</x:v>
      </x:c>
      <x:c r="H783" s="19" t="str">
        <x:v>D:/Codex/GRL研究/outputs/grid16/GRID16_report.md</x:v>
      </x:c>
    </x:row>
    <x:row r="784" ht="36" customHeight="1">
      <x:c r="A784" s="19" t="str">
        <x:v>GRID16</x:v>
      </x:c>
      <x:c r="B784" s="19" t="str">
        <x:v>GRID16_report.md</x:v>
      </x:c>
      <x:c r="C784" s="19" t="str">
        <x:v>2. 完整周主比较</x:v>
      </x:c>
      <x:c r="D784" s="19" t="str">
        <x:v>周=2035-01-29_4；方法=FULL</x:v>
      </x:c>
      <x:c r="E784" s="19" t="str">
        <x:v>完整池回退</x:v>
      </x:c>
      <x:c r="F784" s="19" t="str">
        <x:v>0</x:v>
      </x:c>
      <x:c r="G784" s="19" t="str">
        <x:v>其他/配置</x:v>
      </x:c>
      <x:c r="H784" s="19" t="str">
        <x:v>D:/Codex/GRL研究/outputs/grid16/GRID16_report.md</x:v>
      </x:c>
    </x:row>
    <x:row r="785" ht="36" customHeight="1">
      <x:c r="A785" s="19" t="str">
        <x:v>GRID16</x:v>
      </x:c>
      <x:c r="B785" s="19" t="str">
        <x:v>GRID16_report.md</x:v>
      </x:c>
      <x:c r="C785" s="19" t="str">
        <x:v>2. 完整周主比较</x:v>
      </x:c>
      <x:c r="D785" s="19" t="str">
        <x:v>周=2035-01-29_4；方法=FULL</x:v>
      </x:c>
      <x:c r="E785" s="19" t="str">
        <x:v>控制秒</x:v>
      </x:c>
      <x:c r="F785" s="19" t="str">
        <x:v>178.38</x:v>
      </x:c>
      <x:c r="G785" s="19" t="str">
        <x:v>速度/计算</x:v>
      </x:c>
      <x:c r="H785" s="19" t="str">
        <x:v>D:/Codex/GRL研究/outputs/grid16/GRID16_report.md</x:v>
      </x:c>
    </x:row>
    <x:row r="786" ht="36" customHeight="1">
      <x:c r="A786" s="19" t="str">
        <x:v>GRID16</x:v>
      </x:c>
      <x:c r="B786" s="19" t="str">
        <x:v>GRID16_report.md</x:v>
      </x:c>
      <x:c r="C786" s="19" t="str">
        <x:v>2. 完整周主比较</x:v>
      </x:c>
      <x:c r="D786" s="19" t="str">
        <x:v>周=2035-01-29_4；方法=LOCAL128</x:v>
      </x:c>
      <x:c r="E786" s="19" t="str">
        <x:v>方法</x:v>
      </x:c>
      <x:c r="F786" s="19" t="str">
        <x:v>LOCAL128</x:v>
      </x:c>
      <x:c r="G786" s="19" t="str">
        <x:v>其他/配置</x:v>
      </x:c>
      <x:c r="H786" s="19" t="str">
        <x:v>D:/Codex/GRL研究/outputs/grid16/GRID16_report.md</x:v>
      </x:c>
    </x:row>
    <x:row r="787" ht="36" customHeight="1">
      <x:c r="A787" s="19" t="str">
        <x:v>GRID16</x:v>
      </x:c>
      <x:c r="B787" s="19" t="str">
        <x:v>GRID16_report.md</x:v>
      </x:c>
      <x:c r="C787" s="19" t="str">
        <x:v>2. 完整周主比较</x:v>
      </x:c>
      <x:c r="D787" s="19" t="str">
        <x:v>周=2035-01-29_4；方法=LOCAL128</x:v>
      </x:c>
      <x:c r="E787" s="19" t="str">
        <x:v>运行步数</x:v>
      </x:c>
      <x:c r="F787" s="19" t="str">
        <x:v>1719</x:v>
      </x:c>
      <x:c r="G787" s="19" t="str">
        <x:v>质量/成本</x:v>
      </x:c>
      <x:c r="H787" s="19" t="str">
        <x:v>D:/Codex/GRL研究/outputs/grid16/GRID16_report.md</x:v>
      </x:c>
    </x:row>
    <x:row r="788" ht="36" customHeight="1">
      <x:c r="A788" s="19" t="str">
        <x:v>GRID16</x:v>
      </x:c>
      <x:c r="B788" s="19" t="str">
        <x:v>GRID16_report.md</x:v>
      </x:c>
      <x:c r="C788" s="19" t="str">
        <x:v>2. 完整周主比较</x:v>
      </x:c>
      <x:c r="D788" s="19" t="str">
        <x:v>周=2035-01-29_4；方法=LOCAL128</x:v>
      </x:c>
      <x:c r="E788" s="19" t="str">
        <x:v>完整</x:v>
      </x:c>
      <x:c r="F788" s="19" t="str">
        <x:v>False</x:v>
      </x:c>
      <x:c r="G788" s="19" t="str">
        <x:v>其他/配置</x:v>
      </x:c>
      <x:c r="H788" s="19" t="str">
        <x:v>D:/Codex/GRL研究/outputs/grid16/GRID16_report.md</x:v>
      </x:c>
    </x:row>
    <x:row r="789" ht="36" customHeight="1">
      <x:c r="A789" s="19" t="str">
        <x:v>GRID16</x:v>
      </x:c>
      <x:c r="B789" s="19" t="str">
        <x:v>GRID16_report.md</x:v>
      </x:c>
      <x:c r="C789" s="19" t="str">
        <x:v>2. 完整周主比较</x:v>
      </x:c>
      <x:c r="D789" s="19" t="str">
        <x:v>周=2035-01-29_4；方法=LOCAL128</x:v>
      </x:c>
      <x:c r="E789" s="19" t="str">
        <x:v>模拟成本</x:v>
      </x:c>
      <x:c r="F789" s="19" t="str">
        <x:v>2560171.29</x:v>
      </x:c>
      <x:c r="G789" s="19" t="str">
        <x:v>质量/成本</x:v>
      </x:c>
      <x:c r="H789" s="19" t="str">
        <x:v>D:/Codex/GRL研究/outputs/grid16/GRID16_report.md</x:v>
      </x:c>
    </x:row>
    <x:row r="790" ht="36" customHeight="1">
      <x:c r="A790" s="19" t="str">
        <x:v>GRID16</x:v>
      </x:c>
      <x:c r="B790" s="19" t="str">
        <x:v>GRID16_report.md</x:v>
      </x:c>
      <x:c r="C790" s="19" t="str">
        <x:v>2. 完整周主比较</x:v>
      </x:c>
      <x:c r="D790" s="19" t="str">
        <x:v>周=2035-01-29_4；方法=LOCAL128</x:v>
      </x:c>
      <x:c r="E790" s="19" t="str">
        <x:v>N1预测</x:v>
      </x:c>
      <x:c r="F790" s="19" t="str">
        <x:v>3232</x:v>
      </x:c>
      <x:c r="G790" s="19" t="str">
        <x:v>速度/计算</x:v>
      </x:c>
      <x:c r="H790" s="19" t="str">
        <x:v>D:/Codex/GRL研究/outputs/grid16/GRID16_report.md</x:v>
      </x:c>
    </x:row>
    <x:row r="791" ht="36" customHeight="1">
      <x:c r="A791" s="19" t="str">
        <x:v>GRID16</x:v>
      </x:c>
      <x:c r="B791" s="19" t="str">
        <x:v>GRID16_report.md</x:v>
      </x:c>
      <x:c r="C791" s="19" t="str">
        <x:v>2. 完整周主比较</x:v>
      </x:c>
      <x:c r="D791" s="19" t="str">
        <x:v>周=2035-01-29_4；方法=LOCAL128</x:v>
      </x:c>
      <x:c r="E791" s="19" t="str">
        <x:v>完整池回退</x:v>
      </x:c>
      <x:c r="F791" s="19" t="str">
        <x:v>3</x:v>
      </x:c>
      <x:c r="G791" s="19" t="str">
        <x:v>其他/配置</x:v>
      </x:c>
      <x:c r="H791" s="19" t="str">
        <x:v>D:/Codex/GRL研究/outputs/grid16/GRID16_report.md</x:v>
      </x:c>
    </x:row>
    <x:row r="792" ht="36" customHeight="1">
      <x:c r="A792" s="19" t="str">
        <x:v>GRID16</x:v>
      </x:c>
      <x:c r="B792" s="19" t="str">
        <x:v>GRID16_report.md</x:v>
      </x:c>
      <x:c r="C792" s="19" t="str">
        <x:v>2. 完整周主比较</x:v>
      </x:c>
      <x:c r="D792" s="19" t="str">
        <x:v>周=2035-01-29_4；方法=LOCAL128</x:v>
      </x:c>
      <x:c r="E792" s="19" t="str">
        <x:v>控制秒</x:v>
      </x:c>
      <x:c r="F792" s="19" t="str">
        <x:v>169.34</x:v>
      </x:c>
      <x:c r="G792" s="19" t="str">
        <x:v>速度/计算</x:v>
      </x:c>
      <x:c r="H792" s="19" t="str">
        <x:v>D:/Codex/GRL研究/outputs/grid16/GRID16_report.md</x:v>
      </x:c>
    </x:row>
    <x:row r="793" ht="36" customHeight="1">
      <x:c r="A793" s="19" t="str">
        <x:v>GRID16</x:v>
      </x:c>
      <x:c r="B793" s="19" t="str">
        <x:v>GRID16_report.md</x:v>
      </x:c>
      <x:c r="C793" s="19" t="str">
        <x:v>2. 完整周主比较</x:v>
      </x:c>
      <x:c r="D793" s="19" t="str">
        <x:v>周=2035-01-29_4；方法=OLDNN128</x:v>
      </x:c>
      <x:c r="E793" s="19" t="str">
        <x:v>方法</x:v>
      </x:c>
      <x:c r="F793" s="19" t="str">
        <x:v>OLDNN128</x:v>
      </x:c>
      <x:c r="G793" s="19" t="str">
        <x:v>其他/配置</x:v>
      </x:c>
      <x:c r="H793" s="19" t="str">
        <x:v>D:/Codex/GRL研究/outputs/grid16/GRID16_report.md</x:v>
      </x:c>
    </x:row>
    <x:row r="794" ht="36" customHeight="1">
      <x:c r="A794" s="19" t="str">
        <x:v>GRID16</x:v>
      </x:c>
      <x:c r="B794" s="19" t="str">
        <x:v>GRID16_report.md</x:v>
      </x:c>
      <x:c r="C794" s="19" t="str">
        <x:v>2. 完整周主比较</x:v>
      </x:c>
      <x:c r="D794" s="19" t="str">
        <x:v>周=2035-01-29_4；方法=OLDNN128</x:v>
      </x:c>
      <x:c r="E794" s="19" t="str">
        <x:v>运行步数</x:v>
      </x:c>
      <x:c r="F794" s="19" t="str">
        <x:v>1719</x:v>
      </x:c>
      <x:c r="G794" s="19" t="str">
        <x:v>质量/成本</x:v>
      </x:c>
      <x:c r="H794" s="19" t="str">
        <x:v>D:/Codex/GRL研究/outputs/grid16/GRID16_report.md</x:v>
      </x:c>
    </x:row>
    <x:row r="795" ht="36" customHeight="1">
      <x:c r="A795" s="19" t="str">
        <x:v>GRID16</x:v>
      </x:c>
      <x:c r="B795" s="19" t="str">
        <x:v>GRID16_report.md</x:v>
      </x:c>
      <x:c r="C795" s="19" t="str">
        <x:v>2. 完整周主比较</x:v>
      </x:c>
      <x:c r="D795" s="19" t="str">
        <x:v>周=2035-01-29_4；方法=OLDNN128</x:v>
      </x:c>
      <x:c r="E795" s="19" t="str">
        <x:v>完整</x:v>
      </x:c>
      <x:c r="F795" s="19" t="str">
        <x:v>False</x:v>
      </x:c>
      <x:c r="G795" s="19" t="str">
        <x:v>其他/配置</x:v>
      </x:c>
      <x:c r="H795" s="19" t="str">
        <x:v>D:/Codex/GRL研究/outputs/grid16/GRID16_report.md</x:v>
      </x:c>
    </x:row>
    <x:row r="796" ht="36" customHeight="1">
      <x:c r="A796" s="19" t="str">
        <x:v>GRID16</x:v>
      </x:c>
      <x:c r="B796" s="19" t="str">
        <x:v>GRID16_report.md</x:v>
      </x:c>
      <x:c r="C796" s="19" t="str">
        <x:v>2. 完整周主比较</x:v>
      </x:c>
      <x:c r="D796" s="19" t="str">
        <x:v>周=2035-01-29_4；方法=OLDNN128</x:v>
      </x:c>
      <x:c r="E796" s="19" t="str">
        <x:v>模拟成本</x:v>
      </x:c>
      <x:c r="F796" s="19" t="str">
        <x:v>2558519.38</x:v>
      </x:c>
      <x:c r="G796" s="19" t="str">
        <x:v>质量/成本</x:v>
      </x:c>
      <x:c r="H796" s="19" t="str">
        <x:v>D:/Codex/GRL研究/outputs/grid16/GRID16_report.md</x:v>
      </x:c>
    </x:row>
    <x:row r="797" ht="36" customHeight="1">
      <x:c r="A797" s="19" t="str">
        <x:v>GRID16</x:v>
      </x:c>
      <x:c r="B797" s="19" t="str">
        <x:v>GRID16_report.md</x:v>
      </x:c>
      <x:c r="C797" s="19" t="str">
        <x:v>2. 完整周主比较</x:v>
      </x:c>
      <x:c r="D797" s="19" t="str">
        <x:v>周=2035-01-29_4；方法=OLDNN128</x:v>
      </x:c>
      <x:c r="E797" s="19" t="str">
        <x:v>N1预测</x:v>
      </x:c>
      <x:c r="F797" s="19" t="str">
        <x:v>3104</x:v>
      </x:c>
      <x:c r="G797" s="19" t="str">
        <x:v>速度/计算</x:v>
      </x:c>
      <x:c r="H797" s="19" t="str">
        <x:v>D:/Codex/GRL研究/outputs/grid16/GRID16_report.md</x:v>
      </x:c>
    </x:row>
    <x:row r="798" ht="36" customHeight="1">
      <x:c r="A798" s="19" t="str">
        <x:v>GRID16</x:v>
      </x:c>
      <x:c r="B798" s="19" t="str">
        <x:v>GRID16_report.md</x:v>
      </x:c>
      <x:c r="C798" s="19" t="str">
        <x:v>2. 完整周主比较</x:v>
      </x:c>
      <x:c r="D798" s="19" t="str">
        <x:v>周=2035-01-29_4；方法=OLDNN128</x:v>
      </x:c>
      <x:c r="E798" s="19" t="str">
        <x:v>完整池回退</x:v>
      </x:c>
      <x:c r="F798" s="19" t="str">
        <x:v>3</x:v>
      </x:c>
      <x:c r="G798" s="19" t="str">
        <x:v>其他/配置</x:v>
      </x:c>
      <x:c r="H798" s="19" t="str">
        <x:v>D:/Codex/GRL研究/outputs/grid16/GRID16_report.md</x:v>
      </x:c>
    </x:row>
    <x:row r="799" ht="36" customHeight="1">
      <x:c r="A799" s="19" t="str">
        <x:v>GRID16</x:v>
      </x:c>
      <x:c r="B799" s="19" t="str">
        <x:v>GRID16_report.md</x:v>
      </x:c>
      <x:c r="C799" s="19" t="str">
        <x:v>2. 完整周主比较</x:v>
      </x:c>
      <x:c r="D799" s="19" t="str">
        <x:v>周=2035-01-29_4；方法=OLDNN128</x:v>
      </x:c>
      <x:c r="E799" s="19" t="str">
        <x:v>控制秒</x:v>
      </x:c>
      <x:c r="F799" s="19" t="str">
        <x:v>159.49</x:v>
      </x:c>
      <x:c r="G799" s="19" t="str">
        <x:v>速度/计算</x:v>
      </x:c>
      <x:c r="H799" s="19" t="str">
        <x:v>D:/Codex/GRL研究/outputs/grid16/GRID16_report.md</x:v>
      </x:c>
    </x:row>
    <x:row r="800" ht="36" customHeight="1">
      <x:c r="A800" s="19" t="str">
        <x:v>GRID16</x:v>
      </x:c>
      <x:c r="B800" s="19" t="str">
        <x:v>GRID16_report.md</x:v>
      </x:c>
      <x:c r="C800" s="19" t="str">
        <x:v>2. 完整周主比较</x:v>
      </x:c>
      <x:c r="D800" s="19" t="str">
        <x:v>周=2035-01-29_4；方法=ZONE</x:v>
      </x:c>
      <x:c r="E800" s="19" t="str">
        <x:v>方法</x:v>
      </x:c>
      <x:c r="F800" s="19" t="str">
        <x:v>ZONE</x:v>
      </x:c>
      <x:c r="G800" s="19" t="str">
        <x:v>其他/配置</x:v>
      </x:c>
      <x:c r="H800" s="19" t="str">
        <x:v>D:/Codex/GRL研究/outputs/grid16/GRID16_report.md</x:v>
      </x:c>
    </x:row>
    <x:row r="801" ht="36" customHeight="1">
      <x:c r="A801" s="19" t="str">
        <x:v>GRID16</x:v>
      </x:c>
      <x:c r="B801" s="19" t="str">
        <x:v>GRID16_report.md</x:v>
      </x:c>
      <x:c r="C801" s="19" t="str">
        <x:v>2. 完整周主比较</x:v>
      </x:c>
      <x:c r="D801" s="19" t="str">
        <x:v>周=2035-01-29_4；方法=ZONE</x:v>
      </x:c>
      <x:c r="E801" s="19" t="str">
        <x:v>运行步数</x:v>
      </x:c>
      <x:c r="F801" s="19" t="str">
        <x:v>1719</x:v>
      </x:c>
      <x:c r="G801" s="19" t="str">
        <x:v>质量/成本</x:v>
      </x:c>
      <x:c r="H801" s="19" t="str">
        <x:v>D:/Codex/GRL研究/outputs/grid16/GRID16_report.md</x:v>
      </x:c>
    </x:row>
    <x:row r="802" ht="36" customHeight="1">
      <x:c r="A802" s="19" t="str">
        <x:v>GRID16</x:v>
      </x:c>
      <x:c r="B802" s="19" t="str">
        <x:v>GRID16_report.md</x:v>
      </x:c>
      <x:c r="C802" s="19" t="str">
        <x:v>2. 完整周主比较</x:v>
      </x:c>
      <x:c r="D802" s="19" t="str">
        <x:v>周=2035-01-29_4；方法=ZONE</x:v>
      </x:c>
      <x:c r="E802" s="19" t="str">
        <x:v>完整</x:v>
      </x:c>
      <x:c r="F802" s="19" t="str">
        <x:v>False</x:v>
      </x:c>
      <x:c r="G802" s="19" t="str">
        <x:v>其他/配置</x:v>
      </x:c>
      <x:c r="H802" s="19" t="str">
        <x:v>D:/Codex/GRL研究/outputs/grid16/GRID16_report.md</x:v>
      </x:c>
    </x:row>
    <x:row r="803" ht="36" customHeight="1">
      <x:c r="A803" s="19" t="str">
        <x:v>GRID16</x:v>
      </x:c>
      <x:c r="B803" s="19" t="str">
        <x:v>GRID16_report.md</x:v>
      </x:c>
      <x:c r="C803" s="19" t="str">
        <x:v>2. 完整周主比较</x:v>
      </x:c>
      <x:c r="D803" s="19" t="str">
        <x:v>周=2035-01-29_4；方法=ZONE</x:v>
      </x:c>
      <x:c r="E803" s="19" t="str">
        <x:v>模拟成本</x:v>
      </x:c>
      <x:c r="F803" s="19" t="str">
        <x:v>2555318.18</x:v>
      </x:c>
      <x:c r="G803" s="19" t="str">
        <x:v>质量/成本</x:v>
      </x:c>
      <x:c r="H803" s="19" t="str">
        <x:v>D:/Codex/GRL研究/outputs/grid16/GRID16_report.md</x:v>
      </x:c>
    </x:row>
    <x:row r="804" ht="36" customHeight="1">
      <x:c r="A804" s="19" t="str">
        <x:v>GRID16</x:v>
      </x:c>
      <x:c r="B804" s="19" t="str">
        <x:v>GRID16_report.md</x:v>
      </x:c>
      <x:c r="C804" s="19" t="str">
        <x:v>2. 完整周主比较</x:v>
      </x:c>
      <x:c r="D804" s="19" t="str">
        <x:v>周=2035-01-29_4；方法=ZONE</x:v>
      </x:c>
      <x:c r="E804" s="19" t="str">
        <x:v>N1预测</x:v>
      </x:c>
      <x:c r="F804" s="19" t="str">
        <x:v>4602</x:v>
      </x:c>
      <x:c r="G804" s="19" t="str">
        <x:v>速度/计算</x:v>
      </x:c>
      <x:c r="H804" s="19" t="str">
        <x:v>D:/Codex/GRL研究/outputs/grid16/GRID16_report.md</x:v>
      </x:c>
    </x:row>
    <x:row r="805" ht="36" customHeight="1">
      <x:c r="A805" s="19" t="str">
        <x:v>GRID16</x:v>
      </x:c>
      <x:c r="B805" s="19" t="str">
        <x:v>GRID16_report.md</x:v>
      </x:c>
      <x:c r="C805" s="19" t="str">
        <x:v>2. 完整周主比较</x:v>
      </x:c>
      <x:c r="D805" s="19" t="str">
        <x:v>周=2035-01-29_4；方法=ZONE</x:v>
      </x:c>
      <x:c r="E805" s="19" t="str">
        <x:v>完整池回退</x:v>
      </x:c>
      <x:c r="F805" s="19" t="str">
        <x:v>3</x:v>
      </x:c>
      <x:c r="G805" s="19" t="str">
        <x:v>其他/配置</x:v>
      </x:c>
      <x:c r="H805" s="19" t="str">
        <x:v>D:/Codex/GRL研究/outputs/grid16/GRID16_report.md</x:v>
      </x:c>
    </x:row>
    <x:row r="806" ht="36" customHeight="1">
      <x:c r="A806" s="19" t="str">
        <x:v>GRID16</x:v>
      </x:c>
      <x:c r="B806" s="19" t="str">
        <x:v>GRID16_report.md</x:v>
      </x:c>
      <x:c r="C806" s="19" t="str">
        <x:v>2. 完整周主比较</x:v>
      </x:c>
      <x:c r="D806" s="19" t="str">
        <x:v>周=2035-01-29_4；方法=ZONE</x:v>
      </x:c>
      <x:c r="E806" s="19" t="str">
        <x:v>控制秒</x:v>
      </x:c>
      <x:c r="F806" s="19" t="str">
        <x:v>157.47</x:v>
      </x:c>
      <x:c r="G806" s="19" t="str">
        <x:v>速度/计算</x:v>
      </x:c>
      <x:c r="H806" s="19" t="str">
        <x:v>D:/Codex/GRL研究/outputs/grid16/GRID16_report.md</x:v>
      </x:c>
    </x:row>
    <x:row r="807" ht="36" customHeight="1">
      <x:c r="A807" s="19" t="str">
        <x:v>GRID16</x:v>
      </x:c>
      <x:c r="B807" s="19" t="str">
        <x:v>GRID16_report.md</x:v>
      </x:c>
      <x:c r="C807" s="19" t="str">
        <x:v>2. 完整周主比较</x:v>
      </x:c>
      <x:c r="D807" s="19" t="str">
        <x:v>周=2035-04-16_2；方法=LOCAL128</x:v>
      </x:c>
      <x:c r="E807" s="19" t="str">
        <x:v>方法</x:v>
      </x:c>
      <x:c r="F807" s="19" t="str">
        <x:v>LOCAL128</x:v>
      </x:c>
      <x:c r="G807" s="19" t="str">
        <x:v>其他/配置</x:v>
      </x:c>
      <x:c r="H807" s="19" t="str">
        <x:v>D:/Codex/GRL研究/outputs/grid16/GRID16_report.md</x:v>
      </x:c>
    </x:row>
    <x:row r="808" ht="36" customHeight="1">
      <x:c r="A808" s="19" t="str">
        <x:v>GRID16</x:v>
      </x:c>
      <x:c r="B808" s="19" t="str">
        <x:v>GRID16_report.md</x:v>
      </x:c>
      <x:c r="C808" s="19" t="str">
        <x:v>2. 完整周主比较</x:v>
      </x:c>
      <x:c r="D808" s="19" t="str">
        <x:v>周=2035-04-16_2；方法=LOCAL128</x:v>
      </x:c>
      <x:c r="E808" s="19" t="str">
        <x:v>运行步数</x:v>
      </x:c>
      <x:c r="F808" s="19" t="str">
        <x:v>2017</x:v>
      </x:c>
      <x:c r="G808" s="19" t="str">
        <x:v>质量/成本</x:v>
      </x:c>
      <x:c r="H808" s="19" t="str">
        <x:v>D:/Codex/GRL研究/outputs/grid16/GRID16_report.md</x:v>
      </x:c>
    </x:row>
    <x:row r="809" ht="36" customHeight="1">
      <x:c r="A809" s="19" t="str">
        <x:v>GRID16</x:v>
      </x:c>
      <x:c r="B809" s="19" t="str">
        <x:v>GRID16_report.md</x:v>
      </x:c>
      <x:c r="C809" s="19" t="str">
        <x:v>2. 完整周主比较</x:v>
      </x:c>
      <x:c r="D809" s="19" t="str">
        <x:v>周=2035-04-16_2；方法=LOCAL128</x:v>
      </x:c>
      <x:c r="E809" s="19" t="str">
        <x:v>完整</x:v>
      </x:c>
      <x:c r="F809" s="19" t="str">
        <x:v>True</x:v>
      </x:c>
      <x:c r="G809" s="19" t="str">
        <x:v>其他/配置</x:v>
      </x:c>
      <x:c r="H809" s="19" t="str">
        <x:v>D:/Codex/GRL研究/outputs/grid16/GRID16_report.md</x:v>
      </x:c>
    </x:row>
    <x:row r="810" ht="36" customHeight="1">
      <x:c r="A810" s="19" t="str">
        <x:v>GRID16</x:v>
      </x:c>
      <x:c r="B810" s="19" t="str">
        <x:v>GRID16_report.md</x:v>
      </x:c>
      <x:c r="C810" s="19" t="str">
        <x:v>2. 完整周主比较</x:v>
      </x:c>
      <x:c r="D810" s="19" t="str">
        <x:v>周=2035-04-16_2；方法=LOCAL128</x:v>
      </x:c>
      <x:c r="E810" s="19" t="str">
        <x:v>模拟成本</x:v>
      </x:c>
      <x:c r="F810" s="19" t="str">
        <x:v>2539895.26</x:v>
      </x:c>
      <x:c r="G810" s="19" t="str">
        <x:v>质量/成本</x:v>
      </x:c>
      <x:c r="H810" s="19" t="str">
        <x:v>D:/Codex/GRL研究/outputs/grid16/GRID16_report.md</x:v>
      </x:c>
    </x:row>
    <x:row r="811" ht="36" customHeight="1">
      <x:c r="A811" s="19" t="str">
        <x:v>GRID16</x:v>
      </x:c>
      <x:c r="B811" s="19" t="str">
        <x:v>GRID16_report.md</x:v>
      </x:c>
      <x:c r="C811" s="19" t="str">
        <x:v>2. 完整周主比较</x:v>
      </x:c>
      <x:c r="D811" s="19" t="str">
        <x:v>周=2035-04-16_2；方法=LOCAL128</x:v>
      </x:c>
      <x:c r="E811" s="19" t="str">
        <x:v>N1预测</x:v>
      </x:c>
      <x:c r="F811" s="19" t="str">
        <x:v>768</x:v>
      </x:c>
      <x:c r="G811" s="19" t="str">
        <x:v>速度/计算</x:v>
      </x:c>
      <x:c r="H811" s="19" t="str">
        <x:v>D:/Codex/GRL研究/outputs/grid16/GRID16_report.md</x:v>
      </x:c>
    </x:row>
    <x:row r="812" ht="36" customHeight="1">
      <x:c r="A812" s="19" t="str">
        <x:v>GRID16</x:v>
      </x:c>
      <x:c r="B812" s="19" t="str">
        <x:v>GRID16_report.md</x:v>
      </x:c>
      <x:c r="C812" s="19" t="str">
        <x:v>2. 完整周主比较</x:v>
      </x:c>
      <x:c r="D812" s="19" t="str">
        <x:v>周=2035-04-16_2；方法=LOCAL128</x:v>
      </x:c>
      <x:c r="E812" s="19" t="str">
        <x:v>完整池回退</x:v>
      </x:c>
      <x:c r="F812" s="19" t="str">
        <x:v>0</x:v>
      </x:c>
      <x:c r="G812" s="19" t="str">
        <x:v>其他/配置</x:v>
      </x:c>
      <x:c r="H812" s="19" t="str">
        <x:v>D:/Codex/GRL研究/outputs/grid16/GRID16_report.md</x:v>
      </x:c>
    </x:row>
    <x:row r="813" ht="36" customHeight="1">
      <x:c r="A813" s="19" t="str">
        <x:v>GRID16</x:v>
      </x:c>
      <x:c r="B813" s="19" t="str">
        <x:v>GRID16_report.md</x:v>
      </x:c>
      <x:c r="C813" s="19" t="str">
        <x:v>2. 完整周主比较</x:v>
      </x:c>
      <x:c r="D813" s="19" t="str">
        <x:v>周=2035-04-16_2；方法=LOCAL128</x:v>
      </x:c>
      <x:c r="E813" s="19" t="str">
        <x:v>控制秒</x:v>
      </x:c>
      <x:c r="F813" s="19" t="str">
        <x:v>126.27</x:v>
      </x:c>
      <x:c r="G813" s="19" t="str">
        <x:v>速度/计算</x:v>
      </x:c>
      <x:c r="H813" s="19" t="str">
        <x:v>D:/Codex/GRL研究/outputs/grid16/GRID16_report.md</x:v>
      </x:c>
    </x:row>
    <x:row r="814" ht="36" customHeight="1">
      <x:c r="A814" s="19" t="str">
        <x:v>GRID16</x:v>
      </x:c>
      <x:c r="B814" s="19" t="str">
        <x:v>GRID16_report.md</x:v>
      </x:c>
      <x:c r="C814" s="19" t="str">
        <x:v>2. 完整周主比较</x:v>
      </x:c>
      <x:c r="D814" s="19" t="str">
        <x:v>周=2035-04-16_2；方法=OLDNN128</x:v>
      </x:c>
      <x:c r="E814" s="19" t="str">
        <x:v>方法</x:v>
      </x:c>
      <x:c r="F814" s="19" t="str">
        <x:v>OLDNN128</x:v>
      </x:c>
      <x:c r="G814" s="19" t="str">
        <x:v>其他/配置</x:v>
      </x:c>
      <x:c r="H814" s="19" t="str">
        <x:v>D:/Codex/GRL研究/outputs/grid16/GRID16_report.md</x:v>
      </x:c>
    </x:row>
    <x:row r="815" ht="36" customHeight="1">
      <x:c r="A815" s="19" t="str">
        <x:v>GRID16</x:v>
      </x:c>
      <x:c r="B815" s="19" t="str">
        <x:v>GRID16_report.md</x:v>
      </x:c>
      <x:c r="C815" s="19" t="str">
        <x:v>2. 完整周主比较</x:v>
      </x:c>
      <x:c r="D815" s="19" t="str">
        <x:v>周=2035-04-16_2；方法=OLDNN128</x:v>
      </x:c>
      <x:c r="E815" s="19" t="str">
        <x:v>运行步数</x:v>
      </x:c>
      <x:c r="F815" s="19" t="str">
        <x:v>2017</x:v>
      </x:c>
      <x:c r="G815" s="19" t="str">
        <x:v>质量/成本</x:v>
      </x:c>
      <x:c r="H815" s="19" t="str">
        <x:v>D:/Codex/GRL研究/outputs/grid16/GRID16_report.md</x:v>
      </x:c>
    </x:row>
    <x:row r="816" ht="36" customHeight="1">
      <x:c r="A816" s="19" t="str">
        <x:v>GRID16</x:v>
      </x:c>
      <x:c r="B816" s="19" t="str">
        <x:v>GRID16_report.md</x:v>
      </x:c>
      <x:c r="C816" s="19" t="str">
        <x:v>2. 完整周主比较</x:v>
      </x:c>
      <x:c r="D816" s="19" t="str">
        <x:v>周=2035-04-16_2；方法=OLDNN128</x:v>
      </x:c>
      <x:c r="E816" s="19" t="str">
        <x:v>完整</x:v>
      </x:c>
      <x:c r="F816" s="19" t="str">
        <x:v>True</x:v>
      </x:c>
      <x:c r="G816" s="19" t="str">
        <x:v>其他/配置</x:v>
      </x:c>
      <x:c r="H816" s="19" t="str">
        <x:v>D:/Codex/GRL研究/outputs/grid16/GRID16_report.md</x:v>
      </x:c>
    </x:row>
    <x:row r="817" ht="36" customHeight="1">
      <x:c r="A817" s="19" t="str">
        <x:v>GRID16</x:v>
      </x:c>
      <x:c r="B817" s="19" t="str">
        <x:v>GRID16_report.md</x:v>
      </x:c>
      <x:c r="C817" s="19" t="str">
        <x:v>2. 完整周主比较</x:v>
      </x:c>
      <x:c r="D817" s="19" t="str">
        <x:v>周=2035-04-16_2；方法=OLDNN128</x:v>
      </x:c>
      <x:c r="E817" s="19" t="str">
        <x:v>模拟成本</x:v>
      </x:c>
      <x:c r="F817" s="19" t="str">
        <x:v>2570045.09</x:v>
      </x:c>
      <x:c r="G817" s="19" t="str">
        <x:v>质量/成本</x:v>
      </x:c>
      <x:c r="H817" s="19" t="str">
        <x:v>D:/Codex/GRL研究/outputs/grid16/GRID16_report.md</x:v>
      </x:c>
    </x:row>
    <x:row r="818" ht="36" customHeight="1">
      <x:c r="A818" s="19" t="str">
        <x:v>GRID16</x:v>
      </x:c>
      <x:c r="B818" s="19" t="str">
        <x:v>GRID16_report.md</x:v>
      </x:c>
      <x:c r="C818" s="19" t="str">
        <x:v>2. 完整周主比较</x:v>
      </x:c>
      <x:c r="D818" s="19" t="str">
        <x:v>周=2035-04-16_2；方法=OLDNN128</x:v>
      </x:c>
      <x:c r="E818" s="19" t="str">
        <x:v>N1预测</x:v>
      </x:c>
      <x:c r="F818" s="19" t="str">
        <x:v>768</x:v>
      </x:c>
      <x:c r="G818" s="19" t="str">
        <x:v>速度/计算</x:v>
      </x:c>
      <x:c r="H818" s="19" t="str">
        <x:v>D:/Codex/GRL研究/outputs/grid16/GRID16_report.md</x:v>
      </x:c>
    </x:row>
    <x:row r="819" ht="36" customHeight="1">
      <x:c r="A819" s="19" t="str">
        <x:v>GRID16</x:v>
      </x:c>
      <x:c r="B819" s="19" t="str">
        <x:v>GRID16_report.md</x:v>
      </x:c>
      <x:c r="C819" s="19" t="str">
        <x:v>2. 完整周主比较</x:v>
      </x:c>
      <x:c r="D819" s="19" t="str">
        <x:v>周=2035-04-16_2；方法=OLDNN128</x:v>
      </x:c>
      <x:c r="E819" s="19" t="str">
        <x:v>完整池回退</x:v>
      </x:c>
      <x:c r="F819" s="19" t="str">
        <x:v>0</x:v>
      </x:c>
      <x:c r="G819" s="19" t="str">
        <x:v>其他/配置</x:v>
      </x:c>
      <x:c r="H819" s="19" t="str">
        <x:v>D:/Codex/GRL研究/outputs/grid16/GRID16_report.md</x:v>
      </x:c>
    </x:row>
    <x:row r="820" ht="36" customHeight="1">
      <x:c r="A820" s="19" t="str">
        <x:v>GRID16</x:v>
      </x:c>
      <x:c r="B820" s="19" t="str">
        <x:v>GRID16_report.md</x:v>
      </x:c>
      <x:c r="C820" s="19" t="str">
        <x:v>2. 完整周主比较</x:v>
      </x:c>
      <x:c r="D820" s="19" t="str">
        <x:v>周=2035-04-16_2；方法=OLDNN128</x:v>
      </x:c>
      <x:c r="E820" s="19" t="str">
        <x:v>控制秒</x:v>
      </x:c>
      <x:c r="F820" s="19" t="str">
        <x:v>118.24</x:v>
      </x:c>
      <x:c r="G820" s="19" t="str">
        <x:v>速度/计算</x:v>
      </x:c>
      <x:c r="H820" s="19" t="str">
        <x:v>D:/Codex/GRL研究/outputs/grid16/GRID16_report.md</x:v>
      </x:c>
    </x:row>
    <x:row r="821" ht="36" customHeight="1">
      <x:c r="A821" s="19" t="str">
        <x:v>GRID16</x:v>
      </x:c>
      <x:c r="B821" s="19" t="str">
        <x:v>GRID16_report.md</x:v>
      </x:c>
      <x:c r="C821" s="19" t="str">
        <x:v>2. 完整周主比较</x:v>
      </x:c>
      <x:c r="D821" s="19" t="str">
        <x:v>周=2035-04-16_2；方法=ZONE</x:v>
      </x:c>
      <x:c r="E821" s="19" t="str">
        <x:v>方法</x:v>
      </x:c>
      <x:c r="F821" s="19" t="str">
        <x:v>ZONE</x:v>
      </x:c>
      <x:c r="G821" s="19" t="str">
        <x:v>其他/配置</x:v>
      </x:c>
      <x:c r="H821" s="19" t="str">
        <x:v>D:/Codex/GRL研究/outputs/grid16/GRID16_report.md</x:v>
      </x:c>
    </x:row>
    <x:row r="822" ht="36" customHeight="1">
      <x:c r="A822" s="19" t="str">
        <x:v>GRID16</x:v>
      </x:c>
      <x:c r="B822" s="19" t="str">
        <x:v>GRID16_report.md</x:v>
      </x:c>
      <x:c r="C822" s="19" t="str">
        <x:v>2. 完整周主比较</x:v>
      </x:c>
      <x:c r="D822" s="19" t="str">
        <x:v>周=2035-04-16_2；方法=ZONE</x:v>
      </x:c>
      <x:c r="E822" s="19" t="str">
        <x:v>运行步数</x:v>
      </x:c>
      <x:c r="F822" s="19" t="str">
        <x:v>2017</x:v>
      </x:c>
      <x:c r="G822" s="19" t="str">
        <x:v>质量/成本</x:v>
      </x:c>
      <x:c r="H822" s="19" t="str">
        <x:v>D:/Codex/GRL研究/outputs/grid16/GRID16_report.md</x:v>
      </x:c>
    </x:row>
    <x:row r="823" ht="36" customHeight="1">
      <x:c r="A823" s="19" t="str">
        <x:v>GRID16</x:v>
      </x:c>
      <x:c r="B823" s="19" t="str">
        <x:v>GRID16_report.md</x:v>
      </x:c>
      <x:c r="C823" s="19" t="str">
        <x:v>2. 完整周主比较</x:v>
      </x:c>
      <x:c r="D823" s="19" t="str">
        <x:v>周=2035-04-16_2；方法=ZONE</x:v>
      </x:c>
      <x:c r="E823" s="19" t="str">
        <x:v>完整</x:v>
      </x:c>
      <x:c r="F823" s="19" t="str">
        <x:v>True</x:v>
      </x:c>
      <x:c r="G823" s="19" t="str">
        <x:v>其他/配置</x:v>
      </x:c>
      <x:c r="H823" s="19" t="str">
        <x:v>D:/Codex/GRL研究/outputs/grid16/GRID16_report.md</x:v>
      </x:c>
    </x:row>
    <x:row r="824" ht="36" customHeight="1">
      <x:c r="A824" s="19" t="str">
        <x:v>GRID16</x:v>
      </x:c>
      <x:c r="B824" s="19" t="str">
        <x:v>GRID16_report.md</x:v>
      </x:c>
      <x:c r="C824" s="19" t="str">
        <x:v>2. 完整周主比较</x:v>
      </x:c>
      <x:c r="D824" s="19" t="str">
        <x:v>周=2035-04-16_2；方法=ZONE</x:v>
      </x:c>
      <x:c r="E824" s="19" t="str">
        <x:v>模拟成本</x:v>
      </x:c>
      <x:c r="F824" s="19" t="str">
        <x:v>2514014.42</x:v>
      </x:c>
      <x:c r="G824" s="19" t="str">
        <x:v>质量/成本</x:v>
      </x:c>
      <x:c r="H824" s="19" t="str">
        <x:v>D:/Codex/GRL研究/outputs/grid16/GRID16_report.md</x:v>
      </x:c>
    </x:row>
    <x:row r="825" ht="36" customHeight="1">
      <x:c r="A825" s="19" t="str">
        <x:v>GRID16</x:v>
      </x:c>
      <x:c r="B825" s="19" t="str">
        <x:v>GRID16_report.md</x:v>
      </x:c>
      <x:c r="C825" s="19" t="str">
        <x:v>2. 完整周主比较</x:v>
      </x:c>
      <x:c r="D825" s="19" t="str">
        <x:v>周=2035-04-16_2；方法=ZONE</x:v>
      </x:c>
      <x:c r="E825" s="19" t="str">
        <x:v>N1预测</x:v>
      </x:c>
      <x:c r="F825" s="19" t="str">
        <x:v>2256</x:v>
      </x:c>
      <x:c r="G825" s="19" t="str">
        <x:v>速度/计算</x:v>
      </x:c>
      <x:c r="H825" s="19" t="str">
        <x:v>D:/Codex/GRL研究/outputs/grid16/GRID16_report.md</x:v>
      </x:c>
    </x:row>
    <x:row r="826" ht="36" customHeight="1">
      <x:c r="A826" s="19" t="str">
        <x:v>GRID16</x:v>
      </x:c>
      <x:c r="B826" s="19" t="str">
        <x:v>GRID16_report.md</x:v>
      </x:c>
      <x:c r="C826" s="19" t="str">
        <x:v>2. 完整周主比较</x:v>
      </x:c>
      <x:c r="D826" s="19" t="str">
        <x:v>周=2035-04-16_2；方法=ZONE</x:v>
      </x:c>
      <x:c r="E826" s="19" t="str">
        <x:v>完整池回退</x:v>
      </x:c>
      <x:c r="F826" s="19" t="str">
        <x:v>0</x:v>
      </x:c>
      <x:c r="G826" s="19" t="str">
        <x:v>其他/配置</x:v>
      </x:c>
      <x:c r="H826" s="19" t="str">
        <x:v>D:/Codex/GRL研究/outputs/grid16/GRID16_report.md</x:v>
      </x:c>
    </x:row>
    <x:row r="827" ht="36" customHeight="1">
      <x:c r="A827" s="19" t="str">
        <x:v>GRID16</x:v>
      </x:c>
      <x:c r="B827" s="19" t="str">
        <x:v>GRID16_report.md</x:v>
      </x:c>
      <x:c r="C827" s="19" t="str">
        <x:v>2. 完整周主比较</x:v>
      </x:c>
      <x:c r="D827" s="19" t="str">
        <x:v>周=2035-04-16_2；方法=ZONE</x:v>
      </x:c>
      <x:c r="E827" s="19" t="str">
        <x:v>控制秒</x:v>
      </x:c>
      <x:c r="F827" s="19" t="str">
        <x:v>124.19</x:v>
      </x:c>
      <x:c r="G827" s="19" t="str">
        <x:v>速度/计算</x:v>
      </x:c>
      <x:c r="H827" s="19" t="str">
        <x:v>D:/Codex/GRL研究/outputs/grid16/GRID16_report.md</x:v>
      </x:c>
    </x:row>
    <x:row r="828" ht="36" customHeight="1">
      <x:c r="A828" s="19" t="str">
        <x:v>GRID16</x:v>
      </x:c>
      <x:c r="B828" s="19" t="str">
        <x:v>GRID16_report.md</x:v>
      </x:c>
      <x:c r="C828" s="19" t="str">
        <x:v>2. 完整周主比较</x:v>
      </x:c>
      <x:c r="D828" s="19" t="str">
        <x:v>周=2035-04-16_2；方法=FULL</x:v>
      </x:c>
      <x:c r="E828" s="19" t="str">
        <x:v>方法</x:v>
      </x:c>
      <x:c r="F828" s="19" t="str">
        <x:v>FULL</x:v>
      </x:c>
      <x:c r="G828" s="19" t="str">
        <x:v>其他/配置</x:v>
      </x:c>
      <x:c r="H828" s="19" t="str">
        <x:v>D:/Codex/GRL研究/outputs/grid16/GRID16_report.md</x:v>
      </x:c>
    </x:row>
    <x:row r="829" ht="36" customHeight="1">
      <x:c r="A829" s="19" t="str">
        <x:v>GRID16</x:v>
      </x:c>
      <x:c r="B829" s="19" t="str">
        <x:v>GRID16_report.md</x:v>
      </x:c>
      <x:c r="C829" s="19" t="str">
        <x:v>2. 完整周主比较</x:v>
      </x:c>
      <x:c r="D829" s="19" t="str">
        <x:v>周=2035-04-16_2；方法=FULL</x:v>
      </x:c>
      <x:c r="E829" s="19" t="str">
        <x:v>运行步数</x:v>
      </x:c>
      <x:c r="F829" s="19" t="str">
        <x:v>2017</x:v>
      </x:c>
      <x:c r="G829" s="19" t="str">
        <x:v>质量/成本</x:v>
      </x:c>
      <x:c r="H829" s="19" t="str">
        <x:v>D:/Codex/GRL研究/outputs/grid16/GRID16_report.md</x:v>
      </x:c>
    </x:row>
    <x:row r="830" ht="36" customHeight="1">
      <x:c r="A830" s="19" t="str">
        <x:v>GRID16</x:v>
      </x:c>
      <x:c r="B830" s="19" t="str">
        <x:v>GRID16_report.md</x:v>
      </x:c>
      <x:c r="C830" s="19" t="str">
        <x:v>2. 完整周主比较</x:v>
      </x:c>
      <x:c r="D830" s="19" t="str">
        <x:v>周=2035-04-16_2；方法=FULL</x:v>
      </x:c>
      <x:c r="E830" s="19" t="str">
        <x:v>完整</x:v>
      </x:c>
      <x:c r="F830" s="19" t="str">
        <x:v>True</x:v>
      </x:c>
      <x:c r="G830" s="19" t="str">
        <x:v>其他/配置</x:v>
      </x:c>
      <x:c r="H830" s="19" t="str">
        <x:v>D:/Codex/GRL研究/outputs/grid16/GRID16_report.md</x:v>
      </x:c>
    </x:row>
    <x:row r="831" ht="36" customHeight="1">
      <x:c r="A831" s="19" t="str">
        <x:v>GRID16</x:v>
      </x:c>
      <x:c r="B831" s="19" t="str">
        <x:v>GRID16_report.md</x:v>
      </x:c>
      <x:c r="C831" s="19" t="str">
        <x:v>2. 完整周主比较</x:v>
      </x:c>
      <x:c r="D831" s="19" t="str">
        <x:v>周=2035-04-16_2；方法=FULL</x:v>
      </x:c>
      <x:c r="E831" s="19" t="str">
        <x:v>模拟成本</x:v>
      </x:c>
      <x:c r="F831" s="19" t="str">
        <x:v>2570047.61</x:v>
      </x:c>
      <x:c r="G831" s="19" t="str">
        <x:v>质量/成本</x:v>
      </x:c>
      <x:c r="H831" s="19" t="str">
        <x:v>D:/Codex/GRL研究/outputs/grid16/GRID16_report.md</x:v>
      </x:c>
    </x:row>
    <x:row r="832" ht="36" customHeight="1">
      <x:c r="A832" s="19" t="str">
        <x:v>GRID16</x:v>
      </x:c>
      <x:c r="B832" s="19" t="str">
        <x:v>GRID16_report.md</x:v>
      </x:c>
      <x:c r="C832" s="19" t="str">
        <x:v>2. 完整周主比较</x:v>
      </x:c>
      <x:c r="D832" s="19" t="str">
        <x:v>周=2035-04-16_2；方法=FULL</x:v>
      </x:c>
      <x:c r="E832" s="19" t="str">
        <x:v>N1预测</x:v>
      </x:c>
      <x:c r="F832" s="19" t="str">
        <x:v>5454</x:v>
      </x:c>
      <x:c r="G832" s="19" t="str">
        <x:v>速度/计算</x:v>
      </x:c>
      <x:c r="H832" s="19" t="str">
        <x:v>D:/Codex/GRL研究/outputs/grid16/GRID16_report.md</x:v>
      </x:c>
    </x:row>
    <x:row r="833" ht="36" customHeight="1">
      <x:c r="A833" s="19" t="str">
        <x:v>GRID16</x:v>
      </x:c>
      <x:c r="B833" s="19" t="str">
        <x:v>GRID16_report.md</x:v>
      </x:c>
      <x:c r="C833" s="19" t="str">
        <x:v>2. 完整周主比较</x:v>
      </x:c>
      <x:c r="D833" s="19" t="str">
        <x:v>周=2035-04-16_2；方法=FULL</x:v>
      </x:c>
      <x:c r="E833" s="19" t="str">
        <x:v>完整池回退</x:v>
      </x:c>
      <x:c r="F833" s="19" t="str">
        <x:v>0</x:v>
      </x:c>
      <x:c r="G833" s="19" t="str">
        <x:v>其他/配置</x:v>
      </x:c>
      <x:c r="H833" s="19" t="str">
        <x:v>D:/Codex/GRL研究/outputs/grid16/GRID16_report.md</x:v>
      </x:c>
    </x:row>
    <x:row r="834" ht="36" customHeight="1">
      <x:c r="A834" s="19" t="str">
        <x:v>GRID16</x:v>
      </x:c>
      <x:c r="B834" s="19" t="str">
        <x:v>GRID16_report.md</x:v>
      </x:c>
      <x:c r="C834" s="19" t="str">
        <x:v>2. 完整周主比较</x:v>
      </x:c>
      <x:c r="D834" s="19" t="str">
        <x:v>周=2035-04-16_2；方法=FULL</x:v>
      </x:c>
      <x:c r="E834" s="19" t="str">
        <x:v>控制秒</x:v>
      </x:c>
      <x:c r="F834" s="19" t="str">
        <x:v>137.67</x:v>
      </x:c>
      <x:c r="G834" s="19" t="str">
        <x:v>速度/计算</x:v>
      </x:c>
      <x:c r="H834" s="19" t="str">
        <x:v>D:/Codex/GRL研究/outputs/grid16/GRID16_report.md</x:v>
      </x:c>
    </x:row>
    <x:row r="835" ht="36" customHeight="1">
      <x:c r="A835" s="19" t="str">
        <x:v>GRID16</x:v>
      </x:c>
      <x:c r="B835" s="19" t="str">
        <x:v>GRID16_report.md</x:v>
      </x:c>
      <x:c r="C835" s="19" t="str">
        <x:v>2. 完整周主比较</x:v>
      </x:c>
      <x:c r="D835" s="19" t="str">
        <x:v>周=2035-07-23_10；方法=OLDNN128</x:v>
      </x:c>
      <x:c r="E835" s="19" t="str">
        <x:v>方法</x:v>
      </x:c>
      <x:c r="F835" s="19" t="str">
        <x:v>OLDNN128</x:v>
      </x:c>
      <x:c r="G835" s="19" t="str">
        <x:v>其他/配置</x:v>
      </x:c>
      <x:c r="H835" s="19" t="str">
        <x:v>D:/Codex/GRL研究/outputs/grid16/GRID16_report.md</x:v>
      </x:c>
    </x:row>
    <x:row r="836" ht="36" customHeight="1">
      <x:c r="A836" s="19" t="str">
        <x:v>GRID16</x:v>
      </x:c>
      <x:c r="B836" s="19" t="str">
        <x:v>GRID16_report.md</x:v>
      </x:c>
      <x:c r="C836" s="19" t="str">
        <x:v>2. 完整周主比较</x:v>
      </x:c>
      <x:c r="D836" s="19" t="str">
        <x:v>周=2035-07-23_10；方法=OLDNN128</x:v>
      </x:c>
      <x:c r="E836" s="19" t="str">
        <x:v>运行步数</x:v>
      </x:c>
      <x:c r="F836" s="19" t="str">
        <x:v>2017</x:v>
      </x:c>
      <x:c r="G836" s="19" t="str">
        <x:v>质量/成本</x:v>
      </x:c>
      <x:c r="H836" s="19" t="str">
        <x:v>D:/Codex/GRL研究/outputs/grid16/GRID16_report.md</x:v>
      </x:c>
    </x:row>
    <x:row r="837" ht="36" customHeight="1">
      <x:c r="A837" s="19" t="str">
        <x:v>GRID16</x:v>
      </x:c>
      <x:c r="B837" s="19" t="str">
        <x:v>GRID16_report.md</x:v>
      </x:c>
      <x:c r="C837" s="19" t="str">
        <x:v>2. 完整周主比较</x:v>
      </x:c>
      <x:c r="D837" s="19" t="str">
        <x:v>周=2035-07-23_10；方法=OLDNN128</x:v>
      </x:c>
      <x:c r="E837" s="19" t="str">
        <x:v>完整</x:v>
      </x:c>
      <x:c r="F837" s="19" t="str">
        <x:v>True</x:v>
      </x:c>
      <x:c r="G837" s="19" t="str">
        <x:v>其他/配置</x:v>
      </x:c>
      <x:c r="H837" s="19" t="str">
        <x:v>D:/Codex/GRL研究/outputs/grid16/GRID16_report.md</x:v>
      </x:c>
    </x:row>
    <x:row r="838" ht="36" customHeight="1">
      <x:c r="A838" s="19" t="str">
        <x:v>GRID16</x:v>
      </x:c>
      <x:c r="B838" s="19" t="str">
        <x:v>GRID16_report.md</x:v>
      </x:c>
      <x:c r="C838" s="19" t="str">
        <x:v>2. 完整周主比较</x:v>
      </x:c>
      <x:c r="D838" s="19" t="str">
        <x:v>周=2035-07-23_10；方法=OLDNN128</x:v>
      </x:c>
      <x:c r="E838" s="19" t="str">
        <x:v>模拟成本</x:v>
      </x:c>
      <x:c r="F838" s="19" t="str">
        <x:v>1037340.35</x:v>
      </x:c>
      <x:c r="G838" s="19" t="str">
        <x:v>质量/成本</x:v>
      </x:c>
      <x:c r="H838" s="19" t="str">
        <x:v>D:/Codex/GRL研究/outputs/grid16/GRID16_report.md</x:v>
      </x:c>
    </x:row>
    <x:row r="839" ht="36" customHeight="1">
      <x:c r="A839" s="19" t="str">
        <x:v>GRID16</x:v>
      </x:c>
      <x:c r="B839" s="19" t="str">
        <x:v>GRID16_report.md</x:v>
      </x:c>
      <x:c r="C839" s="19" t="str">
        <x:v>2. 完整周主比较</x:v>
      </x:c>
      <x:c r="D839" s="19" t="str">
        <x:v>周=2035-07-23_10；方法=OLDNN128</x:v>
      </x:c>
      <x:c r="E839" s="19" t="str">
        <x:v>N1预测</x:v>
      </x:c>
      <x:c r="F839" s="19" t="str">
        <x:v>640</x:v>
      </x:c>
      <x:c r="G839" s="19" t="str">
        <x:v>速度/计算</x:v>
      </x:c>
      <x:c r="H839" s="19" t="str">
        <x:v>D:/Codex/GRL研究/outputs/grid16/GRID16_report.md</x:v>
      </x:c>
    </x:row>
    <x:row r="840" ht="36" customHeight="1">
      <x:c r="A840" s="19" t="str">
        <x:v>GRID16</x:v>
      </x:c>
      <x:c r="B840" s="19" t="str">
        <x:v>GRID16_report.md</x:v>
      </x:c>
      <x:c r="C840" s="19" t="str">
        <x:v>2. 完整周主比较</x:v>
      </x:c>
      <x:c r="D840" s="19" t="str">
        <x:v>周=2035-07-23_10；方法=OLDNN128</x:v>
      </x:c>
      <x:c r="E840" s="19" t="str">
        <x:v>完整池回退</x:v>
      </x:c>
      <x:c r="F840" s="19" t="str">
        <x:v>0</x:v>
      </x:c>
      <x:c r="G840" s="19" t="str">
        <x:v>其他/配置</x:v>
      </x:c>
      <x:c r="H840" s="19" t="str">
        <x:v>D:/Codex/GRL研究/outputs/grid16/GRID16_report.md</x:v>
      </x:c>
    </x:row>
    <x:row r="841" ht="36" customHeight="1">
      <x:c r="A841" s="19" t="str">
        <x:v>GRID16</x:v>
      </x:c>
      <x:c r="B841" s="19" t="str">
        <x:v>GRID16_report.md</x:v>
      </x:c>
      <x:c r="C841" s="19" t="str">
        <x:v>2. 完整周主比较</x:v>
      </x:c>
      <x:c r="D841" s="19" t="str">
        <x:v>周=2035-07-23_10；方法=OLDNN128</x:v>
      </x:c>
      <x:c r="E841" s="19" t="str">
        <x:v>控制秒</x:v>
      </x:c>
      <x:c r="F841" s="19" t="str">
        <x:v>13.90</x:v>
      </x:c>
      <x:c r="G841" s="19" t="str">
        <x:v>速度/计算</x:v>
      </x:c>
      <x:c r="H841" s="19" t="str">
        <x:v>D:/Codex/GRL研究/outputs/grid16/GRID16_report.md</x:v>
      </x:c>
    </x:row>
    <x:row r="842" ht="36" customHeight="1">
      <x:c r="A842" s="19" t="str">
        <x:v>GRID16</x:v>
      </x:c>
      <x:c r="B842" s="19" t="str">
        <x:v>GRID16_report.md</x:v>
      </x:c>
      <x:c r="C842" s="19" t="str">
        <x:v>2. 完整周主比较</x:v>
      </x:c>
      <x:c r="D842" s="19" t="str">
        <x:v>周=2035-07-23_10；方法=ZONE</x:v>
      </x:c>
      <x:c r="E842" s="19" t="str">
        <x:v>方法</x:v>
      </x:c>
      <x:c r="F842" s="19" t="str">
        <x:v>ZONE</x:v>
      </x:c>
      <x:c r="G842" s="19" t="str">
        <x:v>其他/配置</x:v>
      </x:c>
      <x:c r="H842" s="19" t="str">
        <x:v>D:/Codex/GRL研究/outputs/grid16/GRID16_report.md</x:v>
      </x:c>
    </x:row>
    <x:row r="843" ht="36" customHeight="1">
      <x:c r="A843" s="19" t="str">
        <x:v>GRID16</x:v>
      </x:c>
      <x:c r="B843" s="19" t="str">
        <x:v>GRID16_report.md</x:v>
      </x:c>
      <x:c r="C843" s="19" t="str">
        <x:v>2. 完整周主比较</x:v>
      </x:c>
      <x:c r="D843" s="19" t="str">
        <x:v>周=2035-07-23_10；方法=ZONE</x:v>
      </x:c>
      <x:c r="E843" s="19" t="str">
        <x:v>运行步数</x:v>
      </x:c>
      <x:c r="F843" s="19" t="str">
        <x:v>1904</x:v>
      </x:c>
      <x:c r="G843" s="19" t="str">
        <x:v>质量/成本</x:v>
      </x:c>
      <x:c r="H843" s="19" t="str">
        <x:v>D:/Codex/GRL研究/outputs/grid16/GRID16_report.md</x:v>
      </x:c>
    </x:row>
    <x:row r="844" ht="36" customHeight="1">
      <x:c r="A844" s="19" t="str">
        <x:v>GRID16</x:v>
      </x:c>
      <x:c r="B844" s="19" t="str">
        <x:v>GRID16_report.md</x:v>
      </x:c>
      <x:c r="C844" s="19" t="str">
        <x:v>2. 完整周主比较</x:v>
      </x:c>
      <x:c r="D844" s="19" t="str">
        <x:v>周=2035-07-23_10；方法=ZONE</x:v>
      </x:c>
      <x:c r="E844" s="19" t="str">
        <x:v>完整</x:v>
      </x:c>
      <x:c r="F844" s="19" t="str">
        <x:v>False</x:v>
      </x:c>
      <x:c r="G844" s="19" t="str">
        <x:v>其他/配置</x:v>
      </x:c>
      <x:c r="H844" s="19" t="str">
        <x:v>D:/Codex/GRL研究/outputs/grid16/GRID16_report.md</x:v>
      </x:c>
    </x:row>
    <x:row r="845" ht="36" customHeight="1">
      <x:c r="A845" s="19" t="str">
        <x:v>GRID16</x:v>
      </x:c>
      <x:c r="B845" s="19" t="str">
        <x:v>GRID16_report.md</x:v>
      </x:c>
      <x:c r="C845" s="19" t="str">
        <x:v>2. 完整周主比较</x:v>
      </x:c>
      <x:c r="D845" s="19" t="str">
        <x:v>周=2035-07-23_10；方法=ZONE</x:v>
      </x:c>
      <x:c r="E845" s="19" t="str">
        <x:v>模拟成本</x:v>
      </x:c>
      <x:c r="F845" s="19" t="str">
        <x:v>980669.11</x:v>
      </x:c>
      <x:c r="G845" s="19" t="str">
        <x:v>质量/成本</x:v>
      </x:c>
      <x:c r="H845" s="19" t="str">
        <x:v>D:/Codex/GRL研究/outputs/grid16/GRID16_report.md</x:v>
      </x:c>
    </x:row>
    <x:row r="846" ht="36" customHeight="1">
      <x:c r="A846" s="19" t="str">
        <x:v>GRID16</x:v>
      </x:c>
      <x:c r="B846" s="19" t="str">
        <x:v>GRID16_report.md</x:v>
      </x:c>
      <x:c r="C846" s="19" t="str">
        <x:v>2. 完整周主比较</x:v>
      </x:c>
      <x:c r="D846" s="19" t="str">
        <x:v>周=2035-07-23_10；方法=ZONE</x:v>
      </x:c>
      <x:c r="E846" s="19" t="str">
        <x:v>N1预测</x:v>
      </x:c>
      <x:c r="F846" s="19" t="str">
        <x:v>3633</x:v>
      </x:c>
      <x:c r="G846" s="19" t="str">
        <x:v>速度/计算</x:v>
      </x:c>
      <x:c r="H846" s="19" t="str">
        <x:v>D:/Codex/GRL研究/outputs/grid16/GRID16_report.md</x:v>
      </x:c>
    </x:row>
    <x:row r="847" ht="36" customHeight="1">
      <x:c r="A847" s="19" t="str">
        <x:v>GRID16</x:v>
      </x:c>
      <x:c r="B847" s="19" t="str">
        <x:v>GRID16_report.md</x:v>
      </x:c>
      <x:c r="C847" s="19" t="str">
        <x:v>2. 完整周主比较</x:v>
      </x:c>
      <x:c r="D847" s="19" t="str">
        <x:v>周=2035-07-23_10；方法=ZONE</x:v>
      </x:c>
      <x:c r="E847" s="19" t="str">
        <x:v>完整池回退</x:v>
      </x:c>
      <x:c r="F847" s="19" t="str">
        <x:v>3</x:v>
      </x:c>
      <x:c r="G847" s="19" t="str">
        <x:v>其他/配置</x:v>
      </x:c>
      <x:c r="H847" s="19" t="str">
        <x:v>D:/Codex/GRL研究/outputs/grid16/GRID16_report.md</x:v>
      </x:c>
    </x:row>
    <x:row r="848" ht="36" customHeight="1">
      <x:c r="A848" s="19" t="str">
        <x:v>GRID16</x:v>
      </x:c>
      <x:c r="B848" s="19" t="str">
        <x:v>GRID16_report.md</x:v>
      </x:c>
      <x:c r="C848" s="19" t="str">
        <x:v>2. 完整周主比较</x:v>
      </x:c>
      <x:c r="D848" s="19" t="str">
        <x:v>周=2035-07-23_10；方法=ZONE</x:v>
      </x:c>
      <x:c r="E848" s="19" t="str">
        <x:v>控制秒</x:v>
      </x:c>
      <x:c r="F848" s="19" t="str">
        <x:v>23.03</x:v>
      </x:c>
      <x:c r="G848" s="19" t="str">
        <x:v>速度/计算</x:v>
      </x:c>
      <x:c r="H848" s="19" t="str">
        <x:v>D:/Codex/GRL研究/outputs/grid16/GRID16_report.md</x:v>
      </x:c>
    </x:row>
    <x:row r="849" ht="36" customHeight="1">
      <x:c r="A849" s="19" t="str">
        <x:v>GRID16</x:v>
      </x:c>
      <x:c r="B849" s="19" t="str">
        <x:v>GRID16_report.md</x:v>
      </x:c>
      <x:c r="C849" s="19" t="str">
        <x:v>2. 完整周主比较</x:v>
      </x:c>
      <x:c r="D849" s="19" t="str">
        <x:v>周=2035-07-23_10；方法=FULL</x:v>
      </x:c>
      <x:c r="E849" s="19" t="str">
        <x:v>方法</x:v>
      </x:c>
      <x:c r="F849" s="19" t="str">
        <x:v>FULL</x:v>
      </x:c>
      <x:c r="G849" s="19" t="str">
        <x:v>其他/配置</x:v>
      </x:c>
      <x:c r="H849" s="19" t="str">
        <x:v>D:/Codex/GRL研究/outputs/grid16/GRID16_report.md</x:v>
      </x:c>
    </x:row>
    <x:row r="850" ht="36" customHeight="1">
      <x:c r="A850" s="19" t="str">
        <x:v>GRID16</x:v>
      </x:c>
      <x:c r="B850" s="19" t="str">
        <x:v>GRID16_report.md</x:v>
      </x:c>
      <x:c r="C850" s="19" t="str">
        <x:v>2. 完整周主比较</x:v>
      </x:c>
      <x:c r="D850" s="19" t="str">
        <x:v>周=2035-07-23_10；方法=FULL</x:v>
      </x:c>
      <x:c r="E850" s="19" t="str">
        <x:v>运行步数</x:v>
      </x:c>
      <x:c r="F850" s="19" t="str">
        <x:v>2017</x:v>
      </x:c>
      <x:c r="G850" s="19" t="str">
        <x:v>质量/成本</x:v>
      </x:c>
      <x:c r="H850" s="19" t="str">
        <x:v>D:/Codex/GRL研究/outputs/grid16/GRID16_report.md</x:v>
      </x:c>
    </x:row>
    <x:row r="851" ht="36" customHeight="1">
      <x:c r="A851" s="19" t="str">
        <x:v>GRID16</x:v>
      </x:c>
      <x:c r="B851" s="19" t="str">
        <x:v>GRID16_report.md</x:v>
      </x:c>
      <x:c r="C851" s="19" t="str">
        <x:v>2. 完整周主比较</x:v>
      </x:c>
      <x:c r="D851" s="19" t="str">
        <x:v>周=2035-07-23_10；方法=FULL</x:v>
      </x:c>
      <x:c r="E851" s="19" t="str">
        <x:v>完整</x:v>
      </x:c>
      <x:c r="F851" s="19" t="str">
        <x:v>True</x:v>
      </x:c>
      <x:c r="G851" s="19" t="str">
        <x:v>其他/配置</x:v>
      </x:c>
      <x:c r="H851" s="19" t="str">
        <x:v>D:/Codex/GRL研究/outputs/grid16/GRID16_report.md</x:v>
      </x:c>
    </x:row>
    <x:row r="852" ht="36" customHeight="1">
      <x:c r="A852" s="19" t="str">
        <x:v>GRID16</x:v>
      </x:c>
      <x:c r="B852" s="19" t="str">
        <x:v>GRID16_report.md</x:v>
      </x:c>
      <x:c r="C852" s="19" t="str">
        <x:v>2. 完整周主比较</x:v>
      </x:c>
      <x:c r="D852" s="19" t="str">
        <x:v>周=2035-07-23_10；方法=FULL</x:v>
      </x:c>
      <x:c r="E852" s="19" t="str">
        <x:v>模拟成本</x:v>
      </x:c>
      <x:c r="F852" s="19" t="str">
        <x:v>1037714.84</x:v>
      </x:c>
      <x:c r="G852" s="19" t="str">
        <x:v>质量/成本</x:v>
      </x:c>
      <x:c r="H852" s="19" t="str">
        <x:v>D:/Codex/GRL研究/outputs/grid16/GRID16_report.md</x:v>
      </x:c>
    </x:row>
    <x:row r="853" ht="36" customHeight="1">
      <x:c r="A853" s="19" t="str">
        <x:v>GRID16</x:v>
      </x:c>
      <x:c r="B853" s="19" t="str">
        <x:v>GRID16_report.md</x:v>
      </x:c>
      <x:c r="C853" s="19" t="str">
        <x:v>2. 完整周主比较</x:v>
      </x:c>
      <x:c r="D853" s="19" t="str">
        <x:v>周=2035-07-23_10；方法=FULL</x:v>
      </x:c>
      <x:c r="E853" s="19" t="str">
        <x:v>N1预测</x:v>
      </x:c>
      <x:c r="F853" s="19" t="str">
        <x:v>4496</x:v>
      </x:c>
      <x:c r="G853" s="19" t="str">
        <x:v>速度/计算</x:v>
      </x:c>
      <x:c r="H853" s="19" t="str">
        <x:v>D:/Codex/GRL研究/outputs/grid16/GRID16_report.md</x:v>
      </x:c>
    </x:row>
    <x:row r="854" ht="36" customHeight="1">
      <x:c r="A854" s="19" t="str">
        <x:v>GRID16</x:v>
      </x:c>
      <x:c r="B854" s="19" t="str">
        <x:v>GRID16_report.md</x:v>
      </x:c>
      <x:c r="C854" s="19" t="str">
        <x:v>2. 完整周主比较</x:v>
      </x:c>
      <x:c r="D854" s="19" t="str">
        <x:v>周=2035-07-23_10；方法=FULL</x:v>
      </x:c>
      <x:c r="E854" s="19" t="str">
        <x:v>完整池回退</x:v>
      </x:c>
      <x:c r="F854" s="19" t="str">
        <x:v>0</x:v>
      </x:c>
      <x:c r="G854" s="19" t="str">
        <x:v>其他/配置</x:v>
      </x:c>
      <x:c r="H854" s="19" t="str">
        <x:v>D:/Codex/GRL研究/outputs/grid16/GRID16_report.md</x:v>
      </x:c>
    </x:row>
    <x:row r="855" ht="36" customHeight="1">
      <x:c r="A855" s="19" t="str">
        <x:v>GRID16</x:v>
      </x:c>
      <x:c r="B855" s="19" t="str">
        <x:v>GRID16_report.md</x:v>
      </x:c>
      <x:c r="C855" s="19" t="str">
        <x:v>2. 完整周主比较</x:v>
      </x:c>
      <x:c r="D855" s="19" t="str">
        <x:v>周=2035-07-23_10；方法=FULL</x:v>
      </x:c>
      <x:c r="E855" s="19" t="str">
        <x:v>控制秒</x:v>
      </x:c>
      <x:c r="F855" s="19" t="str">
        <x:v>21.97</x:v>
      </x:c>
      <x:c r="G855" s="19" t="str">
        <x:v>速度/计算</x:v>
      </x:c>
      <x:c r="H855" s="19" t="str">
        <x:v>D:/Codex/GRL研究/outputs/grid16/GRID16_report.md</x:v>
      </x:c>
    </x:row>
    <x:row r="856" ht="36" customHeight="1">
      <x:c r="A856" s="19" t="str">
        <x:v>GRID16</x:v>
      </x:c>
      <x:c r="B856" s="19" t="str">
        <x:v>GRID16_report.md</x:v>
      </x:c>
      <x:c r="C856" s="19" t="str">
        <x:v>2. 完整周主比较</x:v>
      </x:c>
      <x:c r="D856" s="19" t="str">
        <x:v>周=2035-07-23_10；方法=LOCAL128</x:v>
      </x:c>
      <x:c r="E856" s="19" t="str">
        <x:v>方法</x:v>
      </x:c>
      <x:c r="F856" s="19" t="str">
        <x:v>LOCAL128</x:v>
      </x:c>
      <x:c r="G856" s="19" t="str">
        <x:v>其他/配置</x:v>
      </x:c>
      <x:c r="H856" s="19" t="str">
        <x:v>D:/Codex/GRL研究/outputs/grid16/GRID16_report.md</x:v>
      </x:c>
    </x:row>
    <x:row r="857" ht="36" customHeight="1">
      <x:c r="A857" s="19" t="str">
        <x:v>GRID16</x:v>
      </x:c>
      <x:c r="B857" s="19" t="str">
        <x:v>GRID16_report.md</x:v>
      </x:c>
      <x:c r="C857" s="19" t="str">
        <x:v>2. 完整周主比较</x:v>
      </x:c>
      <x:c r="D857" s="19" t="str">
        <x:v>周=2035-07-23_10；方法=LOCAL128</x:v>
      </x:c>
      <x:c r="E857" s="19" t="str">
        <x:v>运行步数</x:v>
      </x:c>
      <x:c r="F857" s="19" t="str">
        <x:v>2017</x:v>
      </x:c>
      <x:c r="G857" s="19" t="str">
        <x:v>质量/成本</x:v>
      </x:c>
      <x:c r="H857" s="19" t="str">
        <x:v>D:/Codex/GRL研究/outputs/grid16/GRID16_report.md</x:v>
      </x:c>
    </x:row>
    <x:row r="858" ht="36" customHeight="1">
      <x:c r="A858" s="19" t="str">
        <x:v>GRID16</x:v>
      </x:c>
      <x:c r="B858" s="19" t="str">
        <x:v>GRID16_report.md</x:v>
      </x:c>
      <x:c r="C858" s="19" t="str">
        <x:v>2. 完整周主比较</x:v>
      </x:c>
      <x:c r="D858" s="19" t="str">
        <x:v>周=2035-07-23_10；方法=LOCAL128</x:v>
      </x:c>
      <x:c r="E858" s="19" t="str">
        <x:v>完整</x:v>
      </x:c>
      <x:c r="F858" s="19" t="str">
        <x:v>True</x:v>
      </x:c>
      <x:c r="G858" s="19" t="str">
        <x:v>其他/配置</x:v>
      </x:c>
      <x:c r="H858" s="19" t="str">
        <x:v>D:/Codex/GRL研究/outputs/grid16/GRID16_report.md</x:v>
      </x:c>
    </x:row>
    <x:row r="859" ht="36" customHeight="1">
      <x:c r="A859" s="19" t="str">
        <x:v>GRID16</x:v>
      </x:c>
      <x:c r="B859" s="19" t="str">
        <x:v>GRID16_report.md</x:v>
      </x:c>
      <x:c r="C859" s="19" t="str">
        <x:v>2. 完整周主比较</x:v>
      </x:c>
      <x:c r="D859" s="19" t="str">
        <x:v>周=2035-07-23_10；方法=LOCAL128</x:v>
      </x:c>
      <x:c r="E859" s="19" t="str">
        <x:v>模拟成本</x:v>
      </x:c>
      <x:c r="F859" s="19" t="str">
        <x:v>1039260.99</x:v>
      </x:c>
      <x:c r="G859" s="19" t="str">
        <x:v>质量/成本</x:v>
      </x:c>
      <x:c r="H859" s="19" t="str">
        <x:v>D:/Codex/GRL研究/outputs/grid16/GRID16_report.md</x:v>
      </x:c>
    </x:row>
    <x:row r="860" ht="36" customHeight="1">
      <x:c r="A860" s="19" t="str">
        <x:v>GRID16</x:v>
      </x:c>
      <x:c r="B860" s="19" t="str">
        <x:v>GRID16_report.md</x:v>
      </x:c>
      <x:c r="C860" s="19" t="str">
        <x:v>2. 完整周主比较</x:v>
      </x:c>
      <x:c r="D860" s="19" t="str">
        <x:v>周=2035-07-23_10；方法=LOCAL128</x:v>
      </x:c>
      <x:c r="E860" s="19" t="str">
        <x:v>N1预测</x:v>
      </x:c>
      <x:c r="F860" s="19" t="str">
        <x:v>896</x:v>
      </x:c>
      <x:c r="G860" s="19" t="str">
        <x:v>速度/计算</x:v>
      </x:c>
      <x:c r="H860" s="19" t="str">
        <x:v>D:/Codex/GRL研究/outputs/grid16/GRID16_report.md</x:v>
      </x:c>
    </x:row>
    <x:row r="861" ht="36" customHeight="1">
      <x:c r="A861" s="19" t="str">
        <x:v>GRID16</x:v>
      </x:c>
      <x:c r="B861" s="19" t="str">
        <x:v>GRID16_report.md</x:v>
      </x:c>
      <x:c r="C861" s="19" t="str">
        <x:v>2. 完整周主比较</x:v>
      </x:c>
      <x:c r="D861" s="19" t="str">
        <x:v>周=2035-07-23_10；方法=LOCAL128</x:v>
      </x:c>
      <x:c r="E861" s="19" t="str">
        <x:v>完整池回退</x:v>
      </x:c>
      <x:c r="F861" s="19" t="str">
        <x:v>0</x:v>
      </x:c>
      <x:c r="G861" s="19" t="str">
        <x:v>其他/配置</x:v>
      </x:c>
      <x:c r="H861" s="19" t="str">
        <x:v>D:/Codex/GRL研究/outputs/grid16/GRID16_report.md</x:v>
      </x:c>
    </x:row>
    <x:row r="862" ht="36" customHeight="1">
      <x:c r="A862" s="19" t="str">
        <x:v>GRID16</x:v>
      </x:c>
      <x:c r="B862" s="19" t="str">
        <x:v>GRID16_report.md</x:v>
      </x:c>
      <x:c r="C862" s="19" t="str">
        <x:v>2. 完整周主比较</x:v>
      </x:c>
      <x:c r="D862" s="19" t="str">
        <x:v>周=2035-07-23_10；方法=LOCAL128</x:v>
      </x:c>
      <x:c r="E862" s="19" t="str">
        <x:v>控制秒</x:v>
      </x:c>
      <x:c r="F862" s="19" t="str">
        <x:v>19.46</x:v>
      </x:c>
      <x:c r="G862" s="19" t="str">
        <x:v>速度/计算</x:v>
      </x:c>
      <x:c r="H862" s="19" t="str">
        <x:v>D:/Codex/GRL研究/outputs/grid16/GRID16_report.md</x:v>
      </x:c>
    </x:row>
    <x:row r="863" ht="36" customHeight="1">
      <x:c r="A863" s="19" t="str">
        <x:v>GRID16</x:v>
      </x:c>
      <x:c r="B863" s="19" t="str">
        <x:v>GRID16_report.md</x:v>
      </x:c>
      <x:c r="C863" s="19" t="str">
        <x:v>2. 完整周主比较</x:v>
      </x:c>
      <x:c r="D863" s="19" t="str">
        <x:v>周=2035-10-29_15；方法=ZONE</x:v>
      </x:c>
      <x:c r="E863" s="19" t="str">
        <x:v>方法</x:v>
      </x:c>
      <x:c r="F863" s="19" t="str">
        <x:v>ZONE</x:v>
      </x:c>
      <x:c r="G863" s="19" t="str">
        <x:v>其他/配置</x:v>
      </x:c>
      <x:c r="H863" s="19" t="str">
        <x:v>D:/Codex/GRL研究/outputs/grid16/GRID16_report.md</x:v>
      </x:c>
    </x:row>
    <x:row r="864" ht="36" customHeight="1">
      <x:c r="A864" s="19" t="str">
        <x:v>GRID16</x:v>
      </x:c>
      <x:c r="B864" s="19" t="str">
        <x:v>GRID16_report.md</x:v>
      </x:c>
      <x:c r="C864" s="19" t="str">
        <x:v>2. 完整周主比较</x:v>
      </x:c>
      <x:c r="D864" s="19" t="str">
        <x:v>周=2035-10-29_15；方法=ZONE</x:v>
      </x:c>
      <x:c r="E864" s="19" t="str">
        <x:v>运行步数</x:v>
      </x:c>
      <x:c r="F864" s="19" t="str">
        <x:v>133</x:v>
      </x:c>
      <x:c r="G864" s="19" t="str">
        <x:v>质量/成本</x:v>
      </x:c>
      <x:c r="H864" s="19" t="str">
        <x:v>D:/Codex/GRL研究/outputs/grid16/GRID16_report.md</x:v>
      </x:c>
    </x:row>
    <x:row r="865" ht="36" customHeight="1">
      <x:c r="A865" s="19" t="str">
        <x:v>GRID16</x:v>
      </x:c>
      <x:c r="B865" s="19" t="str">
        <x:v>GRID16_report.md</x:v>
      </x:c>
      <x:c r="C865" s="19" t="str">
        <x:v>2. 完整周主比较</x:v>
      </x:c>
      <x:c r="D865" s="19" t="str">
        <x:v>周=2035-10-29_15；方法=ZONE</x:v>
      </x:c>
      <x:c r="E865" s="19" t="str">
        <x:v>完整</x:v>
      </x:c>
      <x:c r="F865" s="19" t="str">
        <x:v>False</x:v>
      </x:c>
      <x:c r="G865" s="19" t="str">
        <x:v>其他/配置</x:v>
      </x:c>
      <x:c r="H865" s="19" t="str">
        <x:v>D:/Codex/GRL研究/outputs/grid16/GRID16_report.md</x:v>
      </x:c>
    </x:row>
    <x:row r="866" ht="36" customHeight="1">
      <x:c r="A866" s="19" t="str">
        <x:v>GRID16</x:v>
      </x:c>
      <x:c r="B866" s="19" t="str">
        <x:v>GRID16_report.md</x:v>
      </x:c>
      <x:c r="C866" s="19" t="str">
        <x:v>2. 完整周主比较</x:v>
      </x:c>
      <x:c r="D866" s="19" t="str">
        <x:v>周=2035-10-29_15；方法=ZONE</x:v>
      </x:c>
      <x:c r="E866" s="19" t="str">
        <x:v>模拟成本</x:v>
      </x:c>
      <x:c r="F866" s="19" t="str">
        <x:v>168470.92</x:v>
      </x:c>
      <x:c r="G866" s="19" t="str">
        <x:v>质量/成本</x:v>
      </x:c>
      <x:c r="H866" s="19" t="str">
        <x:v>D:/Codex/GRL研究/outputs/grid16/GRID16_report.md</x:v>
      </x:c>
    </x:row>
    <x:row r="867" ht="36" customHeight="1">
      <x:c r="A867" s="19" t="str">
        <x:v>GRID16</x:v>
      </x:c>
      <x:c r="B867" s="19" t="str">
        <x:v>GRID16_report.md</x:v>
      </x:c>
      <x:c r="C867" s="19" t="str">
        <x:v>2. 完整周主比较</x:v>
      </x:c>
      <x:c r="D867" s="19" t="str">
        <x:v>周=2035-10-29_15；方法=ZONE</x:v>
      </x:c>
      <x:c r="E867" s="19" t="str">
        <x:v>N1预测</x:v>
      </x:c>
      <x:c r="F867" s="19" t="str">
        <x:v>732</x:v>
      </x:c>
      <x:c r="G867" s="19" t="str">
        <x:v>速度/计算</x:v>
      </x:c>
      <x:c r="H867" s="19" t="str">
        <x:v>D:/Codex/GRL研究/outputs/grid16/GRID16_report.md</x:v>
      </x:c>
    </x:row>
    <x:row r="868" ht="36" customHeight="1">
      <x:c r="A868" s="19" t="str">
        <x:v>GRID16</x:v>
      </x:c>
      <x:c r="B868" s="19" t="str">
        <x:v>GRID16_report.md</x:v>
      </x:c>
      <x:c r="C868" s="19" t="str">
        <x:v>2. 完整周主比较</x:v>
      </x:c>
      <x:c r="D868" s="19" t="str">
        <x:v>周=2035-10-29_15；方法=ZONE</x:v>
      </x:c>
      <x:c r="E868" s="19" t="str">
        <x:v>完整池回退</x:v>
      </x:c>
      <x:c r="F868" s="19" t="str">
        <x:v>0</x:v>
      </x:c>
      <x:c r="G868" s="19" t="str">
        <x:v>其他/配置</x:v>
      </x:c>
      <x:c r="H868" s="19" t="str">
        <x:v>D:/Codex/GRL研究/outputs/grid16/GRID16_report.md</x:v>
      </x:c>
    </x:row>
    <x:row r="869" ht="36" customHeight="1">
      <x:c r="A869" s="19" t="str">
        <x:v>GRID16</x:v>
      </x:c>
      <x:c r="B869" s="19" t="str">
        <x:v>GRID16_report.md</x:v>
      </x:c>
      <x:c r="C869" s="19" t="str">
        <x:v>2. 完整周主比较</x:v>
      </x:c>
      <x:c r="D869" s="19" t="str">
        <x:v>周=2035-10-29_15；方法=ZONE</x:v>
      </x:c>
      <x:c r="E869" s="19" t="str">
        <x:v>控制秒</x:v>
      </x:c>
      <x:c r="F869" s="19" t="str">
        <x:v>8.62</x:v>
      </x:c>
      <x:c r="G869" s="19" t="str">
        <x:v>速度/计算</x:v>
      </x:c>
      <x:c r="H869" s="19" t="str">
        <x:v>D:/Codex/GRL研究/outputs/grid16/GRID16_report.md</x:v>
      </x:c>
    </x:row>
    <x:row r="870" ht="36" customHeight="1">
      <x:c r="A870" s="19" t="str">
        <x:v>GRID16</x:v>
      </x:c>
      <x:c r="B870" s="19" t="str">
        <x:v>GRID16_report.md</x:v>
      </x:c>
      <x:c r="C870" s="19" t="str">
        <x:v>2. 完整周主比较</x:v>
      </x:c>
      <x:c r="D870" s="19" t="str">
        <x:v>周=2035-10-29_15；方法=FULL</x:v>
      </x:c>
      <x:c r="E870" s="19" t="str">
        <x:v>方法</x:v>
      </x:c>
      <x:c r="F870" s="19" t="str">
        <x:v>FULL</x:v>
      </x:c>
      <x:c r="G870" s="19" t="str">
        <x:v>其他/配置</x:v>
      </x:c>
      <x:c r="H870" s="19" t="str">
        <x:v>D:/Codex/GRL研究/outputs/grid16/GRID16_report.md</x:v>
      </x:c>
    </x:row>
    <x:row r="871" ht="36" customHeight="1">
      <x:c r="A871" s="19" t="str">
        <x:v>GRID16</x:v>
      </x:c>
      <x:c r="B871" s="19" t="str">
        <x:v>GRID16_report.md</x:v>
      </x:c>
      <x:c r="C871" s="19" t="str">
        <x:v>2. 完整周主比较</x:v>
      </x:c>
      <x:c r="D871" s="19" t="str">
        <x:v>周=2035-10-29_15；方法=FULL</x:v>
      </x:c>
      <x:c r="E871" s="19" t="str">
        <x:v>运行步数</x:v>
      </x:c>
      <x:c r="F871" s="19" t="str">
        <x:v>2017</x:v>
      </x:c>
      <x:c r="G871" s="19" t="str">
        <x:v>质量/成本</x:v>
      </x:c>
      <x:c r="H871" s="19" t="str">
        <x:v>D:/Codex/GRL研究/outputs/grid16/GRID16_report.md</x:v>
      </x:c>
    </x:row>
    <x:row r="872" ht="36" customHeight="1">
      <x:c r="A872" s="19" t="str">
        <x:v>GRID16</x:v>
      </x:c>
      <x:c r="B872" s="19" t="str">
        <x:v>GRID16_report.md</x:v>
      </x:c>
      <x:c r="C872" s="19" t="str">
        <x:v>2. 完整周主比较</x:v>
      </x:c>
      <x:c r="D872" s="19" t="str">
        <x:v>周=2035-10-29_15；方法=FULL</x:v>
      </x:c>
      <x:c r="E872" s="19" t="str">
        <x:v>完整</x:v>
      </x:c>
      <x:c r="F872" s="19" t="str">
        <x:v>True</x:v>
      </x:c>
      <x:c r="G872" s="19" t="str">
        <x:v>其他/配置</x:v>
      </x:c>
      <x:c r="H872" s="19" t="str">
        <x:v>D:/Codex/GRL研究/outputs/grid16/GRID16_report.md</x:v>
      </x:c>
    </x:row>
    <x:row r="873" ht="36" customHeight="1">
      <x:c r="A873" s="19" t="str">
        <x:v>GRID16</x:v>
      </x:c>
      <x:c r="B873" s="19" t="str">
        <x:v>GRID16_report.md</x:v>
      </x:c>
      <x:c r="C873" s="19" t="str">
        <x:v>2. 完整周主比较</x:v>
      </x:c>
      <x:c r="D873" s="19" t="str">
        <x:v>周=2035-10-29_15；方法=FULL</x:v>
      </x:c>
      <x:c r="E873" s="19" t="str">
        <x:v>模拟成本</x:v>
      </x:c>
      <x:c r="F873" s="19" t="str">
        <x:v>1721182.26</x:v>
      </x:c>
      <x:c r="G873" s="19" t="str">
        <x:v>质量/成本</x:v>
      </x:c>
      <x:c r="H873" s="19" t="str">
        <x:v>D:/Codex/GRL研究/outputs/grid16/GRID16_report.md</x:v>
      </x:c>
    </x:row>
    <x:row r="874" ht="36" customHeight="1">
      <x:c r="A874" s="19" t="str">
        <x:v>GRID16</x:v>
      </x:c>
      <x:c r="B874" s="19" t="str">
        <x:v>GRID16_report.md</x:v>
      </x:c>
      <x:c r="C874" s="19" t="str">
        <x:v>2. 完整周主比较</x:v>
      </x:c>
      <x:c r="D874" s="19" t="str">
        <x:v>周=2035-10-29_15；方法=FULL</x:v>
      </x:c>
      <x:c r="E874" s="19" t="str">
        <x:v>N1预测</x:v>
      </x:c>
      <x:c r="F874" s="19" t="str">
        <x:v>6317</x:v>
      </x:c>
      <x:c r="G874" s="19" t="str">
        <x:v>速度/计算</x:v>
      </x:c>
      <x:c r="H874" s="19" t="str">
        <x:v>D:/Codex/GRL研究/outputs/grid16/GRID16_report.md</x:v>
      </x:c>
    </x:row>
    <x:row r="875" ht="36" customHeight="1">
      <x:c r="A875" s="19" t="str">
        <x:v>GRID16</x:v>
      </x:c>
      <x:c r="B875" s="19" t="str">
        <x:v>GRID16_report.md</x:v>
      </x:c>
      <x:c r="C875" s="19" t="str">
        <x:v>2. 完整周主比较</x:v>
      </x:c>
      <x:c r="D875" s="19" t="str">
        <x:v>周=2035-10-29_15；方法=FULL</x:v>
      </x:c>
      <x:c r="E875" s="19" t="str">
        <x:v>完整池回退</x:v>
      </x:c>
      <x:c r="F875" s="19" t="str">
        <x:v>0</x:v>
      </x:c>
      <x:c r="G875" s="19" t="str">
        <x:v>其他/配置</x:v>
      </x:c>
      <x:c r="H875" s="19" t="str">
        <x:v>D:/Codex/GRL研究/outputs/grid16/GRID16_report.md</x:v>
      </x:c>
    </x:row>
    <x:row r="876" ht="36" customHeight="1">
      <x:c r="A876" s="19" t="str">
        <x:v>GRID16</x:v>
      </x:c>
      <x:c r="B876" s="19" t="str">
        <x:v>GRID16_report.md</x:v>
      </x:c>
      <x:c r="C876" s="19" t="str">
        <x:v>2. 完整周主比较</x:v>
      </x:c>
      <x:c r="D876" s="19" t="str">
        <x:v>周=2035-10-29_15；方法=FULL</x:v>
      </x:c>
      <x:c r="E876" s="19" t="str">
        <x:v>控制秒</x:v>
      </x:c>
      <x:c r="F876" s="19" t="str">
        <x:v>167.61</x:v>
      </x:c>
      <x:c r="G876" s="19" t="str">
        <x:v>速度/计算</x:v>
      </x:c>
      <x:c r="H876" s="19" t="str">
        <x:v>D:/Codex/GRL研究/outputs/grid16/GRID16_report.md</x:v>
      </x:c>
    </x:row>
    <x:row r="877" ht="36" customHeight="1">
      <x:c r="A877" s="19" t="str">
        <x:v>GRID16</x:v>
      </x:c>
      <x:c r="B877" s="19" t="str">
        <x:v>GRID16_report.md</x:v>
      </x:c>
      <x:c r="C877" s="19" t="str">
        <x:v>2. 完整周主比较</x:v>
      </x:c>
      <x:c r="D877" s="19" t="str">
        <x:v>周=2035-10-29_15；方法=LOCAL128</x:v>
      </x:c>
      <x:c r="E877" s="19" t="str">
        <x:v>方法</x:v>
      </x:c>
      <x:c r="F877" s="19" t="str">
        <x:v>LOCAL128</x:v>
      </x:c>
      <x:c r="G877" s="19" t="str">
        <x:v>其他/配置</x:v>
      </x:c>
      <x:c r="H877" s="19" t="str">
        <x:v>D:/Codex/GRL研究/outputs/grid16/GRID16_report.md</x:v>
      </x:c>
    </x:row>
    <x:row r="878" ht="36" customHeight="1">
      <x:c r="A878" s="19" t="str">
        <x:v>GRID16</x:v>
      </x:c>
      <x:c r="B878" s="19" t="str">
        <x:v>GRID16_report.md</x:v>
      </x:c>
      <x:c r="C878" s="19" t="str">
        <x:v>2. 完整周主比较</x:v>
      </x:c>
      <x:c r="D878" s="19" t="str">
        <x:v>周=2035-10-29_15；方法=LOCAL128</x:v>
      </x:c>
      <x:c r="E878" s="19" t="str">
        <x:v>运行步数</x:v>
      </x:c>
      <x:c r="F878" s="19" t="str">
        <x:v>2017</x:v>
      </x:c>
      <x:c r="G878" s="19" t="str">
        <x:v>质量/成本</x:v>
      </x:c>
      <x:c r="H878" s="19" t="str">
        <x:v>D:/Codex/GRL研究/outputs/grid16/GRID16_report.md</x:v>
      </x:c>
    </x:row>
    <x:row r="879" ht="36" customHeight="1">
      <x:c r="A879" s="19" t="str">
        <x:v>GRID16</x:v>
      </x:c>
      <x:c r="B879" s="19" t="str">
        <x:v>GRID16_report.md</x:v>
      </x:c>
      <x:c r="C879" s="19" t="str">
        <x:v>2. 完整周主比较</x:v>
      </x:c>
      <x:c r="D879" s="19" t="str">
        <x:v>周=2035-10-29_15；方法=LOCAL128</x:v>
      </x:c>
      <x:c r="E879" s="19" t="str">
        <x:v>完整</x:v>
      </x:c>
      <x:c r="F879" s="19" t="str">
        <x:v>True</x:v>
      </x:c>
      <x:c r="G879" s="19" t="str">
        <x:v>其他/配置</x:v>
      </x:c>
      <x:c r="H879" s="19" t="str">
        <x:v>D:/Codex/GRL研究/outputs/grid16/GRID16_report.md</x:v>
      </x:c>
    </x:row>
    <x:row r="880" ht="36" customHeight="1">
      <x:c r="A880" s="19" t="str">
        <x:v>GRID16</x:v>
      </x:c>
      <x:c r="B880" s="19" t="str">
        <x:v>GRID16_report.md</x:v>
      </x:c>
      <x:c r="C880" s="19" t="str">
        <x:v>2. 完整周主比较</x:v>
      </x:c>
      <x:c r="D880" s="19" t="str">
        <x:v>周=2035-10-29_15；方法=LOCAL128</x:v>
      </x:c>
      <x:c r="E880" s="19" t="str">
        <x:v>模拟成本</x:v>
      </x:c>
      <x:c r="F880" s="19" t="str">
        <x:v>1602093.42</x:v>
      </x:c>
      <x:c r="G880" s="19" t="str">
        <x:v>质量/成本</x:v>
      </x:c>
      <x:c r="H880" s="19" t="str">
        <x:v>D:/Codex/GRL研究/outputs/grid16/GRID16_report.md</x:v>
      </x:c>
    </x:row>
    <x:row r="881" ht="36" customHeight="1">
      <x:c r="A881" s="19" t="str">
        <x:v>GRID16</x:v>
      </x:c>
      <x:c r="B881" s="19" t="str">
        <x:v>GRID16_report.md</x:v>
      </x:c>
      <x:c r="C881" s="19" t="str">
        <x:v>2. 完整周主比较</x:v>
      </x:c>
      <x:c r="D881" s="19" t="str">
        <x:v>周=2035-10-29_15；方法=LOCAL128</x:v>
      </x:c>
      <x:c r="E881" s="19" t="str">
        <x:v>N1预测</x:v>
      </x:c>
      <x:c r="F881" s="19" t="str">
        <x:v>896</x:v>
      </x:c>
      <x:c r="G881" s="19" t="str">
        <x:v>速度/计算</x:v>
      </x:c>
      <x:c r="H881" s="19" t="str">
        <x:v>D:/Codex/GRL研究/outputs/grid16/GRID16_report.md</x:v>
      </x:c>
    </x:row>
    <x:row r="882" ht="36" customHeight="1">
      <x:c r="A882" s="19" t="str">
        <x:v>GRID16</x:v>
      </x:c>
      <x:c r="B882" s="19" t="str">
        <x:v>GRID16_report.md</x:v>
      </x:c>
      <x:c r="C882" s="19" t="str">
        <x:v>2. 完整周主比较</x:v>
      </x:c>
      <x:c r="D882" s="19" t="str">
        <x:v>周=2035-10-29_15；方法=LOCAL128</x:v>
      </x:c>
      <x:c r="E882" s="19" t="str">
        <x:v>完整池回退</x:v>
      </x:c>
      <x:c r="F882" s="19" t="str">
        <x:v>0</x:v>
      </x:c>
      <x:c r="G882" s="19" t="str">
        <x:v>其他/配置</x:v>
      </x:c>
      <x:c r="H882" s="19" t="str">
        <x:v>D:/Codex/GRL研究/outputs/grid16/GRID16_report.md</x:v>
      </x:c>
    </x:row>
    <x:row r="883" ht="36" customHeight="1">
      <x:c r="A883" s="19" t="str">
        <x:v>GRID16</x:v>
      </x:c>
      <x:c r="B883" s="19" t="str">
        <x:v>GRID16_report.md</x:v>
      </x:c>
      <x:c r="C883" s="19" t="str">
        <x:v>2. 完整周主比较</x:v>
      </x:c>
      <x:c r="D883" s="19" t="str">
        <x:v>周=2035-10-29_15；方法=LOCAL128</x:v>
      </x:c>
      <x:c r="E883" s="19" t="str">
        <x:v>控制秒</x:v>
      </x:c>
      <x:c r="F883" s="19" t="str">
        <x:v>154.71</x:v>
      </x:c>
      <x:c r="G883" s="19" t="str">
        <x:v>速度/计算</x:v>
      </x:c>
      <x:c r="H883" s="19" t="str">
        <x:v>D:/Codex/GRL研究/outputs/grid16/GRID16_report.md</x:v>
      </x:c>
    </x:row>
    <x:row r="884" ht="36" customHeight="1">
      <x:c r="A884" s="19" t="str">
        <x:v>GRID16</x:v>
      </x:c>
      <x:c r="B884" s="19" t="str">
        <x:v>GRID16_report.md</x:v>
      </x:c>
      <x:c r="C884" s="19" t="str">
        <x:v>2. 完整周主比较</x:v>
      </x:c>
      <x:c r="D884" s="19" t="str">
        <x:v>周=2035-10-29_15；方法=OLDNN128</x:v>
      </x:c>
      <x:c r="E884" s="19" t="str">
        <x:v>方法</x:v>
      </x:c>
      <x:c r="F884" s="19" t="str">
        <x:v>OLDNN128</x:v>
      </x:c>
      <x:c r="G884" s="19" t="str">
        <x:v>其他/配置</x:v>
      </x:c>
      <x:c r="H884" s="19" t="str">
        <x:v>D:/Codex/GRL研究/outputs/grid16/GRID16_report.md</x:v>
      </x:c>
    </x:row>
    <x:row r="885" ht="36" customHeight="1">
      <x:c r="A885" s="19" t="str">
        <x:v>GRID16</x:v>
      </x:c>
      <x:c r="B885" s="19" t="str">
        <x:v>GRID16_report.md</x:v>
      </x:c>
      <x:c r="C885" s="19" t="str">
        <x:v>2. 完整周主比较</x:v>
      </x:c>
      <x:c r="D885" s="19" t="str">
        <x:v>周=2035-10-29_15；方法=OLDNN128</x:v>
      </x:c>
      <x:c r="E885" s="19" t="str">
        <x:v>运行步数</x:v>
      </x:c>
      <x:c r="F885" s="19" t="str">
        <x:v>2017</x:v>
      </x:c>
      <x:c r="G885" s="19" t="str">
        <x:v>质量/成本</x:v>
      </x:c>
      <x:c r="H885" s="19" t="str">
        <x:v>D:/Codex/GRL研究/outputs/grid16/GRID16_report.md</x:v>
      </x:c>
    </x:row>
    <x:row r="886" ht="36" customHeight="1">
      <x:c r="A886" s="19" t="str">
        <x:v>GRID16</x:v>
      </x:c>
      <x:c r="B886" s="19" t="str">
        <x:v>GRID16_report.md</x:v>
      </x:c>
      <x:c r="C886" s="19" t="str">
        <x:v>2. 完整周主比较</x:v>
      </x:c>
      <x:c r="D886" s="19" t="str">
        <x:v>周=2035-10-29_15；方法=OLDNN128</x:v>
      </x:c>
      <x:c r="E886" s="19" t="str">
        <x:v>完整</x:v>
      </x:c>
      <x:c r="F886" s="19" t="str">
        <x:v>True</x:v>
      </x:c>
      <x:c r="G886" s="19" t="str">
        <x:v>其他/配置</x:v>
      </x:c>
      <x:c r="H886" s="19" t="str">
        <x:v>D:/Codex/GRL研究/outputs/grid16/GRID16_report.md</x:v>
      </x:c>
    </x:row>
    <x:row r="887" ht="36" customHeight="1">
      <x:c r="A887" s="19" t="str">
        <x:v>GRID16</x:v>
      </x:c>
      <x:c r="B887" s="19" t="str">
        <x:v>GRID16_report.md</x:v>
      </x:c>
      <x:c r="C887" s="19" t="str">
        <x:v>2. 完整周主比较</x:v>
      </x:c>
      <x:c r="D887" s="19" t="str">
        <x:v>周=2035-10-29_15；方法=OLDNN128</x:v>
      </x:c>
      <x:c r="E887" s="19" t="str">
        <x:v>模拟成本</x:v>
      </x:c>
      <x:c r="F887" s="19" t="str">
        <x:v>1721939.95</x:v>
      </x:c>
      <x:c r="G887" s="19" t="str">
        <x:v>质量/成本</x:v>
      </x:c>
      <x:c r="H887" s="19" t="str">
        <x:v>D:/Codex/GRL研究/outputs/grid16/GRID16_report.md</x:v>
      </x:c>
    </x:row>
    <x:row r="888" ht="36" customHeight="1">
      <x:c r="A888" s="19" t="str">
        <x:v>GRID16</x:v>
      </x:c>
      <x:c r="B888" s="19" t="str">
        <x:v>GRID16_report.md</x:v>
      </x:c>
      <x:c r="C888" s="19" t="str">
        <x:v>2. 完整周主比较</x:v>
      </x:c>
      <x:c r="D888" s="19" t="str">
        <x:v>周=2035-10-29_15；方法=OLDNN128</x:v>
      </x:c>
      <x:c r="E888" s="19" t="str">
        <x:v>N1预测</x:v>
      </x:c>
      <x:c r="F888" s="19" t="str">
        <x:v>1503</x:v>
      </x:c>
      <x:c r="G888" s="19" t="str">
        <x:v>速度/计算</x:v>
      </x:c>
      <x:c r="H888" s="19" t="str">
        <x:v>D:/Codex/GRL研究/outputs/grid16/GRID16_report.md</x:v>
      </x:c>
    </x:row>
    <x:row r="889" ht="36" customHeight="1">
      <x:c r="A889" s="19" t="str">
        <x:v>GRID16</x:v>
      </x:c>
      <x:c r="B889" s="19" t="str">
        <x:v>GRID16_report.md</x:v>
      </x:c>
      <x:c r="C889" s="19" t="str">
        <x:v>2. 完整周主比较</x:v>
      </x:c>
      <x:c r="D889" s="19" t="str">
        <x:v>周=2035-10-29_15；方法=OLDNN128</x:v>
      </x:c>
      <x:c r="E889" s="19" t="str">
        <x:v>完整池回退</x:v>
      </x:c>
      <x:c r="F889" s="19" t="str">
        <x:v>1</x:v>
      </x:c>
      <x:c r="G889" s="19" t="str">
        <x:v>其他/配置</x:v>
      </x:c>
      <x:c r="H889" s="19" t="str">
        <x:v>D:/Codex/GRL研究/outputs/grid16/GRID16_report.md</x:v>
      </x:c>
    </x:row>
    <x:row r="890" ht="36" customHeight="1">
      <x:c r="A890" s="19" t="str">
        <x:v>GRID16</x:v>
      </x:c>
      <x:c r="B890" s="19" t="str">
        <x:v>GRID16_report.md</x:v>
      </x:c>
      <x:c r="C890" s="19" t="str">
        <x:v>2. 完整周主比较</x:v>
      </x:c>
      <x:c r="D890" s="19" t="str">
        <x:v>周=2035-10-29_15；方法=OLDNN128</x:v>
      </x:c>
      <x:c r="E890" s="19" t="str">
        <x:v>控制秒</x:v>
      </x:c>
      <x:c r="F890" s="19" t="str">
        <x:v>152.91</x:v>
      </x:c>
      <x:c r="G890" s="19" t="str">
        <x:v>速度/计算</x:v>
      </x:c>
      <x:c r="H890" s="19" t="str">
        <x:v>D:/Codex/GRL研究/outputs/grid16/GRID16_report.md</x:v>
      </x:c>
    </x:row>
    <x:row r="891" ht="36" customHeight="1">
      <x:c r="A891" s="19" t="str">
        <x:v>GRID17</x:v>
      </x:c>
      <x:c r="B891" s="19" t="str">
        <x:v>GRID17_report.md</x:v>
      </x:c>
      <x:c r="C891" s="19" t="str">
        <x:v>1. GRID17：已发表的断线端点修复在本环境适用</x:v>
      </x:c>
      <x:c r="D891" s="19" t="str">
        <x:v>周=2035-01-29_4；状态步=521</x:v>
      </x:c>
      <x:c r="E891" s="19" t="str">
        <x:v>状态步</x:v>
      </x:c>
      <x:c r="F891" s="19" t="str">
        <x:v>521</x:v>
      </x:c>
      <x:c r="G891" s="19" t="str">
        <x:v>其他/配置</x:v>
      </x:c>
      <x:c r="H891" s="19" t="str">
        <x:v>D:/Codex/GRL研究/outputs/grid17/GRID17_report.md</x:v>
      </x:c>
    </x:row>
    <x:row r="892" ht="36" customHeight="1">
      <x:c r="A892" s="19" t="str">
        <x:v>GRID17</x:v>
      </x:c>
      <x:c r="B892" s="19" t="str">
        <x:v>GRID17_report.md</x:v>
      </x:c>
      <x:c r="C892" s="19" t="str">
        <x:v>1. GRID17：已发表的断线端点修复在本环境适用</x:v>
      </x:c>
      <x:c r="D892" s="19" t="str">
        <x:v>周=2035-01-29_4；状态步=521</x:v>
      </x:c>
      <x:c r="E892" s="19" t="str">
        <x:v>动作ID</x:v>
      </x:c>
      <x:c r="F892" s="19" t="str">
        <x:v>58</x:v>
      </x:c>
      <x:c r="G892" s="19" t="str">
        <x:v>其他/配置</x:v>
      </x:c>
      <x:c r="H892" s="19" t="str">
        <x:v>D:/Codex/GRL研究/outputs/grid17/GRID17_report.md</x:v>
      </x:c>
    </x:row>
    <x:row r="893" ht="36" customHeight="1">
      <x:c r="A893" s="19" t="str">
        <x:v>GRID17</x:v>
      </x:c>
      <x:c r="B893" s="19" t="str">
        <x:v>GRID17_report.md</x:v>
      </x:c>
      <x:c r="C893" s="19" t="str">
        <x:v>1. GRID17：已发表的断线端点修复在本环境适用</x:v>
      </x:c>
      <x:c r="D893" s="19" t="str">
        <x:v>周=2035-01-29_4；状态步=521</x:v>
      </x:c>
      <x:c r="E893" s="19" t="str">
        <x:v>当前ρ</x:v>
      </x:c>
      <x:c r="F893" s="19" t="str">
        <x:v>1.05625</x:v>
      </x:c>
      <x:c r="G893" s="19" t="str">
        <x:v>质量/成本</x:v>
      </x:c>
      <x:c r="H893" s="19" t="str">
        <x:v>D:/Codex/GRL研究/outputs/grid17/GRID17_report.md</x:v>
      </x:c>
    </x:row>
    <x:row r="894" ht="36" customHeight="1">
      <x:c r="A894" s="19" t="str">
        <x:v>GRID17</x:v>
      </x:c>
      <x:c r="B894" s="19" t="str">
        <x:v>GRID17_report.md</x:v>
      </x:c>
      <x:c r="C894" s="19" t="str">
        <x:v>1. GRID17：已发表的断线端点修复在本环境适用</x:v>
      </x:c>
      <x:c r="D894" s="19" t="str">
        <x:v>周=2035-01-29_4；状态步=521</x:v>
      </x:c>
      <x:c r="E894" s="19" t="str">
        <x:v>修复预测ρ</x:v>
      </x:c>
      <x:c r="F894" s="19" t="str">
        <x:v>1.07275</x:v>
      </x:c>
      <x:c r="G894" s="19" t="str">
        <x:v>质量/成本</x:v>
      </x:c>
      <x:c r="H894" s="19" t="str">
        <x:v>D:/Codex/GRL研究/outputs/grid17/GRID17_report.md</x:v>
      </x:c>
    </x:row>
    <x:row r="895" ht="36" customHeight="1">
      <x:c r="A895" s="19" t="str">
        <x:v>GRID17</x:v>
      </x:c>
      <x:c r="B895" s="19" t="str">
        <x:v>GRID17_report.md</x:v>
      </x:c>
      <x:c r="C895" s="19" t="str">
        <x:v>1. GRID17：已发表的断线端点修复在本环境适用</x:v>
      </x:c>
      <x:c r="D895" s="19" t="str">
        <x:v>周=2035-01-29_4；状态步=521</x:v>
      </x:c>
      <x:c r="E895" s="19" t="str">
        <x:v>严格有效</x:v>
      </x:c>
      <x:c r="F895" s="19" t="str">
        <x:v>True</x:v>
      </x:c>
      <x:c r="G895" s="19" t="str">
        <x:v>其他/配置</x:v>
      </x:c>
      <x:c r="H895" s="19" t="str">
        <x:v>D:/Codex/GRL研究/outputs/grid17/GRID17_report.md</x:v>
      </x:c>
    </x:row>
    <x:row r="896" ht="36" customHeight="1">
      <x:c r="A896" s="19" t="str">
        <x:v>GRID17</x:v>
      </x:c>
      <x:c r="B896" s="19" t="str">
        <x:v>GRID17_report.md</x:v>
      </x:c>
      <x:c r="C896" s="19" t="str">
        <x:v>1. GRID17：已发表的断线端点修复在本环境适用</x:v>
      </x:c>
      <x:c r="D896" s="19" t="str">
        <x:v>周=2035-01-29_4；状态步=521</x:v>
      </x:c>
      <x:c r="E896" s="19" t="str">
        <x:v>改善当前ρ</x:v>
      </x:c>
      <x:c r="F896" s="19" t="str">
        <x:v>False</x:v>
      </x:c>
      <x:c r="G896" s="19" t="str">
        <x:v>质量/成本</x:v>
      </x:c>
      <x:c r="H896" s="19" t="str">
        <x:v>D:/Codex/GRL研究/outputs/grid17/GRID17_report.md</x:v>
      </x:c>
    </x:row>
    <x:row r="897" ht="36" customHeight="1">
      <x:c r="A897" s="19" t="str">
        <x:v>GRID17</x:v>
      </x:c>
      <x:c r="B897" s="19" t="str">
        <x:v>GRID17_report.md</x:v>
      </x:c>
      <x:c r="C897" s="19" t="str">
        <x:v>1. GRID17：已发表的断线端点修复在本环境适用</x:v>
      </x:c>
      <x:c r="D897" s="19" t="str">
        <x:v>周=2035-01-29_4；状态步=521</x:v>
      </x:c>
      <x:c r="E897" s="19" t="str">
        <x:v>状态步</x:v>
      </x:c>
      <x:c r="F897" s="19" t="str">
        <x:v>521</x:v>
      </x:c>
      <x:c r="G897" s="19" t="str">
        <x:v>其他/配置</x:v>
      </x:c>
      <x:c r="H897" s="19" t="str">
        <x:v>D:/Codex/GRL研究/outputs/grid17/GRID17_report.md</x:v>
      </x:c>
    </x:row>
    <x:row r="898" ht="36" customHeight="1">
      <x:c r="A898" s="19" t="str">
        <x:v>GRID17</x:v>
      </x:c>
      <x:c r="B898" s="19" t="str">
        <x:v>GRID17_report.md</x:v>
      </x:c>
      <x:c r="C898" s="19" t="str">
        <x:v>1. GRID17：已发表的断线端点修复在本环境适用</x:v>
      </x:c>
      <x:c r="D898" s="19" t="str">
        <x:v>周=2035-01-29_4；状态步=521</x:v>
      </x:c>
      <x:c r="E898" s="19" t="str">
        <x:v>动作ID</x:v>
      </x:c>
      <x:c r="F898" s="19" t="str">
        <x:v>172</x:v>
      </x:c>
      <x:c r="G898" s="19" t="str">
        <x:v>其他/配置</x:v>
      </x:c>
      <x:c r="H898" s="19" t="str">
        <x:v>D:/Codex/GRL研究/outputs/grid17/GRID17_report.md</x:v>
      </x:c>
    </x:row>
    <x:row r="899" ht="36" customHeight="1">
      <x:c r="A899" s="19" t="str">
        <x:v>GRID17</x:v>
      </x:c>
      <x:c r="B899" s="19" t="str">
        <x:v>GRID17_report.md</x:v>
      </x:c>
      <x:c r="C899" s="19" t="str">
        <x:v>1. GRID17：已发表的断线端点修复在本环境适用</x:v>
      </x:c>
      <x:c r="D899" s="19" t="str">
        <x:v>周=2035-01-29_4；状态步=521</x:v>
      </x:c>
      <x:c r="E899" s="19" t="str">
        <x:v>当前ρ</x:v>
      </x:c>
      <x:c r="F899" s="19" t="str">
        <x:v>1.05625</x:v>
      </x:c>
      <x:c r="G899" s="19" t="str">
        <x:v>质量/成本</x:v>
      </x:c>
      <x:c r="H899" s="19" t="str">
        <x:v>D:/Codex/GRL研究/outputs/grid17/GRID17_report.md</x:v>
      </x:c>
    </x:row>
    <x:row r="900" ht="36" customHeight="1">
      <x:c r="A900" s="19" t="str">
        <x:v>GRID17</x:v>
      </x:c>
      <x:c r="B900" s="19" t="str">
        <x:v>GRID17_report.md</x:v>
      </x:c>
      <x:c r="C900" s="19" t="str">
        <x:v>1. GRID17：已发表的断线端点修复在本环境适用</x:v>
      </x:c>
      <x:c r="D900" s="19" t="str">
        <x:v>周=2035-01-29_4；状态步=521</x:v>
      </x:c>
      <x:c r="E900" s="19" t="str">
        <x:v>修复预测ρ</x:v>
      </x:c>
      <x:c r="F900" s="19" t="str">
        <x:v>1.08325</x:v>
      </x:c>
      <x:c r="G900" s="19" t="str">
        <x:v>质量/成本</x:v>
      </x:c>
      <x:c r="H900" s="19" t="str">
        <x:v>D:/Codex/GRL研究/outputs/grid17/GRID17_report.md</x:v>
      </x:c>
    </x:row>
    <x:row r="901" ht="36" customHeight="1">
      <x:c r="A901" s="19" t="str">
        <x:v>GRID17</x:v>
      </x:c>
      <x:c r="B901" s="19" t="str">
        <x:v>GRID17_report.md</x:v>
      </x:c>
      <x:c r="C901" s="19" t="str">
        <x:v>1. GRID17：已发表的断线端点修复在本环境适用</x:v>
      </x:c>
      <x:c r="D901" s="19" t="str">
        <x:v>周=2035-01-29_4；状态步=521</x:v>
      </x:c>
      <x:c r="E901" s="19" t="str">
        <x:v>严格有效</x:v>
      </x:c>
      <x:c r="F901" s="19" t="str">
        <x:v>True</x:v>
      </x:c>
      <x:c r="G901" s="19" t="str">
        <x:v>其他/配置</x:v>
      </x:c>
      <x:c r="H901" s="19" t="str">
        <x:v>D:/Codex/GRL研究/outputs/grid17/GRID17_report.md</x:v>
      </x:c>
    </x:row>
    <x:row r="902" ht="36" customHeight="1">
      <x:c r="A902" s="19" t="str">
        <x:v>GRID17</x:v>
      </x:c>
      <x:c r="B902" s="19" t="str">
        <x:v>GRID17_report.md</x:v>
      </x:c>
      <x:c r="C902" s="19" t="str">
        <x:v>1. GRID17：已发表的断线端点修复在本环境适用</x:v>
      </x:c>
      <x:c r="D902" s="19" t="str">
        <x:v>周=2035-01-29_4；状态步=521</x:v>
      </x:c>
      <x:c r="E902" s="19" t="str">
        <x:v>改善当前ρ</x:v>
      </x:c>
      <x:c r="F902" s="19" t="str">
        <x:v>False</x:v>
      </x:c>
      <x:c r="G902" s="19" t="str">
        <x:v>质量/成本</x:v>
      </x:c>
      <x:c r="H902" s="19" t="str">
        <x:v>D:/Codex/GRL研究/outputs/grid17/GRID17_report.md</x:v>
      </x:c>
    </x:row>
    <x:row r="903" ht="36" customHeight="1">
      <x:c r="A903" s="19" t="str">
        <x:v>GRID17</x:v>
      </x:c>
      <x:c r="B903" s="19" t="str">
        <x:v>GRID17_report.md</x:v>
      </x:c>
      <x:c r="C903" s="19" t="str">
        <x:v>1. GRID17：已发表的断线端点修复在本环境适用</x:v>
      </x:c>
      <x:c r="D903" s="19" t="str">
        <x:v>周=2035-01-29_4；状态步=521</x:v>
      </x:c>
      <x:c r="E903" s="19" t="str">
        <x:v>状态步</x:v>
      </x:c>
      <x:c r="F903" s="19" t="str">
        <x:v>521</x:v>
      </x:c>
      <x:c r="G903" s="19" t="str">
        <x:v>其他/配置</x:v>
      </x:c>
      <x:c r="H903" s="19" t="str">
        <x:v>D:/Codex/GRL研究/outputs/grid17/GRID17_report.md</x:v>
      </x:c>
    </x:row>
    <x:row r="904" ht="36" customHeight="1">
      <x:c r="A904" s="19" t="str">
        <x:v>GRID17</x:v>
      </x:c>
      <x:c r="B904" s="19" t="str">
        <x:v>GRID17_report.md</x:v>
      </x:c>
      <x:c r="C904" s="19" t="str">
        <x:v>1. GRID17：已发表的断线端点修复在本环境适用</x:v>
      </x:c>
      <x:c r="D904" s="19" t="str">
        <x:v>周=2035-01-29_4；状态步=521</x:v>
      </x:c>
      <x:c r="E904" s="19" t="str">
        <x:v>动作ID</x:v>
      </x:c>
      <x:c r="F904" s="19" t="str">
        <x:v>202</x:v>
      </x:c>
      <x:c r="G904" s="19" t="str">
        <x:v>其他/配置</x:v>
      </x:c>
      <x:c r="H904" s="19" t="str">
        <x:v>D:/Codex/GRL研究/outputs/grid17/GRID17_report.md</x:v>
      </x:c>
    </x:row>
    <x:row r="905" ht="36" customHeight="1">
      <x:c r="A905" s="19" t="str">
        <x:v>GRID17</x:v>
      </x:c>
      <x:c r="B905" s="19" t="str">
        <x:v>GRID17_report.md</x:v>
      </x:c>
      <x:c r="C905" s="19" t="str">
        <x:v>1. GRID17：已发表的断线端点修复在本环境适用</x:v>
      </x:c>
      <x:c r="D905" s="19" t="str">
        <x:v>周=2035-01-29_4；状态步=521</x:v>
      </x:c>
      <x:c r="E905" s="19" t="str">
        <x:v>当前ρ</x:v>
      </x:c>
      <x:c r="F905" s="19" t="str">
        <x:v>1.05625</x:v>
      </x:c>
      <x:c r="G905" s="19" t="str">
        <x:v>质量/成本</x:v>
      </x:c>
      <x:c r="H905" s="19" t="str">
        <x:v>D:/Codex/GRL研究/outputs/grid17/GRID17_report.md</x:v>
      </x:c>
    </x:row>
    <x:row r="906" ht="36" customHeight="1">
      <x:c r="A906" s="19" t="str">
        <x:v>GRID17</x:v>
      </x:c>
      <x:c r="B906" s="19" t="str">
        <x:v>GRID17_report.md</x:v>
      </x:c>
      <x:c r="C906" s="19" t="str">
        <x:v>1. GRID17：已发表的断线端点修复在本环境适用</x:v>
      </x:c>
      <x:c r="D906" s="19" t="str">
        <x:v>周=2035-01-29_4；状态步=521</x:v>
      </x:c>
      <x:c r="E906" s="19" t="str">
        <x:v>修复预测ρ</x:v>
      </x:c>
      <x:c r="F906" s="19" t="str">
        <x:v>1.26299</x:v>
      </x:c>
      <x:c r="G906" s="19" t="str">
        <x:v>质量/成本</x:v>
      </x:c>
      <x:c r="H906" s="19" t="str">
        <x:v>D:/Codex/GRL研究/outputs/grid17/GRID17_report.md</x:v>
      </x:c>
    </x:row>
    <x:row r="907" ht="36" customHeight="1">
      <x:c r="A907" s="19" t="str">
        <x:v>GRID17</x:v>
      </x:c>
      <x:c r="B907" s="19" t="str">
        <x:v>GRID17_report.md</x:v>
      </x:c>
      <x:c r="C907" s="19" t="str">
        <x:v>1. GRID17：已发表的断线端点修复在本环境适用</x:v>
      </x:c>
      <x:c r="D907" s="19" t="str">
        <x:v>周=2035-01-29_4；状态步=521</x:v>
      </x:c>
      <x:c r="E907" s="19" t="str">
        <x:v>严格有效</x:v>
      </x:c>
      <x:c r="F907" s="19" t="str">
        <x:v>True</x:v>
      </x:c>
      <x:c r="G907" s="19" t="str">
        <x:v>其他/配置</x:v>
      </x:c>
      <x:c r="H907" s="19" t="str">
        <x:v>D:/Codex/GRL研究/outputs/grid17/GRID17_report.md</x:v>
      </x:c>
    </x:row>
    <x:row r="908" ht="36" customHeight="1">
      <x:c r="A908" s="19" t="str">
        <x:v>GRID17</x:v>
      </x:c>
      <x:c r="B908" s="19" t="str">
        <x:v>GRID17_report.md</x:v>
      </x:c>
      <x:c r="C908" s="19" t="str">
        <x:v>1. GRID17：已发表的断线端点修复在本环境适用</x:v>
      </x:c>
      <x:c r="D908" s="19" t="str">
        <x:v>周=2035-01-29_4；状态步=521</x:v>
      </x:c>
      <x:c r="E908" s="19" t="str">
        <x:v>改善当前ρ</x:v>
      </x:c>
      <x:c r="F908" s="19" t="str">
        <x:v>False</x:v>
      </x:c>
      <x:c r="G908" s="19" t="str">
        <x:v>质量/成本</x:v>
      </x:c>
      <x:c r="H908" s="19" t="str">
        <x:v>D:/Codex/GRL研究/outputs/grid17/GRID17_report.md</x:v>
      </x:c>
    </x:row>
    <x:row r="909" ht="36" customHeight="1">
      <x:c r="A909" s="19" t="str">
        <x:v>GRID17</x:v>
      </x:c>
      <x:c r="B909" s="19" t="str">
        <x:v>GRID17_report.md</x:v>
      </x:c>
      <x:c r="C909" s="19" t="str">
        <x:v>1. GRID17：已发表的断线端点修复在本环境适用</x:v>
      </x:c>
      <x:c r="D909" s="19" t="str">
        <x:v>周=2035-04-16_2；状态步=111</x:v>
      </x:c>
      <x:c r="E909" s="19" t="str">
        <x:v>状态步</x:v>
      </x:c>
      <x:c r="F909" s="19" t="str">
        <x:v>111</x:v>
      </x:c>
      <x:c r="G909" s="19" t="str">
        <x:v>其他/配置</x:v>
      </x:c>
      <x:c r="H909" s="19" t="str">
        <x:v>D:/Codex/GRL研究/outputs/grid17/GRID17_report.md</x:v>
      </x:c>
    </x:row>
    <x:row r="910" ht="36" customHeight="1">
      <x:c r="A910" s="19" t="str">
        <x:v>GRID17</x:v>
      </x:c>
      <x:c r="B910" s="19" t="str">
        <x:v>GRID17_report.md</x:v>
      </x:c>
      <x:c r="C910" s="19" t="str">
        <x:v>1. GRID17：已发表的断线端点修复在本环境适用</x:v>
      </x:c>
      <x:c r="D910" s="19" t="str">
        <x:v>周=2035-04-16_2；状态步=111</x:v>
      </x:c>
      <x:c r="E910" s="19" t="str">
        <x:v>动作ID</x:v>
      </x:c>
      <x:c r="F910" s="19" t="str">
        <x:v>46</x:v>
      </x:c>
      <x:c r="G910" s="19" t="str">
        <x:v>其他/配置</x:v>
      </x:c>
      <x:c r="H910" s="19" t="str">
        <x:v>D:/Codex/GRL研究/outputs/grid17/GRID17_report.md</x:v>
      </x:c>
    </x:row>
    <x:row r="911" ht="36" customHeight="1">
      <x:c r="A911" s="19" t="str">
        <x:v>GRID17</x:v>
      </x:c>
      <x:c r="B911" s="19" t="str">
        <x:v>GRID17_report.md</x:v>
      </x:c>
      <x:c r="C911" s="19" t="str">
        <x:v>1. GRID17：已发表的断线端点修复在本环境适用</x:v>
      </x:c>
      <x:c r="D911" s="19" t="str">
        <x:v>周=2035-04-16_2；状态步=111</x:v>
      </x:c>
      <x:c r="E911" s="19" t="str">
        <x:v>当前ρ</x:v>
      </x:c>
      <x:c r="F911" s="19" t="str">
        <x:v>0.99532</x:v>
      </x:c>
      <x:c r="G911" s="19" t="str">
        <x:v>质量/成本</x:v>
      </x:c>
      <x:c r="H911" s="19" t="str">
        <x:v>D:/Codex/GRL研究/outputs/grid17/GRID17_report.md</x:v>
      </x:c>
    </x:row>
    <x:row r="912" ht="36" customHeight="1">
      <x:c r="A912" s="19" t="str">
        <x:v>GRID17</x:v>
      </x:c>
      <x:c r="B912" s="19" t="str">
        <x:v>GRID17_report.md</x:v>
      </x:c>
      <x:c r="C912" s="19" t="str">
        <x:v>1. GRID17：已发表的断线端点修复在本环境适用</x:v>
      </x:c>
      <x:c r="D912" s="19" t="str">
        <x:v>周=2035-04-16_2；状态步=111</x:v>
      </x:c>
      <x:c r="E912" s="19" t="str">
        <x:v>修复预测ρ</x:v>
      </x:c>
      <x:c r="F912" s="19" t="str">
        <x:v>1.83462</x:v>
      </x:c>
      <x:c r="G912" s="19" t="str">
        <x:v>质量/成本</x:v>
      </x:c>
      <x:c r="H912" s="19" t="str">
        <x:v>D:/Codex/GRL研究/outputs/grid17/GRID17_report.md</x:v>
      </x:c>
    </x:row>
    <x:row r="913" ht="36" customHeight="1">
      <x:c r="A913" s="19" t="str">
        <x:v>GRID17</x:v>
      </x:c>
      <x:c r="B913" s="19" t="str">
        <x:v>GRID17_report.md</x:v>
      </x:c>
      <x:c r="C913" s="19" t="str">
        <x:v>1. GRID17：已发表的断线端点修复在本环境适用</x:v>
      </x:c>
      <x:c r="D913" s="19" t="str">
        <x:v>周=2035-04-16_2；状态步=111</x:v>
      </x:c>
      <x:c r="E913" s="19" t="str">
        <x:v>严格有效</x:v>
      </x:c>
      <x:c r="F913" s="19" t="str">
        <x:v>True</x:v>
      </x:c>
      <x:c r="G913" s="19" t="str">
        <x:v>其他/配置</x:v>
      </x:c>
      <x:c r="H913" s="19" t="str">
        <x:v>D:/Codex/GRL研究/outputs/grid17/GRID17_report.md</x:v>
      </x:c>
    </x:row>
    <x:row r="914" ht="36" customHeight="1">
      <x:c r="A914" s="19" t="str">
        <x:v>GRID17</x:v>
      </x:c>
      <x:c r="B914" s="19" t="str">
        <x:v>GRID17_report.md</x:v>
      </x:c>
      <x:c r="C914" s="19" t="str">
        <x:v>1. GRID17：已发表的断线端点修复在本环境适用</x:v>
      </x:c>
      <x:c r="D914" s="19" t="str">
        <x:v>周=2035-04-16_2；状态步=111</x:v>
      </x:c>
      <x:c r="E914" s="19" t="str">
        <x:v>改善当前ρ</x:v>
      </x:c>
      <x:c r="F914" s="19" t="str">
        <x:v>False</x:v>
      </x:c>
      <x:c r="G914" s="19" t="str">
        <x:v>质量/成本</x:v>
      </x:c>
      <x:c r="H914" s="19" t="str">
        <x:v>D:/Codex/GRL研究/outputs/grid17/GRID17_report.md</x:v>
      </x:c>
    </x:row>
    <x:row r="915" ht="36" customHeight="1">
      <x:c r="A915" s="19" t="str">
        <x:v>GRID17</x:v>
      </x:c>
      <x:c r="B915" s="19" t="str">
        <x:v>GRID17_report.md</x:v>
      </x:c>
      <x:c r="C915" s="19" t="str">
        <x:v>1. GRID17：已发表的断线端点修复在本环境适用</x:v>
      </x:c>
      <x:c r="D915" s="19" t="str">
        <x:v>周=2035-04-16_2；状态步=111</x:v>
      </x:c>
      <x:c r="E915" s="19" t="str">
        <x:v>状态步</x:v>
      </x:c>
      <x:c r="F915" s="19" t="str">
        <x:v>111</x:v>
      </x:c>
      <x:c r="G915" s="19" t="str">
        <x:v>其他/配置</x:v>
      </x:c>
      <x:c r="H915" s="19" t="str">
        <x:v>D:/Codex/GRL研究/outputs/grid17/GRID17_report.md</x:v>
      </x:c>
    </x:row>
    <x:row r="916" ht="36" customHeight="1">
      <x:c r="A916" s="19" t="str">
        <x:v>GRID17</x:v>
      </x:c>
      <x:c r="B916" s="19" t="str">
        <x:v>GRID17_report.md</x:v>
      </x:c>
      <x:c r="C916" s="19" t="str">
        <x:v>1. GRID17：已发表的断线端点修复在本环境适用</x:v>
      </x:c>
      <x:c r="D916" s="19" t="str">
        <x:v>周=2035-04-16_2；状态步=111</x:v>
      </x:c>
      <x:c r="E916" s="19" t="str">
        <x:v>动作ID</x:v>
      </x:c>
      <x:c r="F916" s="19" t="str">
        <x:v>65</x:v>
      </x:c>
      <x:c r="G916" s="19" t="str">
        <x:v>其他/配置</x:v>
      </x:c>
      <x:c r="H916" s="19" t="str">
        <x:v>D:/Codex/GRL研究/outputs/grid17/GRID17_report.md</x:v>
      </x:c>
    </x:row>
    <x:row r="917" ht="36" customHeight="1">
      <x:c r="A917" s="19" t="str">
        <x:v>GRID17</x:v>
      </x:c>
      <x:c r="B917" s="19" t="str">
        <x:v>GRID17_report.md</x:v>
      </x:c>
      <x:c r="C917" s="19" t="str">
        <x:v>1. GRID17：已发表的断线端点修复在本环境适用</x:v>
      </x:c>
      <x:c r="D917" s="19" t="str">
        <x:v>周=2035-04-16_2；状态步=111</x:v>
      </x:c>
      <x:c r="E917" s="19" t="str">
        <x:v>当前ρ</x:v>
      </x:c>
      <x:c r="F917" s="19" t="str">
        <x:v>0.99532</x:v>
      </x:c>
      <x:c r="G917" s="19" t="str">
        <x:v>质量/成本</x:v>
      </x:c>
      <x:c r="H917" s="19" t="str">
        <x:v>D:/Codex/GRL研究/outputs/grid17/GRID17_report.md</x:v>
      </x:c>
    </x:row>
    <x:row r="918" ht="36" customHeight="1">
      <x:c r="A918" s="19" t="str">
        <x:v>GRID17</x:v>
      </x:c>
      <x:c r="B918" s="19" t="str">
        <x:v>GRID17_report.md</x:v>
      </x:c>
      <x:c r="C918" s="19" t="str">
        <x:v>1. GRID17：已发表的断线端点修复在本环境适用</x:v>
      </x:c>
      <x:c r="D918" s="19" t="str">
        <x:v>周=2035-04-16_2；状态步=111</x:v>
      </x:c>
      <x:c r="E918" s="19" t="str">
        <x:v>修复预测ρ</x:v>
      </x:c>
      <x:c r="F918" s="19" t="str">
        <x:v>1.61878</x:v>
      </x:c>
      <x:c r="G918" s="19" t="str">
        <x:v>质量/成本</x:v>
      </x:c>
      <x:c r="H918" s="19" t="str">
        <x:v>D:/Codex/GRL研究/outputs/grid17/GRID17_report.md</x:v>
      </x:c>
    </x:row>
    <x:row r="919" ht="36" customHeight="1">
      <x:c r="A919" s="19" t="str">
        <x:v>GRID17</x:v>
      </x:c>
      <x:c r="B919" s="19" t="str">
        <x:v>GRID17_report.md</x:v>
      </x:c>
      <x:c r="C919" s="19" t="str">
        <x:v>1. GRID17：已发表的断线端点修复在本环境适用</x:v>
      </x:c>
      <x:c r="D919" s="19" t="str">
        <x:v>周=2035-04-16_2；状态步=111</x:v>
      </x:c>
      <x:c r="E919" s="19" t="str">
        <x:v>严格有效</x:v>
      </x:c>
      <x:c r="F919" s="19" t="str">
        <x:v>True</x:v>
      </x:c>
      <x:c r="G919" s="19" t="str">
        <x:v>其他/配置</x:v>
      </x:c>
      <x:c r="H919" s="19" t="str">
        <x:v>D:/Codex/GRL研究/outputs/grid17/GRID17_report.md</x:v>
      </x:c>
    </x:row>
    <x:row r="920" ht="36" customHeight="1">
      <x:c r="A920" s="19" t="str">
        <x:v>GRID17</x:v>
      </x:c>
      <x:c r="B920" s="19" t="str">
        <x:v>GRID17_report.md</x:v>
      </x:c>
      <x:c r="C920" s="19" t="str">
        <x:v>1. GRID17：已发表的断线端点修复在本环境适用</x:v>
      </x:c>
      <x:c r="D920" s="19" t="str">
        <x:v>周=2035-04-16_2；状态步=111</x:v>
      </x:c>
      <x:c r="E920" s="19" t="str">
        <x:v>改善当前ρ</x:v>
      </x:c>
      <x:c r="F920" s="19" t="str">
        <x:v>False</x:v>
      </x:c>
      <x:c r="G920" s="19" t="str">
        <x:v>质量/成本</x:v>
      </x:c>
      <x:c r="H920" s="19" t="str">
        <x:v>D:/Codex/GRL研究/outputs/grid17/GRID17_report.md</x:v>
      </x:c>
    </x:row>
    <x:row r="921" ht="36" customHeight="1">
      <x:c r="A921" s="19" t="str">
        <x:v>GRID17</x:v>
      </x:c>
      <x:c r="B921" s="19" t="str">
        <x:v>GRID17_report.md</x:v>
      </x:c>
      <x:c r="C921" s="19" t="str">
        <x:v>1. GRID17：已发表的断线端点修复在本环境适用</x:v>
      </x:c>
      <x:c r="D921" s="19" t="str">
        <x:v>周=2035-04-16_2；状态步=111</x:v>
      </x:c>
      <x:c r="E921" s="19" t="str">
        <x:v>状态步</x:v>
      </x:c>
      <x:c r="F921" s="19" t="str">
        <x:v>111</x:v>
      </x:c>
      <x:c r="G921" s="19" t="str">
        <x:v>其他/配置</x:v>
      </x:c>
      <x:c r="H921" s="19" t="str">
        <x:v>D:/Codex/GRL研究/outputs/grid17/GRID17_report.md</x:v>
      </x:c>
    </x:row>
    <x:row r="922" ht="36" customHeight="1">
      <x:c r="A922" s="19" t="str">
        <x:v>GRID17</x:v>
      </x:c>
      <x:c r="B922" s="19" t="str">
        <x:v>GRID17_report.md</x:v>
      </x:c>
      <x:c r="C922" s="19" t="str">
        <x:v>1. GRID17：已发表的断线端点修复在本环境适用</x:v>
      </x:c>
      <x:c r="D922" s="19" t="str">
        <x:v>周=2035-04-16_2；状态步=111</x:v>
      </x:c>
      <x:c r="E922" s="19" t="str">
        <x:v>动作ID</x:v>
      </x:c>
      <x:c r="F922" s="19" t="str">
        <x:v>76</x:v>
      </x:c>
      <x:c r="G922" s="19" t="str">
        <x:v>其他/配置</x:v>
      </x:c>
      <x:c r="H922" s="19" t="str">
        <x:v>D:/Codex/GRL研究/outputs/grid17/GRID17_report.md</x:v>
      </x:c>
    </x:row>
    <x:row r="923" ht="36" customHeight="1">
      <x:c r="A923" s="19" t="str">
        <x:v>GRID17</x:v>
      </x:c>
      <x:c r="B923" s="19" t="str">
        <x:v>GRID17_report.md</x:v>
      </x:c>
      <x:c r="C923" s="19" t="str">
        <x:v>1. GRID17：已发表的断线端点修复在本环境适用</x:v>
      </x:c>
      <x:c r="D923" s="19" t="str">
        <x:v>周=2035-04-16_2；状态步=111</x:v>
      </x:c>
      <x:c r="E923" s="19" t="str">
        <x:v>当前ρ</x:v>
      </x:c>
      <x:c r="F923" s="19" t="str">
        <x:v>0.99532</x:v>
      </x:c>
      <x:c r="G923" s="19" t="str">
        <x:v>质量/成本</x:v>
      </x:c>
      <x:c r="H923" s="19" t="str">
        <x:v>D:/Codex/GRL研究/outputs/grid17/GRID17_report.md</x:v>
      </x:c>
    </x:row>
    <x:row r="924" ht="36" customHeight="1">
      <x:c r="A924" s="19" t="str">
        <x:v>GRID17</x:v>
      </x:c>
      <x:c r="B924" s="19" t="str">
        <x:v>GRID17_report.md</x:v>
      </x:c>
      <x:c r="C924" s="19" t="str">
        <x:v>1. GRID17：已发表的断线端点修复在本环境适用</x:v>
      </x:c>
      <x:c r="D924" s="19" t="str">
        <x:v>周=2035-04-16_2；状态步=111</x:v>
      </x:c>
      <x:c r="E924" s="19" t="str">
        <x:v>修复预测ρ</x:v>
      </x:c>
      <x:c r="F924" s="19" t="str">
        <x:v>1.12089</x:v>
      </x:c>
      <x:c r="G924" s="19" t="str">
        <x:v>质量/成本</x:v>
      </x:c>
      <x:c r="H924" s="19" t="str">
        <x:v>D:/Codex/GRL研究/outputs/grid17/GRID17_report.md</x:v>
      </x:c>
    </x:row>
    <x:row r="925" ht="36" customHeight="1">
      <x:c r="A925" s="19" t="str">
        <x:v>GRID17</x:v>
      </x:c>
      <x:c r="B925" s="19" t="str">
        <x:v>GRID17_report.md</x:v>
      </x:c>
      <x:c r="C925" s="19" t="str">
        <x:v>1. GRID17：已发表的断线端点修复在本环境适用</x:v>
      </x:c>
      <x:c r="D925" s="19" t="str">
        <x:v>周=2035-04-16_2；状态步=111</x:v>
      </x:c>
      <x:c r="E925" s="19" t="str">
        <x:v>严格有效</x:v>
      </x:c>
      <x:c r="F925" s="19" t="str">
        <x:v>True</x:v>
      </x:c>
      <x:c r="G925" s="19" t="str">
        <x:v>其他/配置</x:v>
      </x:c>
      <x:c r="H925" s="19" t="str">
        <x:v>D:/Codex/GRL研究/outputs/grid17/GRID17_report.md</x:v>
      </x:c>
    </x:row>
    <x:row r="926" ht="36" customHeight="1">
      <x:c r="A926" s="19" t="str">
        <x:v>GRID17</x:v>
      </x:c>
      <x:c r="B926" s="19" t="str">
        <x:v>GRID17_report.md</x:v>
      </x:c>
      <x:c r="C926" s="19" t="str">
        <x:v>1. GRID17：已发表的断线端点修复在本环境适用</x:v>
      </x:c>
      <x:c r="D926" s="19" t="str">
        <x:v>周=2035-04-16_2；状态步=111</x:v>
      </x:c>
      <x:c r="E926" s="19" t="str">
        <x:v>改善当前ρ</x:v>
      </x:c>
      <x:c r="F926" s="19" t="str">
        <x:v>False</x:v>
      </x:c>
      <x:c r="G926" s="19" t="str">
        <x:v>质量/成本</x:v>
      </x:c>
      <x:c r="H926" s="19" t="str">
        <x:v>D:/Codex/GRL研究/outputs/grid17/GRID17_report.md</x:v>
      </x:c>
    </x:row>
    <x:row r="927" ht="36" customHeight="1">
      <x:c r="A927" s="19" t="str">
        <x:v>GRID17</x:v>
      </x:c>
      <x:c r="B927" s="19" t="str">
        <x:v>GRID17_report.md</x:v>
      </x:c>
      <x:c r="C927" s="19" t="str">
        <x:v>1. GRID17：已发表的断线端点修复在本环境适用</x:v>
      </x:c>
      <x:c r="D927" s="19" t="str">
        <x:v>周=2035-07-23_10；状态步=548</x:v>
      </x:c>
      <x:c r="E927" s="19" t="str">
        <x:v>状态步</x:v>
      </x:c>
      <x:c r="F927" s="19" t="str">
        <x:v>548</x:v>
      </x:c>
      <x:c r="G927" s="19" t="str">
        <x:v>其他/配置</x:v>
      </x:c>
      <x:c r="H927" s="19" t="str">
        <x:v>D:/Codex/GRL研究/outputs/grid17/GRID17_report.md</x:v>
      </x:c>
    </x:row>
    <x:row r="928" ht="36" customHeight="1">
      <x:c r="A928" s="19" t="str">
        <x:v>GRID17</x:v>
      </x:c>
      <x:c r="B928" s="19" t="str">
        <x:v>GRID17_report.md</x:v>
      </x:c>
      <x:c r="C928" s="19" t="str">
        <x:v>1. GRID17：已发表的断线端点修复在本环境适用</x:v>
      </x:c>
      <x:c r="D928" s="19" t="str">
        <x:v>周=2035-07-23_10；状态步=548</x:v>
      </x:c>
      <x:c r="E928" s="19" t="str">
        <x:v>动作ID</x:v>
      </x:c>
      <x:c r="F928" s="19" t="str">
        <x:v>94</x:v>
      </x:c>
      <x:c r="G928" s="19" t="str">
        <x:v>其他/配置</x:v>
      </x:c>
      <x:c r="H928" s="19" t="str">
        <x:v>D:/Codex/GRL研究/outputs/grid17/GRID17_report.md</x:v>
      </x:c>
    </x:row>
    <x:row r="929" ht="36" customHeight="1">
      <x:c r="A929" s="19" t="str">
        <x:v>GRID17</x:v>
      </x:c>
      <x:c r="B929" s="19" t="str">
        <x:v>GRID17_report.md</x:v>
      </x:c>
      <x:c r="C929" s="19" t="str">
        <x:v>1. GRID17：已发表的断线端点修复在本环境适用</x:v>
      </x:c>
      <x:c r="D929" s="19" t="str">
        <x:v>周=2035-07-23_10；状态步=548</x:v>
      </x:c>
      <x:c r="E929" s="19" t="str">
        <x:v>当前ρ</x:v>
      </x:c>
      <x:c r="F929" s="19" t="str">
        <x:v>0.99658</x:v>
      </x:c>
      <x:c r="G929" s="19" t="str">
        <x:v>质量/成本</x:v>
      </x:c>
      <x:c r="H929" s="19" t="str">
        <x:v>D:/Codex/GRL研究/outputs/grid17/GRID17_report.md</x:v>
      </x:c>
    </x:row>
    <x:row r="930" ht="36" customHeight="1">
      <x:c r="A930" s="19" t="str">
        <x:v>GRID17</x:v>
      </x:c>
      <x:c r="B930" s="19" t="str">
        <x:v>GRID17_report.md</x:v>
      </x:c>
      <x:c r="C930" s="19" t="str">
        <x:v>1. GRID17：已发表的断线端点修复在本环境适用</x:v>
      </x:c>
      <x:c r="D930" s="19" t="str">
        <x:v>周=2035-07-23_10；状态步=548</x:v>
      </x:c>
      <x:c r="E930" s="19" t="str">
        <x:v>修复预测ρ</x:v>
      </x:c>
      <x:c r="F930" s="19" t="str">
        <x:v>1.87095</x:v>
      </x:c>
      <x:c r="G930" s="19" t="str">
        <x:v>质量/成本</x:v>
      </x:c>
      <x:c r="H930" s="19" t="str">
        <x:v>D:/Codex/GRL研究/outputs/grid17/GRID17_report.md</x:v>
      </x:c>
    </x:row>
    <x:row r="931" ht="36" customHeight="1">
      <x:c r="A931" s="19" t="str">
        <x:v>GRID17</x:v>
      </x:c>
      <x:c r="B931" s="19" t="str">
        <x:v>GRID17_report.md</x:v>
      </x:c>
      <x:c r="C931" s="19" t="str">
        <x:v>1. GRID17：已发表的断线端点修复在本环境适用</x:v>
      </x:c>
      <x:c r="D931" s="19" t="str">
        <x:v>周=2035-07-23_10；状态步=548</x:v>
      </x:c>
      <x:c r="E931" s="19" t="str">
        <x:v>严格有效</x:v>
      </x:c>
      <x:c r="F931" s="19" t="str">
        <x:v>True</x:v>
      </x:c>
      <x:c r="G931" s="19" t="str">
        <x:v>其他/配置</x:v>
      </x:c>
      <x:c r="H931" s="19" t="str">
        <x:v>D:/Codex/GRL研究/outputs/grid17/GRID17_report.md</x:v>
      </x:c>
    </x:row>
    <x:row r="932" ht="36" customHeight="1">
      <x:c r="A932" s="19" t="str">
        <x:v>GRID17</x:v>
      </x:c>
      <x:c r="B932" s="19" t="str">
        <x:v>GRID17_report.md</x:v>
      </x:c>
      <x:c r="C932" s="19" t="str">
        <x:v>1. GRID17：已发表的断线端点修复在本环境适用</x:v>
      </x:c>
      <x:c r="D932" s="19" t="str">
        <x:v>周=2035-07-23_10；状态步=548</x:v>
      </x:c>
      <x:c r="E932" s="19" t="str">
        <x:v>改善当前ρ</x:v>
      </x:c>
      <x:c r="F932" s="19" t="str">
        <x:v>False</x:v>
      </x:c>
      <x:c r="G932" s="19" t="str">
        <x:v>质量/成本</x:v>
      </x:c>
      <x:c r="H932" s="19" t="str">
        <x:v>D:/Codex/GRL研究/outputs/grid17/GRID17_report.md</x:v>
      </x:c>
    </x:row>
    <x:row r="933" ht="36" customHeight="1">
      <x:c r="A933" s="19" t="str">
        <x:v>GRID17</x:v>
      </x:c>
      <x:c r="B933" s="19" t="str">
        <x:v>GRID17_report.md</x:v>
      </x:c>
      <x:c r="C933" s="19" t="str">
        <x:v>1. GRID17：已发表的断线端点修复在本环境适用</x:v>
      </x:c>
      <x:c r="D933" s="19" t="str">
        <x:v>周=2035-07-23_10；状态步=548</x:v>
      </x:c>
      <x:c r="E933" s="19" t="str">
        <x:v>状态步</x:v>
      </x:c>
      <x:c r="F933" s="19" t="str">
        <x:v>548</x:v>
      </x:c>
      <x:c r="G933" s="19" t="str">
        <x:v>其他/配置</x:v>
      </x:c>
      <x:c r="H933" s="19" t="str">
        <x:v>D:/Codex/GRL研究/outputs/grid17/GRID17_report.md</x:v>
      </x:c>
    </x:row>
    <x:row r="934" ht="36" customHeight="1">
      <x:c r="A934" s="19" t="str">
        <x:v>GRID17</x:v>
      </x:c>
      <x:c r="B934" s="19" t="str">
        <x:v>GRID17_report.md</x:v>
      </x:c>
      <x:c r="C934" s="19" t="str">
        <x:v>1. GRID17：已发表的断线端点修复在本环境适用</x:v>
      </x:c>
      <x:c r="D934" s="19" t="str">
        <x:v>周=2035-07-23_10；状态步=548</x:v>
      </x:c>
      <x:c r="E934" s="19" t="str">
        <x:v>动作ID</x:v>
      </x:c>
      <x:c r="F934" s="19" t="str">
        <x:v>176</x:v>
      </x:c>
      <x:c r="G934" s="19" t="str">
        <x:v>其他/配置</x:v>
      </x:c>
      <x:c r="H934" s="19" t="str">
        <x:v>D:/Codex/GRL研究/outputs/grid17/GRID17_report.md</x:v>
      </x:c>
    </x:row>
    <x:row r="935" ht="36" customHeight="1">
      <x:c r="A935" s="19" t="str">
        <x:v>GRID17</x:v>
      </x:c>
      <x:c r="B935" s="19" t="str">
        <x:v>GRID17_report.md</x:v>
      </x:c>
      <x:c r="C935" s="19" t="str">
        <x:v>1. GRID17：已发表的断线端点修复在本环境适用</x:v>
      </x:c>
      <x:c r="D935" s="19" t="str">
        <x:v>周=2035-07-23_10；状态步=548</x:v>
      </x:c>
      <x:c r="E935" s="19" t="str">
        <x:v>当前ρ</x:v>
      </x:c>
      <x:c r="F935" s="19" t="str">
        <x:v>0.99658</x:v>
      </x:c>
      <x:c r="G935" s="19" t="str">
        <x:v>质量/成本</x:v>
      </x:c>
      <x:c r="H935" s="19" t="str">
        <x:v>D:/Codex/GRL研究/outputs/grid17/GRID17_report.md</x:v>
      </x:c>
    </x:row>
    <x:row r="936" ht="36" customHeight="1">
      <x:c r="A936" s="19" t="str">
        <x:v>GRID17</x:v>
      </x:c>
      <x:c r="B936" s="19" t="str">
        <x:v>GRID17_report.md</x:v>
      </x:c>
      <x:c r="C936" s="19" t="str">
        <x:v>1. GRID17：已发表的断线端点修复在本环境适用</x:v>
      </x:c>
      <x:c r="D936" s="19" t="str">
        <x:v>周=2035-07-23_10；状态步=548</x:v>
      </x:c>
      <x:c r="E936" s="19" t="str">
        <x:v>修复预测ρ</x:v>
      </x:c>
      <x:c r="F936" s="19" t="str">
        <x:v>0.82364</x:v>
      </x:c>
      <x:c r="G936" s="19" t="str">
        <x:v>质量/成本</x:v>
      </x:c>
      <x:c r="H936" s="19" t="str">
        <x:v>D:/Codex/GRL研究/outputs/grid17/GRID17_report.md</x:v>
      </x:c>
    </x:row>
    <x:row r="937" ht="36" customHeight="1">
      <x:c r="A937" s="19" t="str">
        <x:v>GRID17</x:v>
      </x:c>
      <x:c r="B937" s="19" t="str">
        <x:v>GRID17_report.md</x:v>
      </x:c>
      <x:c r="C937" s="19" t="str">
        <x:v>1. GRID17：已发表的断线端点修复在本环境适用</x:v>
      </x:c>
      <x:c r="D937" s="19" t="str">
        <x:v>周=2035-07-23_10；状态步=548</x:v>
      </x:c>
      <x:c r="E937" s="19" t="str">
        <x:v>严格有效</x:v>
      </x:c>
      <x:c r="F937" s="19" t="str">
        <x:v>True</x:v>
      </x:c>
      <x:c r="G937" s="19" t="str">
        <x:v>其他/配置</x:v>
      </x:c>
      <x:c r="H937" s="19" t="str">
        <x:v>D:/Codex/GRL研究/outputs/grid17/GRID17_report.md</x:v>
      </x:c>
    </x:row>
    <x:row r="938" ht="36" customHeight="1">
      <x:c r="A938" s="19" t="str">
        <x:v>GRID17</x:v>
      </x:c>
      <x:c r="B938" s="19" t="str">
        <x:v>GRID17_report.md</x:v>
      </x:c>
      <x:c r="C938" s="19" t="str">
        <x:v>1. GRID17：已发表的断线端点修复在本环境适用</x:v>
      </x:c>
      <x:c r="D938" s="19" t="str">
        <x:v>周=2035-07-23_10；状态步=548</x:v>
      </x:c>
      <x:c r="E938" s="19" t="str">
        <x:v>改善当前ρ</x:v>
      </x:c>
      <x:c r="F938" s="19" t="str">
        <x:v>True</x:v>
      </x:c>
      <x:c r="G938" s="19" t="str">
        <x:v>质量/成本</x:v>
      </x:c>
      <x:c r="H938" s="19" t="str">
        <x:v>D:/Codex/GRL研究/outputs/grid17/GRID17_report.md</x:v>
      </x:c>
    </x:row>
    <x:row r="939" ht="36" customHeight="1">
      <x:c r="A939" s="19" t="str">
        <x:v>GRID17</x:v>
      </x:c>
      <x:c r="B939" s="19" t="str">
        <x:v>GRID17_report.md</x:v>
      </x:c>
      <x:c r="C939" s="19" t="str">
        <x:v>1. GRID17：已发表的断线端点修复在本环境适用</x:v>
      </x:c>
      <x:c r="D939" s="19" t="str">
        <x:v>周=2035-07-23_10；状态步=548</x:v>
      </x:c>
      <x:c r="E939" s="19" t="str">
        <x:v>状态步</x:v>
      </x:c>
      <x:c r="F939" s="19" t="str">
        <x:v>548</x:v>
      </x:c>
      <x:c r="G939" s="19" t="str">
        <x:v>其他/配置</x:v>
      </x:c>
      <x:c r="H939" s="19" t="str">
        <x:v>D:/Codex/GRL研究/outputs/grid17/GRID17_report.md</x:v>
      </x:c>
    </x:row>
    <x:row r="940" ht="36" customHeight="1">
      <x:c r="A940" s="19" t="str">
        <x:v>GRID17</x:v>
      </x:c>
      <x:c r="B940" s="19" t="str">
        <x:v>GRID17_report.md</x:v>
      </x:c>
      <x:c r="C940" s="19" t="str">
        <x:v>1. GRID17：已发表的断线端点修复在本环境适用</x:v>
      </x:c>
      <x:c r="D940" s="19" t="str">
        <x:v>周=2035-07-23_10；状态步=548</x:v>
      </x:c>
      <x:c r="E940" s="19" t="str">
        <x:v>动作ID</x:v>
      </x:c>
      <x:c r="F940" s="19" t="str">
        <x:v>196</x:v>
      </x:c>
      <x:c r="G940" s="19" t="str">
        <x:v>其他/配置</x:v>
      </x:c>
      <x:c r="H940" s="19" t="str">
        <x:v>D:/Codex/GRL研究/outputs/grid17/GRID17_report.md</x:v>
      </x:c>
    </x:row>
    <x:row r="941" ht="36" customHeight="1">
      <x:c r="A941" s="19" t="str">
        <x:v>GRID17</x:v>
      </x:c>
      <x:c r="B941" s="19" t="str">
        <x:v>GRID17_report.md</x:v>
      </x:c>
      <x:c r="C941" s="19" t="str">
        <x:v>1. GRID17：已发表的断线端点修复在本环境适用</x:v>
      </x:c>
      <x:c r="D941" s="19" t="str">
        <x:v>周=2035-07-23_10；状态步=548</x:v>
      </x:c>
      <x:c r="E941" s="19" t="str">
        <x:v>当前ρ</x:v>
      </x:c>
      <x:c r="F941" s="19" t="str">
        <x:v>0.99658</x:v>
      </x:c>
      <x:c r="G941" s="19" t="str">
        <x:v>质量/成本</x:v>
      </x:c>
      <x:c r="H941" s="19" t="str">
        <x:v>D:/Codex/GRL研究/outputs/grid17/GRID17_report.md</x:v>
      </x:c>
    </x:row>
    <x:row r="942" ht="36" customHeight="1">
      <x:c r="A942" s="19" t="str">
        <x:v>GRID17</x:v>
      </x:c>
      <x:c r="B942" s="19" t="str">
        <x:v>GRID17_report.md</x:v>
      </x:c>
      <x:c r="C942" s="19" t="str">
        <x:v>1. GRID17：已发表的断线端点修复在本环境适用</x:v>
      </x:c>
      <x:c r="D942" s="19" t="str">
        <x:v>周=2035-07-23_10；状态步=548</x:v>
      </x:c>
      <x:c r="E942" s="19" t="str">
        <x:v>修复预测ρ</x:v>
      </x:c>
      <x:c r="F942" s="19" t="str">
        <x:v>0.82368</x:v>
      </x:c>
      <x:c r="G942" s="19" t="str">
        <x:v>质量/成本</x:v>
      </x:c>
      <x:c r="H942" s="19" t="str">
        <x:v>D:/Codex/GRL研究/outputs/grid17/GRID17_report.md</x:v>
      </x:c>
    </x:row>
    <x:row r="943" ht="36" customHeight="1">
      <x:c r="A943" s="19" t="str">
        <x:v>GRID17</x:v>
      </x:c>
      <x:c r="B943" s="19" t="str">
        <x:v>GRID17_report.md</x:v>
      </x:c>
      <x:c r="C943" s="19" t="str">
        <x:v>1. GRID17：已发表的断线端点修复在本环境适用</x:v>
      </x:c>
      <x:c r="D943" s="19" t="str">
        <x:v>周=2035-07-23_10；状态步=548</x:v>
      </x:c>
      <x:c r="E943" s="19" t="str">
        <x:v>严格有效</x:v>
      </x:c>
      <x:c r="F943" s="19" t="str">
        <x:v>True</x:v>
      </x:c>
      <x:c r="G943" s="19" t="str">
        <x:v>其他/配置</x:v>
      </x:c>
      <x:c r="H943" s="19" t="str">
        <x:v>D:/Codex/GRL研究/outputs/grid17/GRID17_report.md</x:v>
      </x:c>
    </x:row>
    <x:row r="944" ht="36" customHeight="1">
      <x:c r="A944" s="19" t="str">
        <x:v>GRID17</x:v>
      </x:c>
      <x:c r="B944" s="19" t="str">
        <x:v>GRID17_report.md</x:v>
      </x:c>
      <x:c r="C944" s="19" t="str">
        <x:v>1. GRID17：已发表的断线端点修复在本环境适用</x:v>
      </x:c>
      <x:c r="D944" s="19" t="str">
        <x:v>周=2035-07-23_10；状态步=548</x:v>
      </x:c>
      <x:c r="E944" s="19" t="str">
        <x:v>改善当前ρ</x:v>
      </x:c>
      <x:c r="F944" s="19" t="str">
        <x:v>True</x:v>
      </x:c>
      <x:c r="G944" s="19" t="str">
        <x:v>质量/成本</x:v>
      </x:c>
      <x:c r="H944" s="19" t="str">
        <x:v>D:/Codex/GRL研究/outputs/grid17/GRID17_report.md</x:v>
      </x:c>
    </x:row>
    <x:row r="945" ht="36" customHeight="1">
      <x:c r="A945" s="19" t="str">
        <x:v>GRID17</x:v>
      </x:c>
      <x:c r="B945" s="19" t="str">
        <x:v>GRID17_report.md</x:v>
      </x:c>
      <x:c r="C945" s="19" t="str">
        <x:v>1. GRID17：已发表的断线端点修复在本环境适用</x:v>
      </x:c>
      <x:c r="D945" s="19" t="str">
        <x:v>周=2035-10-29_15；状态步=101</x:v>
      </x:c>
      <x:c r="E945" s="19" t="str">
        <x:v>状态步</x:v>
      </x:c>
      <x:c r="F945" s="19" t="str">
        <x:v>101</x:v>
      </x:c>
      <x:c r="G945" s="19" t="str">
        <x:v>其他/配置</x:v>
      </x:c>
      <x:c r="H945" s="19" t="str">
        <x:v>D:/Codex/GRL研究/outputs/grid17/GRID17_report.md</x:v>
      </x:c>
    </x:row>
    <x:row r="946" ht="36" customHeight="1">
      <x:c r="A946" s="19" t="str">
        <x:v>GRID17</x:v>
      </x:c>
      <x:c r="B946" s="19" t="str">
        <x:v>GRID17_report.md</x:v>
      </x:c>
      <x:c r="C946" s="19" t="str">
        <x:v>1. GRID17：已发表的断线端点修复在本环境适用</x:v>
      </x:c>
      <x:c r="D946" s="19" t="str">
        <x:v>周=2035-10-29_15；状态步=101</x:v>
      </x:c>
      <x:c r="E946" s="19" t="str">
        <x:v>动作ID</x:v>
      </x:c>
      <x:c r="F946" s="19" t="str">
        <x:v>46</x:v>
      </x:c>
      <x:c r="G946" s="19" t="str">
        <x:v>其他/配置</x:v>
      </x:c>
      <x:c r="H946" s="19" t="str">
        <x:v>D:/Codex/GRL研究/outputs/grid17/GRID17_report.md</x:v>
      </x:c>
    </x:row>
    <x:row r="947" ht="36" customHeight="1">
      <x:c r="A947" s="19" t="str">
        <x:v>GRID17</x:v>
      </x:c>
      <x:c r="B947" s="19" t="str">
        <x:v>GRID17_report.md</x:v>
      </x:c>
      <x:c r="C947" s="19" t="str">
        <x:v>1. GRID17：已发表的断线端点修复在本环境适用</x:v>
      </x:c>
      <x:c r="D947" s="19" t="str">
        <x:v>周=2035-10-29_15；状态步=101</x:v>
      </x:c>
      <x:c r="E947" s="19" t="str">
        <x:v>当前ρ</x:v>
      </x:c>
      <x:c r="F947" s="19" t="str">
        <x:v>1.15229</x:v>
      </x:c>
      <x:c r="G947" s="19" t="str">
        <x:v>质量/成本</x:v>
      </x:c>
      <x:c r="H947" s="19" t="str">
        <x:v>D:/Codex/GRL研究/outputs/grid17/GRID17_report.md</x:v>
      </x:c>
    </x:row>
    <x:row r="948" ht="36" customHeight="1">
      <x:c r="A948" s="19" t="str">
        <x:v>GRID17</x:v>
      </x:c>
      <x:c r="B948" s="19" t="str">
        <x:v>GRID17_report.md</x:v>
      </x:c>
      <x:c r="C948" s="19" t="str">
        <x:v>1. GRID17：已发表的断线端点修复在本环境适用</x:v>
      </x:c>
      <x:c r="D948" s="19" t="str">
        <x:v>周=2035-10-29_15；状态步=101</x:v>
      </x:c>
      <x:c r="E948" s="19" t="str">
        <x:v>修复预测ρ</x:v>
      </x:c>
      <x:c r="F948" s="19" t="str">
        <x:v>1.42816</x:v>
      </x:c>
      <x:c r="G948" s="19" t="str">
        <x:v>质量/成本</x:v>
      </x:c>
      <x:c r="H948" s="19" t="str">
        <x:v>D:/Codex/GRL研究/outputs/grid17/GRID17_report.md</x:v>
      </x:c>
    </x:row>
    <x:row r="949" ht="36" customHeight="1">
      <x:c r="A949" s="19" t="str">
        <x:v>GRID17</x:v>
      </x:c>
      <x:c r="B949" s="19" t="str">
        <x:v>GRID17_report.md</x:v>
      </x:c>
      <x:c r="C949" s="19" t="str">
        <x:v>1. GRID17：已发表的断线端点修复在本环境适用</x:v>
      </x:c>
      <x:c r="D949" s="19" t="str">
        <x:v>周=2035-10-29_15；状态步=101</x:v>
      </x:c>
      <x:c r="E949" s="19" t="str">
        <x:v>严格有效</x:v>
      </x:c>
      <x:c r="F949" s="19" t="str">
        <x:v>True</x:v>
      </x:c>
      <x:c r="G949" s="19" t="str">
        <x:v>其他/配置</x:v>
      </x:c>
      <x:c r="H949" s="19" t="str">
        <x:v>D:/Codex/GRL研究/outputs/grid17/GRID17_report.md</x:v>
      </x:c>
    </x:row>
    <x:row r="950" ht="36" customHeight="1">
      <x:c r="A950" s="19" t="str">
        <x:v>GRID17</x:v>
      </x:c>
      <x:c r="B950" s="19" t="str">
        <x:v>GRID17_report.md</x:v>
      </x:c>
      <x:c r="C950" s="19" t="str">
        <x:v>1. GRID17：已发表的断线端点修复在本环境适用</x:v>
      </x:c>
      <x:c r="D950" s="19" t="str">
        <x:v>周=2035-10-29_15；状态步=101</x:v>
      </x:c>
      <x:c r="E950" s="19" t="str">
        <x:v>改善当前ρ</x:v>
      </x:c>
      <x:c r="F950" s="19" t="str">
        <x:v>False</x:v>
      </x:c>
      <x:c r="G950" s="19" t="str">
        <x:v>质量/成本</x:v>
      </x:c>
      <x:c r="H950" s="19" t="str">
        <x:v>D:/Codex/GRL研究/outputs/grid17/GRID17_report.md</x:v>
      </x:c>
    </x:row>
    <x:row r="951" ht="36" customHeight="1">
      <x:c r="A951" s="19" t="str">
        <x:v>GRID17</x:v>
      </x:c>
      <x:c r="B951" s="19" t="str">
        <x:v>GRID17_report.md</x:v>
      </x:c>
      <x:c r="C951" s="19" t="str">
        <x:v>1. GRID17：已发表的断线端点修复在本环境适用</x:v>
      </x:c>
      <x:c r="D951" s="19" t="str">
        <x:v>周=2035-10-29_15；状态步=101</x:v>
      </x:c>
      <x:c r="E951" s="19" t="str">
        <x:v>状态步</x:v>
      </x:c>
      <x:c r="F951" s="19" t="str">
        <x:v>101</x:v>
      </x:c>
      <x:c r="G951" s="19" t="str">
        <x:v>其他/配置</x:v>
      </x:c>
      <x:c r="H951" s="19" t="str">
        <x:v>D:/Codex/GRL研究/outputs/grid17/GRID17_report.md</x:v>
      </x:c>
    </x:row>
    <x:row r="952" ht="36" customHeight="1">
      <x:c r="A952" s="19" t="str">
        <x:v>GRID17</x:v>
      </x:c>
      <x:c r="B952" s="19" t="str">
        <x:v>GRID17_report.md</x:v>
      </x:c>
      <x:c r="C952" s="19" t="str">
        <x:v>1. GRID17：已发表的断线端点修复在本环境适用</x:v>
      </x:c>
      <x:c r="D952" s="19" t="str">
        <x:v>周=2035-10-29_15；状态步=101</x:v>
      </x:c>
      <x:c r="E952" s="19" t="str">
        <x:v>动作ID</x:v>
      </x:c>
      <x:c r="F952" s="19" t="str">
        <x:v>65</x:v>
      </x:c>
      <x:c r="G952" s="19" t="str">
        <x:v>其他/配置</x:v>
      </x:c>
      <x:c r="H952" s="19" t="str">
        <x:v>D:/Codex/GRL研究/outputs/grid17/GRID17_report.md</x:v>
      </x:c>
    </x:row>
    <x:row r="953" ht="36" customHeight="1">
      <x:c r="A953" s="19" t="str">
        <x:v>GRID17</x:v>
      </x:c>
      <x:c r="B953" s="19" t="str">
        <x:v>GRID17_report.md</x:v>
      </x:c>
      <x:c r="C953" s="19" t="str">
        <x:v>1. GRID17：已发表的断线端点修复在本环境适用</x:v>
      </x:c>
      <x:c r="D953" s="19" t="str">
        <x:v>周=2035-10-29_15；状态步=101</x:v>
      </x:c>
      <x:c r="E953" s="19" t="str">
        <x:v>当前ρ</x:v>
      </x:c>
      <x:c r="F953" s="19" t="str">
        <x:v>1.15229</x:v>
      </x:c>
      <x:c r="G953" s="19" t="str">
        <x:v>质量/成本</x:v>
      </x:c>
      <x:c r="H953" s="19" t="str">
        <x:v>D:/Codex/GRL研究/outputs/grid17/GRID17_report.md</x:v>
      </x:c>
    </x:row>
    <x:row r="954" ht="36" customHeight="1">
      <x:c r="A954" s="19" t="str">
        <x:v>GRID17</x:v>
      </x:c>
      <x:c r="B954" s="19" t="str">
        <x:v>GRID17_report.md</x:v>
      </x:c>
      <x:c r="C954" s="19" t="str">
        <x:v>1. GRID17：已发表的断线端点修复在本环境适用</x:v>
      </x:c>
      <x:c r="D954" s="19" t="str">
        <x:v>周=2035-10-29_15；状态步=101</x:v>
      </x:c>
      <x:c r="E954" s="19" t="str">
        <x:v>修复预测ρ</x:v>
      </x:c>
      <x:c r="F954" s="19" t="str">
        <x:v>1.22832</x:v>
      </x:c>
      <x:c r="G954" s="19" t="str">
        <x:v>质量/成本</x:v>
      </x:c>
      <x:c r="H954" s="19" t="str">
        <x:v>D:/Codex/GRL研究/outputs/grid17/GRID17_report.md</x:v>
      </x:c>
    </x:row>
    <x:row r="955" ht="36" customHeight="1">
      <x:c r="A955" s="19" t="str">
        <x:v>GRID17</x:v>
      </x:c>
      <x:c r="B955" s="19" t="str">
        <x:v>GRID17_report.md</x:v>
      </x:c>
      <x:c r="C955" s="19" t="str">
        <x:v>1. GRID17：已发表的断线端点修复在本环境适用</x:v>
      </x:c>
      <x:c r="D955" s="19" t="str">
        <x:v>周=2035-10-29_15；状态步=101</x:v>
      </x:c>
      <x:c r="E955" s="19" t="str">
        <x:v>严格有效</x:v>
      </x:c>
      <x:c r="F955" s="19" t="str">
        <x:v>True</x:v>
      </x:c>
      <x:c r="G955" s="19" t="str">
        <x:v>其他/配置</x:v>
      </x:c>
      <x:c r="H955" s="19" t="str">
        <x:v>D:/Codex/GRL研究/outputs/grid17/GRID17_report.md</x:v>
      </x:c>
    </x:row>
    <x:row r="956" ht="36" customHeight="1">
      <x:c r="A956" s="19" t="str">
        <x:v>GRID17</x:v>
      </x:c>
      <x:c r="B956" s="19" t="str">
        <x:v>GRID17_report.md</x:v>
      </x:c>
      <x:c r="C956" s="19" t="str">
        <x:v>1. GRID17：已发表的断线端点修复在本环境适用</x:v>
      </x:c>
      <x:c r="D956" s="19" t="str">
        <x:v>周=2035-10-29_15；状态步=101</x:v>
      </x:c>
      <x:c r="E956" s="19" t="str">
        <x:v>改善当前ρ</x:v>
      </x:c>
      <x:c r="F956" s="19" t="str">
        <x:v>False</x:v>
      </x:c>
      <x:c r="G956" s="19" t="str">
        <x:v>质量/成本</x:v>
      </x:c>
      <x:c r="H956" s="19" t="str">
        <x:v>D:/Codex/GRL研究/outputs/grid17/GRID17_report.md</x:v>
      </x:c>
    </x:row>
    <x:row r="957" ht="36" customHeight="1">
      <x:c r="A957" s="19" t="str">
        <x:v>GRID17</x:v>
      </x:c>
      <x:c r="B957" s="19" t="str">
        <x:v>GRID17_report.md</x:v>
      </x:c>
      <x:c r="C957" s="19" t="str">
        <x:v>1. GRID17：已发表的断线端点修复在本环境适用</x:v>
      </x:c>
      <x:c r="D957" s="19" t="str">
        <x:v>周=2035-10-29_15；状态步=101</x:v>
      </x:c>
      <x:c r="E957" s="19" t="str">
        <x:v>状态步</x:v>
      </x:c>
      <x:c r="F957" s="19" t="str">
        <x:v>101</x:v>
      </x:c>
      <x:c r="G957" s="19" t="str">
        <x:v>其他/配置</x:v>
      </x:c>
      <x:c r="H957" s="19" t="str">
        <x:v>D:/Codex/GRL研究/outputs/grid17/GRID17_report.md</x:v>
      </x:c>
    </x:row>
    <x:row r="958" ht="36" customHeight="1">
      <x:c r="A958" s="19" t="str">
        <x:v>GRID17</x:v>
      </x:c>
      <x:c r="B958" s="19" t="str">
        <x:v>GRID17_report.md</x:v>
      </x:c>
      <x:c r="C958" s="19" t="str">
        <x:v>1. GRID17：已发表的断线端点修复在本环境适用</x:v>
      </x:c>
      <x:c r="D958" s="19" t="str">
        <x:v>周=2035-10-29_15；状态步=101</x:v>
      </x:c>
      <x:c r="E958" s="19" t="str">
        <x:v>动作ID</x:v>
      </x:c>
      <x:c r="F958" s="19" t="str">
        <x:v>76</x:v>
      </x:c>
      <x:c r="G958" s="19" t="str">
        <x:v>其他/配置</x:v>
      </x:c>
      <x:c r="H958" s="19" t="str">
        <x:v>D:/Codex/GRL研究/outputs/grid17/GRID17_report.md</x:v>
      </x:c>
    </x:row>
    <x:row r="959" ht="36" customHeight="1">
      <x:c r="A959" s="19" t="str">
        <x:v>GRID17</x:v>
      </x:c>
      <x:c r="B959" s="19" t="str">
        <x:v>GRID17_report.md</x:v>
      </x:c>
      <x:c r="C959" s="19" t="str">
        <x:v>1. GRID17：已发表的断线端点修复在本环境适用</x:v>
      </x:c>
      <x:c r="D959" s="19" t="str">
        <x:v>周=2035-10-29_15；状态步=101</x:v>
      </x:c>
      <x:c r="E959" s="19" t="str">
        <x:v>当前ρ</x:v>
      </x:c>
      <x:c r="F959" s="19" t="str">
        <x:v>1.15229</x:v>
      </x:c>
      <x:c r="G959" s="19" t="str">
        <x:v>质量/成本</x:v>
      </x:c>
      <x:c r="H959" s="19" t="str">
        <x:v>D:/Codex/GRL研究/outputs/grid17/GRID17_report.md</x:v>
      </x:c>
    </x:row>
    <x:row r="960" ht="36" customHeight="1">
      <x:c r="A960" s="19" t="str">
        <x:v>GRID17</x:v>
      </x:c>
      <x:c r="B960" s="19" t="str">
        <x:v>GRID17_report.md</x:v>
      </x:c>
      <x:c r="C960" s="19" t="str">
        <x:v>1. GRID17：已发表的断线端点修复在本环境适用</x:v>
      </x:c>
      <x:c r="D960" s="19" t="str">
        <x:v>周=2035-10-29_15；状态步=101</x:v>
      </x:c>
      <x:c r="E960" s="19" t="str">
        <x:v>修复预测ρ</x:v>
      </x:c>
      <x:c r="F960" s="19" t="str">
        <x:v>1.22832</x:v>
      </x:c>
      <x:c r="G960" s="19" t="str">
        <x:v>质量/成本</x:v>
      </x:c>
      <x:c r="H960" s="19" t="str">
        <x:v>D:/Codex/GRL研究/outputs/grid17/GRID17_report.md</x:v>
      </x:c>
    </x:row>
    <x:row r="961" ht="36" customHeight="1">
      <x:c r="A961" s="19" t="str">
        <x:v>GRID17</x:v>
      </x:c>
      <x:c r="B961" s="19" t="str">
        <x:v>GRID17_report.md</x:v>
      </x:c>
      <x:c r="C961" s="19" t="str">
        <x:v>1. GRID17：已发表的断线端点修复在本环境适用</x:v>
      </x:c>
      <x:c r="D961" s="19" t="str">
        <x:v>周=2035-10-29_15；状态步=101</x:v>
      </x:c>
      <x:c r="E961" s="19" t="str">
        <x:v>严格有效</x:v>
      </x:c>
      <x:c r="F961" s="19" t="str">
        <x:v>True</x:v>
      </x:c>
      <x:c r="G961" s="19" t="str">
        <x:v>其他/配置</x:v>
      </x:c>
      <x:c r="H961" s="19" t="str">
        <x:v>D:/Codex/GRL研究/outputs/grid17/GRID17_report.md</x:v>
      </x:c>
    </x:row>
    <x:row r="962" ht="36" customHeight="1">
      <x:c r="A962" s="19" t="str">
        <x:v>GRID17</x:v>
      </x:c>
      <x:c r="B962" s="19" t="str">
        <x:v>GRID17_report.md</x:v>
      </x:c>
      <x:c r="C962" s="19" t="str">
        <x:v>1. GRID17：已发表的断线端点修复在本环境适用</x:v>
      </x:c>
      <x:c r="D962" s="19" t="str">
        <x:v>周=2035-10-29_15；状态步=101</x:v>
      </x:c>
      <x:c r="E962" s="19" t="str">
        <x:v>改善当前ρ</x:v>
      </x:c>
      <x:c r="F962" s="19" t="str">
        <x:v>False</x:v>
      </x:c>
      <x:c r="G962" s="19" t="str">
        <x:v>质量/成本</x:v>
      </x:c>
      <x:c r="H962" s="19" t="str">
        <x:v>D:/Codex/GRL研究/outputs/grid17/GRID17_report.md</x:v>
      </x:c>
    </x:row>
    <x:row r="963" ht="36" customHeight="1">
      <x:c r="A963" s="19" t="str">
        <x:v>GRID18</x:v>
      </x:c>
      <x:c r="B963" s="19" t="str">
        <x:v>GRID18_report.md</x:v>
      </x:c>
      <x:c r="C963" s="19" t="str">
        <x:v>1. 闭环结果</x:v>
      </x:c>
      <x:c r="D963" s="19" t="str">
        <x:v>周=2035-01-29_4；原/修复后步数=1719/1719</x:v>
      </x:c>
      <x:c r="E963" s="19" t="str">
        <x:v>原/修复后步数</x:v>
      </x:c>
      <x:c r="F963" s="19" t="str">
        <x:v>1719/1719</x:v>
      </x:c>
      <x:c r="G963" s="19" t="str">
        <x:v>质量/成本</x:v>
      </x:c>
      <x:c r="H963" s="19" t="str">
        <x:v>D:/Codex/GRL研究/outputs/grid18/GRID18_report.md</x:v>
      </x:c>
    </x:row>
    <x:row r="964" ht="36" customHeight="1">
      <x:c r="A964" s="19" t="str">
        <x:v>GRID18</x:v>
      </x:c>
      <x:c r="B964" s="19" t="str">
        <x:v>GRID18_report.md</x:v>
      </x:c>
      <x:c r="C964" s="19" t="str">
        <x:v>1. 闭环结果</x:v>
      </x:c>
      <x:c r="D964" s="19" t="str">
        <x:v>周=2035-01-29_4；原/修复后步数=1719/1719</x:v>
      </x:c>
      <x:c r="E964" s="19" t="str">
        <x:v>原/修复后完整</x:v>
      </x:c>
      <x:c r="F964" s="19" t="str">
        <x:v>False/False</x:v>
      </x:c>
      <x:c r="G964" s="19" t="str">
        <x:v>其他/配置</x:v>
      </x:c>
      <x:c r="H964" s="19" t="str">
        <x:v>D:/Codex/GRL研究/outputs/grid18/GRID18_report.md</x:v>
      </x:c>
    </x:row>
    <x:row r="965" ht="36" customHeight="1">
      <x:c r="A965" s="19" t="str">
        <x:v>GRID18</x:v>
      </x:c>
      <x:c r="B965" s="19" t="str">
        <x:v>GRID18_report.md</x:v>
      </x:c>
      <x:c r="C965" s="19" t="str">
        <x:v>1. 闭环结果</x:v>
      </x:c>
      <x:c r="D965" s="19" t="str">
        <x:v>周=2035-01-29_4；原/修复后步数=1719/1719</x:v>
      </x:c>
      <x:c r="E965" s="19" t="str">
        <x:v>共同完整周成本增益</x:v>
      </x:c>
      <x:c r="F965" s="19" t="str">
        <x:v>不排名失败累计成本</x:v>
      </x:c>
      <x:c r="G965" s="19" t="str">
        <x:v>质量/成本</x:v>
      </x:c>
      <x:c r="H965" s="19" t="str">
        <x:v>D:/Codex/GRL研究/outputs/grid18/GRID18_report.md</x:v>
      </x:c>
    </x:row>
    <x:row r="966" ht="36" customHeight="1">
      <x:c r="A966" s="19" t="str">
        <x:v>GRID18</x:v>
      </x:c>
      <x:c r="B966" s="19" t="str">
        <x:v>GRID18_report.md</x:v>
      </x:c>
      <x:c r="C966" s="19" t="str">
        <x:v>1. 闭环结果</x:v>
      </x:c>
      <x:c r="D966" s="19" t="str">
        <x:v>周=2035-01-29_4；原/修复后步数=1719/1719</x:v>
      </x:c>
      <x:c r="E966" s="19" t="str">
        <x:v>完全相同的物理前缀</x:v>
      </x:c>
      <x:c r="F966" s="19" t="str">
        <x:v>1719</x:v>
      </x:c>
      <x:c r="G966" s="19" t="str">
        <x:v>其他/配置</x:v>
      </x:c>
      <x:c r="H966" s="19" t="str">
        <x:v>D:/Codex/GRL研究/outputs/grid18/GRID18_report.md</x:v>
      </x:c>
    </x:row>
    <x:row r="967" ht="36" customHeight="1">
      <x:c r="A967" s="19" t="str">
        <x:v>GRID18</x:v>
      </x:c>
      <x:c r="B967" s="19" t="str">
        <x:v>GRID18_report.md</x:v>
      </x:c>
      <x:c r="C967" s="19" t="str">
        <x:v>1. 闭环结果</x:v>
      </x:c>
      <x:c r="D967" s="19" t="str">
        <x:v>周=2035-04-16_2；原/修复后步数=2017/2017</x:v>
      </x:c>
      <x:c r="E967" s="19" t="str">
        <x:v>原/修复后步数</x:v>
      </x:c>
      <x:c r="F967" s="19" t="str">
        <x:v>2017/2017</x:v>
      </x:c>
      <x:c r="G967" s="19" t="str">
        <x:v>质量/成本</x:v>
      </x:c>
      <x:c r="H967" s="19" t="str">
        <x:v>D:/Codex/GRL研究/outputs/grid18/GRID18_report.md</x:v>
      </x:c>
    </x:row>
    <x:row r="968" ht="36" customHeight="1">
      <x:c r="A968" s="19" t="str">
        <x:v>GRID18</x:v>
      </x:c>
      <x:c r="B968" s="19" t="str">
        <x:v>GRID18_report.md</x:v>
      </x:c>
      <x:c r="C968" s="19" t="str">
        <x:v>1. 闭环结果</x:v>
      </x:c>
      <x:c r="D968" s="19" t="str">
        <x:v>周=2035-04-16_2；原/修复后步数=2017/2017</x:v>
      </x:c>
      <x:c r="E968" s="19" t="str">
        <x:v>原/修复后完整</x:v>
      </x:c>
      <x:c r="F968" s="19" t="str">
        <x:v>True/True</x:v>
      </x:c>
      <x:c r="G968" s="19" t="str">
        <x:v>其他/配置</x:v>
      </x:c>
      <x:c r="H968" s="19" t="str">
        <x:v>D:/Codex/GRL研究/outputs/grid18/GRID18_report.md</x:v>
      </x:c>
    </x:row>
    <x:row r="969" ht="36" customHeight="1">
      <x:c r="A969" s="19" t="str">
        <x:v>GRID18</x:v>
      </x:c>
      <x:c r="B969" s="19" t="str">
        <x:v>GRID18_report.md</x:v>
      </x:c>
      <x:c r="C969" s="19" t="str">
        <x:v>1. 闭环结果</x:v>
      </x:c>
      <x:c r="D969" s="19" t="str">
        <x:v>周=2035-04-16_2；原/修复后步数=2017/2017</x:v>
      </x:c>
      <x:c r="E969" s="19" t="str">
        <x:v>共同完整周成本增益</x:v>
      </x:c>
      <x:c r="F969" s="19" t="str">
        <x:v>0.0000%</x:v>
      </x:c>
      <x:c r="G969" s="19" t="str">
        <x:v>质量/成本</x:v>
      </x:c>
      <x:c r="H969" s="19" t="str">
        <x:v>D:/Codex/GRL研究/outputs/grid18/GRID18_report.md</x:v>
      </x:c>
    </x:row>
    <x:row r="970" ht="36" customHeight="1">
      <x:c r="A970" s="19" t="str">
        <x:v>GRID18</x:v>
      </x:c>
      <x:c r="B970" s="19" t="str">
        <x:v>GRID18_report.md</x:v>
      </x:c>
      <x:c r="C970" s="19" t="str">
        <x:v>1. 闭环结果</x:v>
      </x:c>
      <x:c r="D970" s="19" t="str">
        <x:v>周=2035-04-16_2；原/修复后步数=2017/2017</x:v>
      </x:c>
      <x:c r="E970" s="19" t="str">
        <x:v>完全相同的物理前缀</x:v>
      </x:c>
      <x:c r="F970" s="19" t="str">
        <x:v>2017</x:v>
      </x:c>
      <x:c r="G970" s="19" t="str">
        <x:v>其他/配置</x:v>
      </x:c>
      <x:c r="H970" s="19" t="str">
        <x:v>D:/Codex/GRL研究/outputs/grid18/GRID18_report.md</x:v>
      </x:c>
    </x:row>
    <x:row r="971" ht="36" customHeight="1">
      <x:c r="A971" s="19" t="str">
        <x:v>GRID18</x:v>
      </x:c>
      <x:c r="B971" s="19" t="str">
        <x:v>GRID18_report.md</x:v>
      </x:c>
      <x:c r="C971" s="19" t="str">
        <x:v>1. 闭环结果</x:v>
      </x:c>
      <x:c r="D971" s="19" t="str">
        <x:v>周=2035-07-23_10；原/修复后步数=2017/2017</x:v>
      </x:c>
      <x:c r="E971" s="19" t="str">
        <x:v>原/修复后步数</x:v>
      </x:c>
      <x:c r="F971" s="19" t="str">
        <x:v>2017/2017</x:v>
      </x:c>
      <x:c r="G971" s="19" t="str">
        <x:v>质量/成本</x:v>
      </x:c>
      <x:c r="H971" s="19" t="str">
        <x:v>D:/Codex/GRL研究/outputs/grid18/GRID18_report.md</x:v>
      </x:c>
    </x:row>
    <x:row r="972" ht="36" customHeight="1">
      <x:c r="A972" s="19" t="str">
        <x:v>GRID18</x:v>
      </x:c>
      <x:c r="B972" s="19" t="str">
        <x:v>GRID18_report.md</x:v>
      </x:c>
      <x:c r="C972" s="19" t="str">
        <x:v>1. 闭环结果</x:v>
      </x:c>
      <x:c r="D972" s="19" t="str">
        <x:v>周=2035-07-23_10；原/修复后步数=2017/2017</x:v>
      </x:c>
      <x:c r="E972" s="19" t="str">
        <x:v>原/修复后完整</x:v>
      </x:c>
      <x:c r="F972" s="19" t="str">
        <x:v>True/True</x:v>
      </x:c>
      <x:c r="G972" s="19" t="str">
        <x:v>其他/配置</x:v>
      </x:c>
      <x:c r="H972" s="19" t="str">
        <x:v>D:/Codex/GRL研究/outputs/grid18/GRID18_report.md</x:v>
      </x:c>
    </x:row>
    <x:row r="973" ht="36" customHeight="1">
      <x:c r="A973" s="19" t="str">
        <x:v>GRID18</x:v>
      </x:c>
      <x:c r="B973" s="19" t="str">
        <x:v>GRID18_report.md</x:v>
      </x:c>
      <x:c r="C973" s="19" t="str">
        <x:v>1. 闭环结果</x:v>
      </x:c>
      <x:c r="D973" s="19" t="str">
        <x:v>周=2035-07-23_10；原/修复后步数=2017/2017</x:v>
      </x:c>
      <x:c r="E973" s="19" t="str">
        <x:v>共同完整周成本增益</x:v>
      </x:c>
      <x:c r="F973" s="19" t="str">
        <x:v>0.0000%</x:v>
      </x:c>
      <x:c r="G973" s="19" t="str">
        <x:v>质量/成本</x:v>
      </x:c>
      <x:c r="H973" s="19" t="str">
        <x:v>D:/Codex/GRL研究/outputs/grid18/GRID18_report.md</x:v>
      </x:c>
    </x:row>
    <x:row r="974" ht="36" customHeight="1">
      <x:c r="A974" s="19" t="str">
        <x:v>GRID18</x:v>
      </x:c>
      <x:c r="B974" s="19" t="str">
        <x:v>GRID18_report.md</x:v>
      </x:c>
      <x:c r="C974" s="19" t="str">
        <x:v>1. 闭环结果</x:v>
      </x:c>
      <x:c r="D974" s="19" t="str">
        <x:v>周=2035-07-23_10；原/修复后步数=2017/2017</x:v>
      </x:c>
      <x:c r="E974" s="19" t="str">
        <x:v>完全相同的物理前缀</x:v>
      </x:c>
      <x:c r="F974" s="19" t="str">
        <x:v>2017</x:v>
      </x:c>
      <x:c r="G974" s="19" t="str">
        <x:v>其他/配置</x:v>
      </x:c>
      <x:c r="H974" s="19" t="str">
        <x:v>D:/Codex/GRL研究/outputs/grid18/GRID18_report.md</x:v>
      </x:c>
    </x:row>
    <x:row r="975" ht="36" customHeight="1">
      <x:c r="A975" s="19" t="str">
        <x:v>GRID18</x:v>
      </x:c>
      <x:c r="B975" s="19" t="str">
        <x:v>GRID18_report.md</x:v>
      </x:c>
      <x:c r="C975" s="19" t="str">
        <x:v>1. 闭环结果</x:v>
      </x:c>
      <x:c r="D975" s="19" t="str">
        <x:v>周=2035-10-29_15；原/修复后步数=2017/2017</x:v>
      </x:c>
      <x:c r="E975" s="19" t="str">
        <x:v>原/修复后步数</x:v>
      </x:c>
      <x:c r="F975" s="19" t="str">
        <x:v>2017/2017</x:v>
      </x:c>
      <x:c r="G975" s="19" t="str">
        <x:v>质量/成本</x:v>
      </x:c>
      <x:c r="H975" s="19" t="str">
        <x:v>D:/Codex/GRL研究/outputs/grid18/GRID18_report.md</x:v>
      </x:c>
    </x:row>
    <x:row r="976" ht="36" customHeight="1">
      <x:c r="A976" s="19" t="str">
        <x:v>GRID18</x:v>
      </x:c>
      <x:c r="B976" s="19" t="str">
        <x:v>GRID18_report.md</x:v>
      </x:c>
      <x:c r="C976" s="19" t="str">
        <x:v>1. 闭环结果</x:v>
      </x:c>
      <x:c r="D976" s="19" t="str">
        <x:v>周=2035-10-29_15；原/修复后步数=2017/2017</x:v>
      </x:c>
      <x:c r="E976" s="19" t="str">
        <x:v>原/修复后完整</x:v>
      </x:c>
      <x:c r="F976" s="19" t="str">
        <x:v>True/True</x:v>
      </x:c>
      <x:c r="G976" s="19" t="str">
        <x:v>其他/配置</x:v>
      </x:c>
      <x:c r="H976" s="19" t="str">
        <x:v>D:/Codex/GRL研究/outputs/grid18/GRID18_report.md</x:v>
      </x:c>
    </x:row>
    <x:row r="977" ht="36" customHeight="1">
      <x:c r="A977" s="19" t="str">
        <x:v>GRID18</x:v>
      </x:c>
      <x:c r="B977" s="19" t="str">
        <x:v>GRID18_report.md</x:v>
      </x:c>
      <x:c r="C977" s="19" t="str">
        <x:v>1. 闭环结果</x:v>
      </x:c>
      <x:c r="D977" s="19" t="str">
        <x:v>周=2035-10-29_15；原/修复后步数=2017/2017</x:v>
      </x:c>
      <x:c r="E977" s="19" t="str">
        <x:v>共同完整周成本增益</x:v>
      </x:c>
      <x:c r="F977" s="19" t="str">
        <x:v>7.6862%</x:v>
      </x:c>
      <x:c r="G977" s="19" t="str">
        <x:v>质量/成本</x:v>
      </x:c>
      <x:c r="H977" s="19" t="str">
        <x:v>D:/Codex/GRL研究/outputs/grid18/GRID18_report.md</x:v>
      </x:c>
    </x:row>
    <x:row r="978" ht="36" customHeight="1">
      <x:c r="A978" s="19" t="str">
        <x:v>GRID18</x:v>
      </x:c>
      <x:c r="B978" s="19" t="str">
        <x:v>GRID18_report.md</x:v>
      </x:c>
      <x:c r="C978" s="19" t="str">
        <x:v>1. 闭环结果</x:v>
      </x:c>
      <x:c r="D978" s="19" t="str">
        <x:v>周=2035-10-29_15；原/修复后步数=2017/2017</x:v>
      </x:c>
      <x:c r="E978" s="19" t="str">
        <x:v>完全相同的物理前缀</x:v>
      </x:c>
      <x:c r="F978" s="19" t="str">
        <x:v>100</x:v>
      </x:c>
      <x:c r="G978" s="19" t="str">
        <x:v>其他/配置</x:v>
      </x:c>
      <x:c r="H978" s="19" t="str">
        <x:v>D:/Codex/GRL研究/outputs/grid18/GRID18_report.md</x:v>
      </x:c>
    </x:row>
    <x:row r="979" ht="36" customHeight="1">
      <x:c r="A979" s="19" t="str">
        <x:v>GRID19</x:v>
      </x:c>
      <x:c r="B979" s="19" t="str">
        <x:v>GRID19_report.md</x:v>
      </x:c>
      <x:c r="C979" s="19" t="str">
        <x:v>1. GRID19：新训练／开发周的完整教师采集</x:v>
      </x:c>
      <x:c r="D979" s="19" t="str">
        <x:v>周=2035-02-05_0；用途=训练</x:v>
      </x:c>
      <x:c r="E979" s="19" t="str">
        <x:v>用途</x:v>
      </x:c>
      <x:c r="F979" s="19" t="str">
        <x:v>训练</x:v>
      </x:c>
      <x:c r="G979" s="19" t="str">
        <x:v>其他/配置</x:v>
      </x:c>
      <x:c r="H979" s="19" t="str">
        <x:v>D:/Codex/GRL研究/outputs/grid19/GRID19_report.md</x:v>
      </x:c>
    </x:row>
    <x:row r="980" ht="36" customHeight="1">
      <x:c r="A980" s="19" t="str">
        <x:v>GRID19</x:v>
      </x:c>
      <x:c r="B980" s="19" t="str">
        <x:v>GRID19_report.md</x:v>
      </x:c>
      <x:c r="C980" s="19" t="str">
        <x:v>1. GRID19：新训练／开发周的完整教师采集</x:v>
      </x:c>
      <x:c r="D980" s="19" t="str">
        <x:v>周=2035-02-05_0；用途=训练</x:v>
      </x:c>
      <x:c r="E980" s="19" t="str">
        <x:v>物理步数</x:v>
      </x:c>
      <x:c r="F980" s="19" t="str">
        <x:v>2017</x:v>
      </x:c>
      <x:c r="G980" s="19" t="str">
        <x:v>质量/成本</x:v>
      </x:c>
      <x:c r="H980" s="19" t="str">
        <x:v>D:/Codex/GRL研究/outputs/grid19/GRID19_report.md</x:v>
      </x:c>
    </x:row>
    <x:row r="981" ht="36" customHeight="1">
      <x:c r="A981" s="19" t="str">
        <x:v>GRID19</x:v>
      </x:c>
      <x:c r="B981" s="19" t="str">
        <x:v>GRID19_report.md</x:v>
      </x:c>
      <x:c r="C981" s="19" t="str">
        <x:v>1. GRID19：新训练／开发周的完整教师采集</x:v>
      </x:c>
      <x:c r="D981" s="19" t="str">
        <x:v>周=2035-02-05_0；用途=训练</x:v>
      </x:c>
      <x:c r="E981" s="19" t="str">
        <x:v>完整</x:v>
      </x:c>
      <x:c r="F981" s="19" t="str">
        <x:v>True</x:v>
      </x:c>
      <x:c r="G981" s="19" t="str">
        <x:v>其他/配置</x:v>
      </x:c>
      <x:c r="H981" s="19" t="str">
        <x:v>D:/Codex/GRL研究/outputs/grid19/GRID19_report.md</x:v>
      </x:c>
    </x:row>
    <x:row r="982" ht="36" customHeight="1">
      <x:c r="A982" s="19" t="str">
        <x:v>GRID19</x:v>
      </x:c>
      <x:c r="B982" s="19" t="str">
        <x:v>GRID19_report.md</x:v>
      </x:c>
      <x:c r="C982" s="19" t="str">
        <x:v>1. GRID19：新训练／开发周的完整教师采集</x:v>
      </x:c>
      <x:c r="D982" s="19" t="str">
        <x:v>周=2035-02-05_0；用途=训练</x:v>
      </x:c>
      <x:c r="E982" s="19" t="str">
        <x:v>搜索状态</x:v>
      </x:c>
      <x:c r="F982" s="19" t="str">
        <x:v>3</x:v>
      </x:c>
      <x:c r="G982" s="19" t="str">
        <x:v>其他/配置</x:v>
      </x:c>
      <x:c r="H982" s="19" t="str">
        <x:v>D:/Codex/GRL研究/outputs/grid19/GRID19_report.md</x:v>
      </x:c>
    </x:row>
    <x:row r="983" ht="36" customHeight="1">
      <x:c r="A983" s="19" t="str">
        <x:v>GRID19</x:v>
      </x:c>
      <x:c r="B983" s="19" t="str">
        <x:v>GRID19_report.md</x:v>
      </x:c>
      <x:c r="C983" s="19" t="str">
        <x:v>1. GRID19：新训练／开发周的完整教师采集</x:v>
      </x:c>
      <x:c r="D983" s="19" t="str">
        <x:v>周=2035-02-05_0；用途=训练</x:v>
      </x:c>
      <x:c r="E983" s="19" t="str">
        <x:v>候选反馈</x:v>
      </x:c>
      <x:c r="F983" s="19" t="str">
        <x:v>2639</x:v>
      </x:c>
      <x:c r="G983" s="19" t="str">
        <x:v>其他/配置</x:v>
      </x:c>
      <x:c r="H983" s="19" t="str">
        <x:v>D:/Codex/GRL研究/outputs/grid19/GRID19_report.md</x:v>
      </x:c>
    </x:row>
    <x:row r="984" ht="36" customHeight="1">
      <x:c r="A984" s="19" t="str">
        <x:v>GRID19</x:v>
      </x:c>
      <x:c r="B984" s="19" t="str">
        <x:v>GRID19_report.md</x:v>
      </x:c>
      <x:c r="C984" s="19" t="str">
        <x:v>1. GRID19：新训练／开发周的完整教师采集</x:v>
      </x:c>
      <x:c r="D984" s="19" t="str">
        <x:v>周=2035-03-05_12；用途=训练</x:v>
      </x:c>
      <x:c r="E984" s="19" t="str">
        <x:v>用途</x:v>
      </x:c>
      <x:c r="F984" s="19" t="str">
        <x:v>训练</x:v>
      </x:c>
      <x:c r="G984" s="19" t="str">
        <x:v>其他/配置</x:v>
      </x:c>
      <x:c r="H984" s="19" t="str">
        <x:v>D:/Codex/GRL研究/outputs/grid19/GRID19_report.md</x:v>
      </x:c>
    </x:row>
    <x:row r="985" ht="36" customHeight="1">
      <x:c r="A985" s="19" t="str">
        <x:v>GRID19</x:v>
      </x:c>
      <x:c r="B985" s="19" t="str">
        <x:v>GRID19_report.md</x:v>
      </x:c>
      <x:c r="C985" s="19" t="str">
        <x:v>1. GRID19：新训练／开发周的完整教师采集</x:v>
      </x:c>
      <x:c r="D985" s="19" t="str">
        <x:v>周=2035-03-05_12；用途=训练</x:v>
      </x:c>
      <x:c r="E985" s="19" t="str">
        <x:v>物理步数</x:v>
      </x:c>
      <x:c r="F985" s="19" t="str">
        <x:v>2017</x:v>
      </x:c>
      <x:c r="G985" s="19" t="str">
        <x:v>质量/成本</x:v>
      </x:c>
      <x:c r="H985" s="19" t="str">
        <x:v>D:/Codex/GRL研究/outputs/grid19/GRID19_report.md</x:v>
      </x:c>
    </x:row>
    <x:row r="986" ht="36" customHeight="1">
      <x:c r="A986" s="19" t="str">
        <x:v>GRID19</x:v>
      </x:c>
      <x:c r="B986" s="19" t="str">
        <x:v>GRID19_report.md</x:v>
      </x:c>
      <x:c r="C986" s="19" t="str">
        <x:v>1. GRID19：新训练／开发周的完整教师采集</x:v>
      </x:c>
      <x:c r="D986" s="19" t="str">
        <x:v>周=2035-03-05_12；用途=训练</x:v>
      </x:c>
      <x:c r="E986" s="19" t="str">
        <x:v>完整</x:v>
      </x:c>
      <x:c r="F986" s="19" t="str">
        <x:v>True</x:v>
      </x:c>
      <x:c r="G986" s="19" t="str">
        <x:v>其他/配置</x:v>
      </x:c>
      <x:c r="H986" s="19" t="str">
        <x:v>D:/Codex/GRL研究/outputs/grid19/GRID19_report.md</x:v>
      </x:c>
    </x:row>
    <x:row r="987" ht="36" customHeight="1">
      <x:c r="A987" s="19" t="str">
        <x:v>GRID19</x:v>
      </x:c>
      <x:c r="B987" s="19" t="str">
        <x:v>GRID19_report.md</x:v>
      </x:c>
      <x:c r="C987" s="19" t="str">
        <x:v>1. GRID19：新训练／开发周的完整教师采集</x:v>
      </x:c>
      <x:c r="D987" s="19" t="str">
        <x:v>周=2035-03-05_12；用途=训练</x:v>
      </x:c>
      <x:c r="E987" s="19" t="str">
        <x:v>搜索状态</x:v>
      </x:c>
      <x:c r="F987" s="19" t="str">
        <x:v>13</x:v>
      </x:c>
      <x:c r="G987" s="19" t="str">
        <x:v>其他/配置</x:v>
      </x:c>
      <x:c r="H987" s="19" t="str">
        <x:v>D:/Codex/GRL研究/outputs/grid19/GRID19_report.md</x:v>
      </x:c>
    </x:row>
    <x:row r="988" ht="36" customHeight="1">
      <x:c r="A988" s="19" t="str">
        <x:v>GRID19</x:v>
      </x:c>
      <x:c r="B988" s="19" t="str">
        <x:v>GRID19_report.md</x:v>
      </x:c>
      <x:c r="C988" s="19" t="str">
        <x:v>1. GRID19：新训练／开发周的完整教师采集</x:v>
      </x:c>
      <x:c r="D988" s="19" t="str">
        <x:v>周=2035-03-05_12；用途=训练</x:v>
      </x:c>
      <x:c r="E988" s="19" t="str">
        <x:v>候选反馈</x:v>
      </x:c>
      <x:c r="F988" s="19" t="str">
        <x:v>11266</x:v>
      </x:c>
      <x:c r="G988" s="19" t="str">
        <x:v>其他/配置</x:v>
      </x:c>
      <x:c r="H988" s="19" t="str">
        <x:v>D:/Codex/GRL研究/outputs/grid19/GRID19_report.md</x:v>
      </x:c>
    </x:row>
    <x:row r="989" ht="36" customHeight="1">
      <x:c r="A989" s="19" t="str">
        <x:v>GRID19</x:v>
      </x:c>
      <x:c r="B989" s="19" t="str">
        <x:v>GRID19_report.md</x:v>
      </x:c>
      <x:c r="C989" s="19" t="str">
        <x:v>1. GRID19：新训练／开发周的完整教师采集</x:v>
      </x:c>
      <x:c r="D989" s="19" t="str">
        <x:v>周=2035-01-08_5；用途=训练</x:v>
      </x:c>
      <x:c r="E989" s="19" t="str">
        <x:v>用途</x:v>
      </x:c>
      <x:c r="F989" s="19" t="str">
        <x:v>训练</x:v>
      </x:c>
      <x:c r="G989" s="19" t="str">
        <x:v>其他/配置</x:v>
      </x:c>
      <x:c r="H989" s="19" t="str">
        <x:v>D:/Codex/GRL研究/outputs/grid19/GRID19_report.md</x:v>
      </x:c>
    </x:row>
    <x:row r="990" ht="36" customHeight="1">
      <x:c r="A990" s="19" t="str">
        <x:v>GRID19</x:v>
      </x:c>
      <x:c r="B990" s="19" t="str">
        <x:v>GRID19_report.md</x:v>
      </x:c>
      <x:c r="C990" s="19" t="str">
        <x:v>1. GRID19：新训练／开发周的完整教师采集</x:v>
      </x:c>
      <x:c r="D990" s="19" t="str">
        <x:v>周=2035-01-08_5；用途=训练</x:v>
      </x:c>
      <x:c r="E990" s="19" t="str">
        <x:v>物理步数</x:v>
      </x:c>
      <x:c r="F990" s="19" t="str">
        <x:v>2017</x:v>
      </x:c>
      <x:c r="G990" s="19" t="str">
        <x:v>质量/成本</x:v>
      </x:c>
      <x:c r="H990" s="19" t="str">
        <x:v>D:/Codex/GRL研究/outputs/grid19/GRID19_report.md</x:v>
      </x:c>
    </x:row>
    <x:row r="991" ht="36" customHeight="1">
      <x:c r="A991" s="19" t="str">
        <x:v>GRID19</x:v>
      </x:c>
      <x:c r="B991" s="19" t="str">
        <x:v>GRID19_report.md</x:v>
      </x:c>
      <x:c r="C991" s="19" t="str">
        <x:v>1. GRID19：新训练／开发周的完整教师采集</x:v>
      </x:c>
      <x:c r="D991" s="19" t="str">
        <x:v>周=2035-01-08_5；用途=训练</x:v>
      </x:c>
      <x:c r="E991" s="19" t="str">
        <x:v>完整</x:v>
      </x:c>
      <x:c r="F991" s="19" t="str">
        <x:v>True</x:v>
      </x:c>
      <x:c r="G991" s="19" t="str">
        <x:v>其他/配置</x:v>
      </x:c>
      <x:c r="H991" s="19" t="str">
        <x:v>D:/Codex/GRL研究/outputs/grid19/GRID19_report.md</x:v>
      </x:c>
    </x:row>
    <x:row r="992" ht="36" customHeight="1">
      <x:c r="A992" s="19" t="str">
        <x:v>GRID19</x:v>
      </x:c>
      <x:c r="B992" s="19" t="str">
        <x:v>GRID19_report.md</x:v>
      </x:c>
      <x:c r="C992" s="19" t="str">
        <x:v>1. GRID19：新训练／开发周的完整教师采集</x:v>
      </x:c>
      <x:c r="D992" s="19" t="str">
        <x:v>周=2035-01-08_5；用途=训练</x:v>
      </x:c>
      <x:c r="E992" s="19" t="str">
        <x:v>搜索状态</x:v>
      </x:c>
      <x:c r="F992" s="19" t="str">
        <x:v>31</x:v>
      </x:c>
      <x:c r="G992" s="19" t="str">
        <x:v>其他/配置</x:v>
      </x:c>
      <x:c r="H992" s="19" t="str">
        <x:v>D:/Codex/GRL研究/outputs/grid19/GRID19_report.md</x:v>
      </x:c>
    </x:row>
    <x:row r="993" ht="36" customHeight="1">
      <x:c r="A993" s="19" t="str">
        <x:v>GRID19</x:v>
      </x:c>
      <x:c r="B993" s="19" t="str">
        <x:v>GRID19_report.md</x:v>
      </x:c>
      <x:c r="C993" s="19" t="str">
        <x:v>1. GRID19：新训练／开发周的完整教师采集</x:v>
      </x:c>
      <x:c r="D993" s="19" t="str">
        <x:v>周=2035-01-08_5；用途=训练</x:v>
      </x:c>
      <x:c r="E993" s="19" t="str">
        <x:v>候选反馈</x:v>
      </x:c>
      <x:c r="F993" s="19" t="str">
        <x:v>25111</x:v>
      </x:c>
      <x:c r="G993" s="19" t="str">
        <x:v>其他/配置</x:v>
      </x:c>
      <x:c r="H993" s="19" t="str">
        <x:v>D:/Codex/GRL研究/outputs/grid19/GRID19_report.md</x:v>
      </x:c>
    </x:row>
    <x:row r="994" ht="36" customHeight="1">
      <x:c r="A994" s="19" t="str">
        <x:v>GRID19</x:v>
      </x:c>
      <x:c r="B994" s="19" t="str">
        <x:v>GRID19_report.md</x:v>
      </x:c>
      <x:c r="C994" s="19" t="str">
        <x:v>1. GRID19：新训练／开发周的完整教师采集</x:v>
      </x:c>
      <x:c r="D994" s="19" t="str">
        <x:v>周=2035-03-12_8；用途=训练</x:v>
      </x:c>
      <x:c r="E994" s="19" t="str">
        <x:v>用途</x:v>
      </x:c>
      <x:c r="F994" s="19" t="str">
        <x:v>训练</x:v>
      </x:c>
      <x:c r="G994" s="19" t="str">
        <x:v>其他/配置</x:v>
      </x:c>
      <x:c r="H994" s="19" t="str">
        <x:v>D:/Codex/GRL研究/outputs/grid19/GRID19_report.md</x:v>
      </x:c>
    </x:row>
    <x:row r="995" ht="36" customHeight="1">
      <x:c r="A995" s="19" t="str">
        <x:v>GRID19</x:v>
      </x:c>
      <x:c r="B995" s="19" t="str">
        <x:v>GRID19_report.md</x:v>
      </x:c>
      <x:c r="C995" s="19" t="str">
        <x:v>1. GRID19：新训练／开发周的完整教师采集</x:v>
      </x:c>
      <x:c r="D995" s="19" t="str">
        <x:v>周=2035-03-12_8；用途=训练</x:v>
      </x:c>
      <x:c r="E995" s="19" t="str">
        <x:v>物理步数</x:v>
      </x:c>
      <x:c r="F995" s="19" t="str">
        <x:v>2017</x:v>
      </x:c>
      <x:c r="G995" s="19" t="str">
        <x:v>质量/成本</x:v>
      </x:c>
      <x:c r="H995" s="19" t="str">
        <x:v>D:/Codex/GRL研究/outputs/grid19/GRID19_report.md</x:v>
      </x:c>
    </x:row>
    <x:row r="996" ht="36" customHeight="1">
      <x:c r="A996" s="19" t="str">
        <x:v>GRID19</x:v>
      </x:c>
      <x:c r="B996" s="19" t="str">
        <x:v>GRID19_report.md</x:v>
      </x:c>
      <x:c r="C996" s="19" t="str">
        <x:v>1. GRID19：新训练／开发周的完整教师采集</x:v>
      </x:c>
      <x:c r="D996" s="19" t="str">
        <x:v>周=2035-03-12_8；用途=训练</x:v>
      </x:c>
      <x:c r="E996" s="19" t="str">
        <x:v>完整</x:v>
      </x:c>
      <x:c r="F996" s="19" t="str">
        <x:v>True</x:v>
      </x:c>
      <x:c r="G996" s="19" t="str">
        <x:v>其他/配置</x:v>
      </x:c>
      <x:c r="H996" s="19" t="str">
        <x:v>D:/Codex/GRL研究/outputs/grid19/GRID19_report.md</x:v>
      </x:c>
    </x:row>
    <x:row r="997" ht="36" customHeight="1">
      <x:c r="A997" s="19" t="str">
        <x:v>GRID19</x:v>
      </x:c>
      <x:c r="B997" s="19" t="str">
        <x:v>GRID19_report.md</x:v>
      </x:c>
      <x:c r="C997" s="19" t="str">
        <x:v>1. GRID19：新训练／开发周的完整教师采集</x:v>
      </x:c>
      <x:c r="D997" s="19" t="str">
        <x:v>周=2035-03-12_8；用途=训练</x:v>
      </x:c>
      <x:c r="E997" s="19" t="str">
        <x:v>搜索状态</x:v>
      </x:c>
      <x:c r="F997" s="19" t="str">
        <x:v>8</x:v>
      </x:c>
      <x:c r="G997" s="19" t="str">
        <x:v>其他/配置</x:v>
      </x:c>
      <x:c r="H997" s="19" t="str">
        <x:v>D:/Codex/GRL研究/outputs/grid19/GRID19_report.md</x:v>
      </x:c>
    </x:row>
    <x:row r="998" ht="36" customHeight="1">
      <x:c r="A998" s="19" t="str">
        <x:v>GRID19</x:v>
      </x:c>
      <x:c r="B998" s="19" t="str">
        <x:v>GRID19_report.md</x:v>
      </x:c>
      <x:c r="C998" s="19" t="str">
        <x:v>1. GRID19：新训练／开发周的完整教师采集</x:v>
      </x:c>
      <x:c r="D998" s="19" t="str">
        <x:v>周=2035-03-12_8；用途=训练</x:v>
      </x:c>
      <x:c r="E998" s="19" t="str">
        <x:v>候选反馈</x:v>
      </x:c>
      <x:c r="F998" s="19" t="str">
        <x:v>6942</x:v>
      </x:c>
      <x:c r="G998" s="19" t="str">
        <x:v>其他/配置</x:v>
      </x:c>
      <x:c r="H998" s="19" t="str">
        <x:v>D:/Codex/GRL研究/outputs/grid19/GRID19_report.md</x:v>
      </x:c>
    </x:row>
    <x:row r="999" ht="36" customHeight="1">
      <x:c r="A999" s="19" t="str">
        <x:v>GRID19</x:v>
      </x:c>
      <x:c r="B999" s="19" t="str">
        <x:v>GRID19_report.md</x:v>
      </x:c>
      <x:c r="C999" s="19" t="str">
        <x:v>1. GRID19：新训练／开发周的完整教师采集</x:v>
      </x:c>
      <x:c r="D999" s="19" t="str">
        <x:v>周=2035-06-11_1；用途=训练</x:v>
      </x:c>
      <x:c r="E999" s="19" t="str">
        <x:v>用途</x:v>
      </x:c>
      <x:c r="F999" s="19" t="str">
        <x:v>训练</x:v>
      </x:c>
      <x:c r="G999" s="19" t="str">
        <x:v>其他/配置</x:v>
      </x:c>
      <x:c r="H999" s="19" t="str">
        <x:v>D:/Codex/GRL研究/outputs/grid19/GRID19_report.md</x:v>
      </x:c>
    </x:row>
    <x:row r="1000" ht="36" customHeight="1">
      <x:c r="A1000" s="19" t="str">
        <x:v>GRID19</x:v>
      </x:c>
      <x:c r="B1000" s="19" t="str">
        <x:v>GRID19_report.md</x:v>
      </x:c>
      <x:c r="C1000" s="19" t="str">
        <x:v>1. GRID19：新训练／开发周的完整教师采集</x:v>
      </x:c>
      <x:c r="D1000" s="19" t="str">
        <x:v>周=2035-06-11_1；用途=训练</x:v>
      </x:c>
      <x:c r="E1000" s="19" t="str">
        <x:v>物理步数</x:v>
      </x:c>
      <x:c r="F1000" s="19" t="str">
        <x:v>2017</x:v>
      </x:c>
      <x:c r="G1000" s="19" t="str">
        <x:v>质量/成本</x:v>
      </x:c>
      <x:c r="H1000" s="19" t="str">
        <x:v>D:/Codex/GRL研究/outputs/grid19/GRID19_report.md</x:v>
      </x:c>
    </x:row>
    <x:row r="1001" ht="36" customHeight="1">
      <x:c r="A1001" s="19" t="str">
        <x:v>GRID19</x:v>
      </x:c>
      <x:c r="B1001" s="19" t="str">
        <x:v>GRID19_report.md</x:v>
      </x:c>
      <x:c r="C1001" s="19" t="str">
        <x:v>1. GRID19：新训练／开发周的完整教师采集</x:v>
      </x:c>
      <x:c r="D1001" s="19" t="str">
        <x:v>周=2035-06-11_1；用途=训练</x:v>
      </x:c>
      <x:c r="E1001" s="19" t="str">
        <x:v>完整</x:v>
      </x:c>
      <x:c r="F1001" s="19" t="str">
        <x:v>True</x:v>
      </x:c>
      <x:c r="G1001" s="19" t="str">
        <x:v>其他/配置</x:v>
      </x:c>
      <x:c r="H1001" s="19" t="str">
        <x:v>D:/Codex/GRL研究/outputs/grid19/GRID19_report.md</x:v>
      </x:c>
    </x:row>
    <x:row r="1002" ht="36" customHeight="1">
      <x:c r="A1002" s="19" t="str">
        <x:v>GRID19</x:v>
      </x:c>
      <x:c r="B1002" s="19" t="str">
        <x:v>GRID19_report.md</x:v>
      </x:c>
      <x:c r="C1002" s="19" t="str">
        <x:v>1. GRID19：新训练／开发周的完整教师采集</x:v>
      </x:c>
      <x:c r="D1002" s="19" t="str">
        <x:v>周=2035-06-11_1；用途=训练</x:v>
      </x:c>
      <x:c r="E1002" s="19" t="str">
        <x:v>搜索状态</x:v>
      </x:c>
      <x:c r="F1002" s="19" t="str">
        <x:v>5</x:v>
      </x:c>
      <x:c r="G1002" s="19" t="str">
        <x:v>其他/配置</x:v>
      </x:c>
      <x:c r="H1002" s="19" t="str">
        <x:v>D:/Codex/GRL研究/outputs/grid19/GRID19_report.md</x:v>
      </x:c>
    </x:row>
    <x:row r="1003" ht="36" customHeight="1">
      <x:c r="A1003" s="19" t="str">
        <x:v>GRID19</x:v>
      </x:c>
      <x:c r="B1003" s="19" t="str">
        <x:v>GRID19_report.md</x:v>
      </x:c>
      <x:c r="C1003" s="19" t="str">
        <x:v>1. GRID19：新训练／开发周的完整教师采集</x:v>
      </x:c>
      <x:c r="D1003" s="19" t="str">
        <x:v>周=2035-06-11_1；用途=训练</x:v>
      </x:c>
      <x:c r="E1003" s="19" t="str">
        <x:v>候选反馈</x:v>
      </x:c>
      <x:c r="F1003" s="19" t="str">
        <x:v>4545</x:v>
      </x:c>
      <x:c r="G1003" s="19" t="str">
        <x:v>其他/配置</x:v>
      </x:c>
      <x:c r="H1003" s="19" t="str">
        <x:v>D:/Codex/GRL研究/outputs/grid19/GRID19_report.md</x:v>
      </x:c>
    </x:row>
    <x:row r="1004" ht="36" customHeight="1">
      <x:c r="A1004" s="19" t="str">
        <x:v>GRID19</x:v>
      </x:c>
      <x:c r="B1004" s="19" t="str">
        <x:v>GRID19_report.md</x:v>
      </x:c>
      <x:c r="C1004" s="19" t="str">
        <x:v>1. GRID19：新训练／开发周的完整教师采集</x:v>
      </x:c>
      <x:c r="D1004" s="19" t="str">
        <x:v>周=2035-06-25_9；用途=训练</x:v>
      </x:c>
      <x:c r="E1004" s="19" t="str">
        <x:v>用途</x:v>
      </x:c>
      <x:c r="F1004" s="19" t="str">
        <x:v>训练</x:v>
      </x:c>
      <x:c r="G1004" s="19" t="str">
        <x:v>其他/配置</x:v>
      </x:c>
      <x:c r="H1004" s="19" t="str">
        <x:v>D:/Codex/GRL研究/outputs/grid19/GRID19_report.md</x:v>
      </x:c>
    </x:row>
    <x:row r="1005" ht="36" customHeight="1">
      <x:c r="A1005" s="19" t="str">
        <x:v>GRID19</x:v>
      </x:c>
      <x:c r="B1005" s="19" t="str">
        <x:v>GRID19_report.md</x:v>
      </x:c>
      <x:c r="C1005" s="19" t="str">
        <x:v>1. GRID19：新训练／开发周的完整教师采集</x:v>
      </x:c>
      <x:c r="D1005" s="19" t="str">
        <x:v>周=2035-06-25_9；用途=训练</x:v>
      </x:c>
      <x:c r="E1005" s="19" t="str">
        <x:v>物理步数</x:v>
      </x:c>
      <x:c r="F1005" s="19" t="str">
        <x:v>2017</x:v>
      </x:c>
      <x:c r="G1005" s="19" t="str">
        <x:v>质量/成本</x:v>
      </x:c>
      <x:c r="H1005" s="19" t="str">
        <x:v>D:/Codex/GRL研究/outputs/grid19/GRID19_report.md</x:v>
      </x:c>
    </x:row>
    <x:row r="1006" ht="36" customHeight="1">
      <x:c r="A1006" s="19" t="str">
        <x:v>GRID19</x:v>
      </x:c>
      <x:c r="B1006" s="19" t="str">
        <x:v>GRID19_report.md</x:v>
      </x:c>
      <x:c r="C1006" s="19" t="str">
        <x:v>1. GRID19：新训练／开发周的完整教师采集</x:v>
      </x:c>
      <x:c r="D1006" s="19" t="str">
        <x:v>周=2035-06-25_9；用途=训练</x:v>
      </x:c>
      <x:c r="E1006" s="19" t="str">
        <x:v>完整</x:v>
      </x:c>
      <x:c r="F1006" s="19" t="str">
        <x:v>True</x:v>
      </x:c>
      <x:c r="G1006" s="19" t="str">
        <x:v>其他/配置</x:v>
      </x:c>
      <x:c r="H1006" s="19" t="str">
        <x:v>D:/Codex/GRL研究/outputs/grid19/GRID19_report.md</x:v>
      </x:c>
    </x:row>
    <x:row r="1007" ht="36" customHeight="1">
      <x:c r="A1007" s="19" t="str">
        <x:v>GRID19</x:v>
      </x:c>
      <x:c r="B1007" s="19" t="str">
        <x:v>GRID19_report.md</x:v>
      </x:c>
      <x:c r="C1007" s="19" t="str">
        <x:v>1. GRID19：新训练／开发周的完整教师采集</x:v>
      </x:c>
      <x:c r="D1007" s="19" t="str">
        <x:v>周=2035-06-25_9；用途=训练</x:v>
      </x:c>
      <x:c r="E1007" s="19" t="str">
        <x:v>搜索状态</x:v>
      </x:c>
      <x:c r="F1007" s="19" t="str">
        <x:v>3</x:v>
      </x:c>
      <x:c r="G1007" s="19" t="str">
        <x:v>其他/配置</x:v>
      </x:c>
      <x:c r="H1007" s="19" t="str">
        <x:v>D:/Codex/GRL研究/outputs/grid19/GRID19_report.md</x:v>
      </x:c>
    </x:row>
    <x:row r="1008" ht="36" customHeight="1">
      <x:c r="A1008" s="19" t="str">
        <x:v>GRID19</x:v>
      </x:c>
      <x:c r="B1008" s="19" t="str">
        <x:v>GRID19_report.md</x:v>
      </x:c>
      <x:c r="C1008" s="19" t="str">
        <x:v>1. GRID19：新训练／开发周的完整教师采集</x:v>
      </x:c>
      <x:c r="D1008" s="19" t="str">
        <x:v>周=2035-06-25_9；用途=训练</x:v>
      </x:c>
      <x:c r="E1008" s="19" t="str">
        <x:v>候选反馈</x:v>
      </x:c>
      <x:c r="F1008" s="19" t="str">
        <x:v>2685</x:v>
      </x:c>
      <x:c r="G1008" s="19" t="str">
        <x:v>其他/配置</x:v>
      </x:c>
      <x:c r="H1008" s="19" t="str">
        <x:v>D:/Codex/GRL研究/outputs/grid19/GRID19_report.md</x:v>
      </x:c>
    </x:row>
    <x:row r="1009" ht="36" customHeight="1">
      <x:c r="A1009" s="19" t="str">
        <x:v>GRID19</x:v>
      </x:c>
      <x:c r="B1009" s="19" t="str">
        <x:v>GRID19_report.md</x:v>
      </x:c>
      <x:c r="C1009" s="19" t="str">
        <x:v>1. GRID19：新训练／开发周的完整教师采集</x:v>
      </x:c>
      <x:c r="D1009" s="19" t="str">
        <x:v>周=2035-05-07_14；用途=训练</x:v>
      </x:c>
      <x:c r="E1009" s="19" t="str">
        <x:v>用途</x:v>
      </x:c>
      <x:c r="F1009" s="19" t="str">
        <x:v>训练</x:v>
      </x:c>
      <x:c r="G1009" s="19" t="str">
        <x:v>其他/配置</x:v>
      </x:c>
      <x:c r="H1009" s="19" t="str">
        <x:v>D:/Codex/GRL研究/outputs/grid19/GRID19_report.md</x:v>
      </x:c>
    </x:row>
    <x:row r="1010" ht="36" customHeight="1">
      <x:c r="A1010" s="19" t="str">
        <x:v>GRID19</x:v>
      </x:c>
      <x:c r="B1010" s="19" t="str">
        <x:v>GRID19_report.md</x:v>
      </x:c>
      <x:c r="C1010" s="19" t="str">
        <x:v>1. GRID19：新训练／开发周的完整教师采集</x:v>
      </x:c>
      <x:c r="D1010" s="19" t="str">
        <x:v>周=2035-05-07_14；用途=训练</x:v>
      </x:c>
      <x:c r="E1010" s="19" t="str">
        <x:v>物理步数</x:v>
      </x:c>
      <x:c r="F1010" s="19" t="str">
        <x:v>2017</x:v>
      </x:c>
      <x:c r="G1010" s="19" t="str">
        <x:v>质量/成本</x:v>
      </x:c>
      <x:c r="H1010" s="19" t="str">
        <x:v>D:/Codex/GRL研究/outputs/grid19/GRID19_report.md</x:v>
      </x:c>
    </x:row>
    <x:row r="1011" ht="36" customHeight="1">
      <x:c r="A1011" s="19" t="str">
        <x:v>GRID19</x:v>
      </x:c>
      <x:c r="B1011" s="19" t="str">
        <x:v>GRID19_report.md</x:v>
      </x:c>
      <x:c r="C1011" s="19" t="str">
        <x:v>1. GRID19：新训练／开发周的完整教师采集</x:v>
      </x:c>
      <x:c r="D1011" s="19" t="str">
        <x:v>周=2035-05-07_14；用途=训练</x:v>
      </x:c>
      <x:c r="E1011" s="19" t="str">
        <x:v>完整</x:v>
      </x:c>
      <x:c r="F1011" s="19" t="str">
        <x:v>True</x:v>
      </x:c>
      <x:c r="G1011" s="19" t="str">
        <x:v>其他/配置</x:v>
      </x:c>
      <x:c r="H1011" s="19" t="str">
        <x:v>D:/Codex/GRL研究/outputs/grid19/GRID19_report.md</x:v>
      </x:c>
    </x:row>
    <x:row r="1012" ht="36" customHeight="1">
      <x:c r="A1012" s="19" t="str">
        <x:v>GRID19</x:v>
      </x:c>
      <x:c r="B1012" s="19" t="str">
        <x:v>GRID19_report.md</x:v>
      </x:c>
      <x:c r="C1012" s="19" t="str">
        <x:v>1. GRID19：新训练／开发周的完整教师采集</x:v>
      </x:c>
      <x:c r="D1012" s="19" t="str">
        <x:v>周=2035-05-07_14；用途=训练</x:v>
      </x:c>
      <x:c r="E1012" s="19" t="str">
        <x:v>搜索状态</x:v>
      </x:c>
      <x:c r="F1012" s="19" t="str">
        <x:v>13</x:v>
      </x:c>
      <x:c r="G1012" s="19" t="str">
        <x:v>其他/配置</x:v>
      </x:c>
      <x:c r="H1012" s="19" t="str">
        <x:v>D:/Codex/GRL研究/outputs/grid19/GRID19_report.md</x:v>
      </x:c>
    </x:row>
    <x:row r="1013" ht="36" customHeight="1">
      <x:c r="A1013" s="19" t="str">
        <x:v>GRID19</x:v>
      </x:c>
      <x:c r="B1013" s="19" t="str">
        <x:v>GRID19_report.md</x:v>
      </x:c>
      <x:c r="C1013" s="19" t="str">
        <x:v>1. GRID19：新训练／开发周的完整教师采集</x:v>
      </x:c>
      <x:c r="D1013" s="19" t="str">
        <x:v>周=2035-05-07_14；用途=训练</x:v>
      </x:c>
      <x:c r="E1013" s="19" t="str">
        <x:v>候选反馈</x:v>
      </x:c>
      <x:c r="F1013" s="19" t="str">
        <x:v>11408</x:v>
      </x:c>
      <x:c r="G1013" s="19" t="str">
        <x:v>其他/配置</x:v>
      </x:c>
      <x:c r="H1013" s="19" t="str">
        <x:v>D:/Codex/GRL研究/outputs/grid19/GRID19_report.md</x:v>
      </x:c>
    </x:row>
    <x:row r="1014" ht="36" customHeight="1">
      <x:c r="A1014" s="19" t="str">
        <x:v>GRID19</x:v>
      </x:c>
      <x:c r="B1014" s="19" t="str">
        <x:v>GRID19_report.md</x:v>
      </x:c>
      <x:c r="C1014" s="19" t="str">
        <x:v>1. GRID19：新训练／开发周的完整教师采集</x:v>
      </x:c>
      <x:c r="D1014" s="19" t="str">
        <x:v>周=2035-04-30_12；用途=训练</x:v>
      </x:c>
      <x:c r="E1014" s="19" t="str">
        <x:v>用途</x:v>
      </x:c>
      <x:c r="F1014" s="19" t="str">
        <x:v>训练</x:v>
      </x:c>
      <x:c r="G1014" s="19" t="str">
        <x:v>其他/配置</x:v>
      </x:c>
      <x:c r="H1014" s="19" t="str">
        <x:v>D:/Codex/GRL研究/outputs/grid19/GRID19_report.md</x:v>
      </x:c>
    </x:row>
    <x:row r="1015" ht="36" customHeight="1">
      <x:c r="A1015" s="19" t="str">
        <x:v>GRID19</x:v>
      </x:c>
      <x:c r="B1015" s="19" t="str">
        <x:v>GRID19_report.md</x:v>
      </x:c>
      <x:c r="C1015" s="19" t="str">
        <x:v>1. GRID19：新训练／开发周的完整教师采集</x:v>
      </x:c>
      <x:c r="D1015" s="19" t="str">
        <x:v>周=2035-04-30_12；用途=训练</x:v>
      </x:c>
      <x:c r="E1015" s="19" t="str">
        <x:v>物理步数</x:v>
      </x:c>
      <x:c r="F1015" s="19" t="str">
        <x:v>153</x:v>
      </x:c>
      <x:c r="G1015" s="19" t="str">
        <x:v>质量/成本</x:v>
      </x:c>
      <x:c r="H1015" s="19" t="str">
        <x:v>D:/Codex/GRL研究/outputs/grid19/GRID19_report.md</x:v>
      </x:c>
    </x:row>
    <x:row r="1016" ht="36" customHeight="1">
      <x:c r="A1016" s="19" t="str">
        <x:v>GRID19</x:v>
      </x:c>
      <x:c r="B1016" s="19" t="str">
        <x:v>GRID19_report.md</x:v>
      </x:c>
      <x:c r="C1016" s="19" t="str">
        <x:v>1. GRID19：新训练／开发周的完整教师采集</x:v>
      </x:c>
      <x:c r="D1016" s="19" t="str">
        <x:v>周=2035-04-30_12；用途=训练</x:v>
      </x:c>
      <x:c r="E1016" s="19" t="str">
        <x:v>完整</x:v>
      </x:c>
      <x:c r="F1016" s="19" t="str">
        <x:v>False</x:v>
      </x:c>
      <x:c r="G1016" s="19" t="str">
        <x:v>其他/配置</x:v>
      </x:c>
      <x:c r="H1016" s="19" t="str">
        <x:v>D:/Codex/GRL研究/outputs/grid19/GRID19_report.md</x:v>
      </x:c>
    </x:row>
    <x:row r="1017" ht="36" customHeight="1">
      <x:c r="A1017" s="19" t="str">
        <x:v>GRID19</x:v>
      </x:c>
      <x:c r="B1017" s="19" t="str">
        <x:v>GRID19_report.md</x:v>
      </x:c>
      <x:c r="C1017" s="19" t="str">
        <x:v>1. GRID19：新训练／开发周的完整教师采集</x:v>
      </x:c>
      <x:c r="D1017" s="19" t="str">
        <x:v>周=2035-04-30_12；用途=训练</x:v>
      </x:c>
      <x:c r="E1017" s="19" t="str">
        <x:v>搜索状态</x:v>
      </x:c>
      <x:c r="F1017" s="19" t="str">
        <x:v>4</x:v>
      </x:c>
      <x:c r="G1017" s="19" t="str">
        <x:v>其他/配置</x:v>
      </x:c>
      <x:c r="H1017" s="19" t="str">
        <x:v>D:/Codex/GRL研究/outputs/grid19/GRID19_report.md</x:v>
      </x:c>
    </x:row>
    <x:row r="1018" ht="36" customHeight="1">
      <x:c r="A1018" s="19" t="str">
        <x:v>GRID19</x:v>
      </x:c>
      <x:c r="B1018" s="19" t="str">
        <x:v>GRID19_report.md</x:v>
      </x:c>
      <x:c r="C1018" s="19" t="str">
        <x:v>1. GRID19：新训练／开发周的完整教师采集</x:v>
      </x:c>
      <x:c r="D1018" s="19" t="str">
        <x:v>周=2035-04-30_12；用途=训练</x:v>
      </x:c>
      <x:c r="E1018" s="19" t="str">
        <x:v>候选反馈</x:v>
      </x:c>
      <x:c r="F1018" s="19" t="str">
        <x:v>3587</x:v>
      </x:c>
      <x:c r="G1018" s="19" t="str">
        <x:v>其他/配置</x:v>
      </x:c>
      <x:c r="H1018" s="19" t="str">
        <x:v>D:/Codex/GRL研究/outputs/grid19/GRID19_report.md</x:v>
      </x:c>
    </x:row>
    <x:row r="1019" ht="36" customHeight="1">
      <x:c r="A1019" s="19" t="str">
        <x:v>GRID19</x:v>
      </x:c>
      <x:c r="B1019" s="19" t="str">
        <x:v>GRID19_report.md</x:v>
      </x:c>
      <x:c r="C1019" s="19" t="str">
        <x:v>1. GRID19：新训练／开发周的完整教师采集</x:v>
      </x:c>
      <x:c r="D1019" s="19" t="str">
        <x:v>周=2035-09-10_1；用途=训练</x:v>
      </x:c>
      <x:c r="E1019" s="19" t="str">
        <x:v>用途</x:v>
      </x:c>
      <x:c r="F1019" s="19" t="str">
        <x:v>训练</x:v>
      </x:c>
      <x:c r="G1019" s="19" t="str">
        <x:v>其他/配置</x:v>
      </x:c>
      <x:c r="H1019" s="19" t="str">
        <x:v>D:/Codex/GRL研究/outputs/grid19/GRID19_report.md</x:v>
      </x:c>
    </x:row>
    <x:row r="1020" ht="36" customHeight="1">
      <x:c r="A1020" s="19" t="str">
        <x:v>GRID19</x:v>
      </x:c>
      <x:c r="B1020" s="19" t="str">
        <x:v>GRID19_report.md</x:v>
      </x:c>
      <x:c r="C1020" s="19" t="str">
        <x:v>1. GRID19：新训练／开发周的完整教师采集</x:v>
      </x:c>
      <x:c r="D1020" s="19" t="str">
        <x:v>周=2035-09-10_1；用途=训练</x:v>
      </x:c>
      <x:c r="E1020" s="19" t="str">
        <x:v>物理步数</x:v>
      </x:c>
      <x:c r="F1020" s="19" t="str">
        <x:v>2017</x:v>
      </x:c>
      <x:c r="G1020" s="19" t="str">
        <x:v>质量/成本</x:v>
      </x:c>
      <x:c r="H1020" s="19" t="str">
        <x:v>D:/Codex/GRL研究/outputs/grid19/GRID19_report.md</x:v>
      </x:c>
    </x:row>
    <x:row r="1021" ht="36" customHeight="1">
      <x:c r="A1021" s="19" t="str">
        <x:v>GRID19</x:v>
      </x:c>
      <x:c r="B1021" s="19" t="str">
        <x:v>GRID19_report.md</x:v>
      </x:c>
      <x:c r="C1021" s="19" t="str">
        <x:v>1. GRID19：新训练／开发周的完整教师采集</x:v>
      </x:c>
      <x:c r="D1021" s="19" t="str">
        <x:v>周=2035-09-10_1；用途=训练</x:v>
      </x:c>
      <x:c r="E1021" s="19" t="str">
        <x:v>完整</x:v>
      </x:c>
      <x:c r="F1021" s="19" t="str">
        <x:v>True</x:v>
      </x:c>
      <x:c r="G1021" s="19" t="str">
        <x:v>其他/配置</x:v>
      </x:c>
      <x:c r="H1021" s="19" t="str">
        <x:v>D:/Codex/GRL研究/outputs/grid19/GRID19_report.md</x:v>
      </x:c>
    </x:row>
    <x:row r="1022" ht="36" customHeight="1">
      <x:c r="A1022" s="19" t="str">
        <x:v>GRID19</x:v>
      </x:c>
      <x:c r="B1022" s="19" t="str">
        <x:v>GRID19_report.md</x:v>
      </x:c>
      <x:c r="C1022" s="19" t="str">
        <x:v>1. GRID19：新训练／开发周的完整教师采集</x:v>
      </x:c>
      <x:c r="D1022" s="19" t="str">
        <x:v>周=2035-09-10_1；用途=训练</x:v>
      </x:c>
      <x:c r="E1022" s="19" t="str">
        <x:v>搜索状态</x:v>
      </x:c>
      <x:c r="F1022" s="19" t="str">
        <x:v>13</x:v>
      </x:c>
      <x:c r="G1022" s="19" t="str">
        <x:v>其他/配置</x:v>
      </x:c>
      <x:c r="H1022" s="19" t="str">
        <x:v>D:/Codex/GRL研究/outputs/grid19/GRID19_report.md</x:v>
      </x:c>
    </x:row>
    <x:row r="1023" ht="36" customHeight="1">
      <x:c r="A1023" s="19" t="str">
        <x:v>GRID19</x:v>
      </x:c>
      <x:c r="B1023" s="19" t="str">
        <x:v>GRID19_report.md</x:v>
      </x:c>
      <x:c r="C1023" s="19" t="str">
        <x:v>1. GRID19：新训练／开发周的完整教师采集</x:v>
      </x:c>
      <x:c r="D1023" s="19" t="str">
        <x:v>周=2035-09-10_1；用途=训练</x:v>
      </x:c>
      <x:c r="E1023" s="19" t="str">
        <x:v>候选反馈</x:v>
      </x:c>
      <x:c r="F1023" s="19" t="str">
        <x:v>11810</x:v>
      </x:c>
      <x:c r="G1023" s="19" t="str">
        <x:v>其他/配置</x:v>
      </x:c>
      <x:c r="H1023" s="19" t="str">
        <x:v>D:/Codex/GRL研究/outputs/grid19/GRID19_report.md</x:v>
      </x:c>
    </x:row>
    <x:row r="1024" ht="36" customHeight="1">
      <x:c r="A1024" s="19" t="str">
        <x:v>GRID19</x:v>
      </x:c>
      <x:c r="B1024" s="19" t="str">
        <x:v>GRID19_report.md</x:v>
      </x:c>
      <x:c r="C1024" s="19" t="str">
        <x:v>1. GRID19：新训练／开发周的完整教师采集</x:v>
      </x:c>
      <x:c r="D1024" s="19" t="str">
        <x:v>周=2035-09-17_8；用途=训练</x:v>
      </x:c>
      <x:c r="E1024" s="19" t="str">
        <x:v>用途</x:v>
      </x:c>
      <x:c r="F1024" s="19" t="str">
        <x:v>训练</x:v>
      </x:c>
      <x:c r="G1024" s="19" t="str">
        <x:v>其他/配置</x:v>
      </x:c>
      <x:c r="H1024" s="19" t="str">
        <x:v>D:/Codex/GRL研究/outputs/grid19/GRID19_report.md</x:v>
      </x:c>
    </x:row>
    <x:row r="1025" ht="36" customHeight="1">
      <x:c r="A1025" s="19" t="str">
        <x:v>GRID19</x:v>
      </x:c>
      <x:c r="B1025" s="19" t="str">
        <x:v>GRID19_report.md</x:v>
      </x:c>
      <x:c r="C1025" s="19" t="str">
        <x:v>1. GRID19：新训练／开发周的完整教师采集</x:v>
      </x:c>
      <x:c r="D1025" s="19" t="str">
        <x:v>周=2035-09-17_8；用途=训练</x:v>
      </x:c>
      <x:c r="E1025" s="19" t="str">
        <x:v>物理步数</x:v>
      </x:c>
      <x:c r="F1025" s="19" t="str">
        <x:v>1595</x:v>
      </x:c>
      <x:c r="G1025" s="19" t="str">
        <x:v>质量/成本</x:v>
      </x:c>
      <x:c r="H1025" s="19" t="str">
        <x:v>D:/Codex/GRL研究/outputs/grid19/GRID19_report.md</x:v>
      </x:c>
    </x:row>
    <x:row r="1026" ht="36" customHeight="1">
      <x:c r="A1026" s="19" t="str">
        <x:v>GRID19</x:v>
      </x:c>
      <x:c r="B1026" s="19" t="str">
        <x:v>GRID19_report.md</x:v>
      </x:c>
      <x:c r="C1026" s="19" t="str">
        <x:v>1. GRID19：新训练／开发周的完整教师采集</x:v>
      </x:c>
      <x:c r="D1026" s="19" t="str">
        <x:v>周=2035-09-17_8；用途=训练</x:v>
      </x:c>
      <x:c r="E1026" s="19" t="str">
        <x:v>完整</x:v>
      </x:c>
      <x:c r="F1026" s="19" t="str">
        <x:v>False</x:v>
      </x:c>
      <x:c r="G1026" s="19" t="str">
        <x:v>其他/配置</x:v>
      </x:c>
      <x:c r="H1026" s="19" t="str">
        <x:v>D:/Codex/GRL研究/outputs/grid19/GRID19_report.md</x:v>
      </x:c>
    </x:row>
    <x:row r="1027" ht="36" customHeight="1">
      <x:c r="A1027" s="19" t="str">
        <x:v>GRID19</x:v>
      </x:c>
      <x:c r="B1027" s="19" t="str">
        <x:v>GRID19_report.md</x:v>
      </x:c>
      <x:c r="C1027" s="19" t="str">
        <x:v>1. GRID19：新训练／开发周的完整教师采集</x:v>
      </x:c>
      <x:c r="D1027" s="19" t="str">
        <x:v>周=2035-09-17_8；用途=训练</x:v>
      </x:c>
      <x:c r="E1027" s="19" t="str">
        <x:v>搜索状态</x:v>
      </x:c>
      <x:c r="F1027" s="19" t="str">
        <x:v>6</x:v>
      </x:c>
      <x:c r="G1027" s="19" t="str">
        <x:v>其他/配置</x:v>
      </x:c>
      <x:c r="H1027" s="19" t="str">
        <x:v>D:/Codex/GRL研究/outputs/grid19/GRID19_report.md</x:v>
      </x:c>
    </x:row>
    <x:row r="1028" ht="36" customHeight="1">
      <x:c r="A1028" s="19" t="str">
        <x:v>GRID19</x:v>
      </x:c>
      <x:c r="B1028" s="19" t="str">
        <x:v>GRID19_report.md</x:v>
      </x:c>
      <x:c r="C1028" s="19" t="str">
        <x:v>1. GRID19：新训练／开发周的完整教师采集</x:v>
      </x:c>
      <x:c r="D1028" s="19" t="str">
        <x:v>周=2035-09-17_8；用途=训练</x:v>
      </x:c>
      <x:c r="E1028" s="19" t="str">
        <x:v>候选反馈</x:v>
      </x:c>
      <x:c r="F1028" s="19" t="str">
        <x:v>5427</x:v>
      </x:c>
      <x:c r="G1028" s="19" t="str">
        <x:v>其他/配置</x:v>
      </x:c>
      <x:c r="H1028" s="19" t="str">
        <x:v>D:/Codex/GRL研究/outputs/grid19/GRID19_report.md</x:v>
      </x:c>
    </x:row>
    <x:row r="1029" ht="36" customHeight="1">
      <x:c r="A1029" s="19" t="str">
        <x:v>GRID19</x:v>
      </x:c>
      <x:c r="B1029" s="19" t="str">
        <x:v>GRID19_report.md</x:v>
      </x:c>
      <x:c r="C1029" s="19" t="str">
        <x:v>1. GRID19：新训练／开发周的完整教师采集</x:v>
      </x:c>
      <x:c r="D1029" s="19" t="str">
        <x:v>周=2035-08-27_14；用途=训练</x:v>
      </x:c>
      <x:c r="E1029" s="19" t="str">
        <x:v>用途</x:v>
      </x:c>
      <x:c r="F1029" s="19" t="str">
        <x:v>训练</x:v>
      </x:c>
      <x:c r="G1029" s="19" t="str">
        <x:v>其他/配置</x:v>
      </x:c>
      <x:c r="H1029" s="19" t="str">
        <x:v>D:/Codex/GRL研究/outputs/grid19/GRID19_report.md</x:v>
      </x:c>
    </x:row>
    <x:row r="1030" ht="36" customHeight="1">
      <x:c r="A1030" s="19" t="str">
        <x:v>GRID19</x:v>
      </x:c>
      <x:c r="B1030" s="19" t="str">
        <x:v>GRID19_report.md</x:v>
      </x:c>
      <x:c r="C1030" s="19" t="str">
        <x:v>1. GRID19：新训练／开发周的完整教师采集</x:v>
      </x:c>
      <x:c r="D1030" s="19" t="str">
        <x:v>周=2035-08-27_14；用途=训练</x:v>
      </x:c>
      <x:c r="E1030" s="19" t="str">
        <x:v>物理步数</x:v>
      </x:c>
      <x:c r="F1030" s="19" t="str">
        <x:v>2017</x:v>
      </x:c>
      <x:c r="G1030" s="19" t="str">
        <x:v>质量/成本</x:v>
      </x:c>
      <x:c r="H1030" s="19" t="str">
        <x:v>D:/Codex/GRL研究/outputs/grid19/GRID19_report.md</x:v>
      </x:c>
    </x:row>
    <x:row r="1031" ht="36" customHeight="1">
      <x:c r="A1031" s="19" t="str">
        <x:v>GRID19</x:v>
      </x:c>
      <x:c r="B1031" s="19" t="str">
        <x:v>GRID19_report.md</x:v>
      </x:c>
      <x:c r="C1031" s="19" t="str">
        <x:v>1. GRID19：新训练／开发周的完整教师采集</x:v>
      </x:c>
      <x:c r="D1031" s="19" t="str">
        <x:v>周=2035-08-27_14；用途=训练</x:v>
      </x:c>
      <x:c r="E1031" s="19" t="str">
        <x:v>完整</x:v>
      </x:c>
      <x:c r="F1031" s="19" t="str">
        <x:v>True</x:v>
      </x:c>
      <x:c r="G1031" s="19" t="str">
        <x:v>其他/配置</x:v>
      </x:c>
      <x:c r="H1031" s="19" t="str">
        <x:v>D:/Codex/GRL研究/outputs/grid19/GRID19_report.md</x:v>
      </x:c>
    </x:row>
    <x:row r="1032" ht="36" customHeight="1">
      <x:c r="A1032" s="19" t="str">
        <x:v>GRID19</x:v>
      </x:c>
      <x:c r="B1032" s="19" t="str">
        <x:v>GRID19_report.md</x:v>
      </x:c>
      <x:c r="C1032" s="19" t="str">
        <x:v>1. GRID19：新训练／开发周的完整教师采集</x:v>
      </x:c>
      <x:c r="D1032" s="19" t="str">
        <x:v>周=2035-08-27_14；用途=训练</x:v>
      </x:c>
      <x:c r="E1032" s="19" t="str">
        <x:v>搜索状态</x:v>
      </x:c>
      <x:c r="F1032" s="19" t="str">
        <x:v>6</x:v>
      </x:c>
      <x:c r="G1032" s="19" t="str">
        <x:v>其他/配置</x:v>
      </x:c>
      <x:c r="H1032" s="19" t="str">
        <x:v>D:/Codex/GRL研究/outputs/grid19/GRID19_report.md</x:v>
      </x:c>
    </x:row>
    <x:row r="1033" ht="36" customHeight="1">
      <x:c r="A1033" s="19" t="str">
        <x:v>GRID19</x:v>
      </x:c>
      <x:c r="B1033" s="19" t="str">
        <x:v>GRID19_report.md</x:v>
      </x:c>
      <x:c r="C1033" s="19" t="str">
        <x:v>1. GRID19：新训练／开发周的完整教师采集</x:v>
      </x:c>
      <x:c r="D1033" s="19" t="str">
        <x:v>周=2035-08-27_14；用途=训练</x:v>
      </x:c>
      <x:c r="E1033" s="19" t="str">
        <x:v>候选反馈</x:v>
      </x:c>
      <x:c r="F1033" s="19" t="str">
        <x:v>5412</x:v>
      </x:c>
      <x:c r="G1033" s="19" t="str">
        <x:v>其他/配置</x:v>
      </x:c>
      <x:c r="H1033" s="19" t="str">
        <x:v>D:/Codex/GRL研究/outputs/grid19/GRID19_report.md</x:v>
      </x:c>
    </x:row>
    <x:row r="1034" ht="36" customHeight="1">
      <x:c r="A1034" s="19" t="str">
        <x:v>GRID19</x:v>
      </x:c>
      <x:c r="B1034" s="19" t="str">
        <x:v>GRID19_report.md</x:v>
      </x:c>
      <x:c r="C1034" s="19" t="str">
        <x:v>1. GRID19：新训练／开发周的完整教师采集</x:v>
      </x:c>
      <x:c r="D1034" s="19" t="str">
        <x:v>周=2035-08-06_6；用途=训练</x:v>
      </x:c>
      <x:c r="E1034" s="19" t="str">
        <x:v>用途</x:v>
      </x:c>
      <x:c r="F1034" s="19" t="str">
        <x:v>训练</x:v>
      </x:c>
      <x:c r="G1034" s="19" t="str">
        <x:v>其他/配置</x:v>
      </x:c>
      <x:c r="H1034" s="19" t="str">
        <x:v>D:/Codex/GRL研究/outputs/grid19/GRID19_report.md</x:v>
      </x:c>
    </x:row>
    <x:row r="1035" ht="36" customHeight="1">
      <x:c r="A1035" s="19" t="str">
        <x:v>GRID19</x:v>
      </x:c>
      <x:c r="B1035" s="19" t="str">
        <x:v>GRID19_report.md</x:v>
      </x:c>
      <x:c r="C1035" s="19" t="str">
        <x:v>1. GRID19：新训练／开发周的完整教师采集</x:v>
      </x:c>
      <x:c r="D1035" s="19" t="str">
        <x:v>周=2035-08-06_6；用途=训练</x:v>
      </x:c>
      <x:c r="E1035" s="19" t="str">
        <x:v>物理步数</x:v>
      </x:c>
      <x:c r="F1035" s="19" t="str">
        <x:v>2017</x:v>
      </x:c>
      <x:c r="G1035" s="19" t="str">
        <x:v>质量/成本</x:v>
      </x:c>
      <x:c r="H1035" s="19" t="str">
        <x:v>D:/Codex/GRL研究/outputs/grid19/GRID19_report.md</x:v>
      </x:c>
    </x:row>
    <x:row r="1036" ht="36" customHeight="1">
      <x:c r="A1036" s="19" t="str">
        <x:v>GRID19</x:v>
      </x:c>
      <x:c r="B1036" s="19" t="str">
        <x:v>GRID19_report.md</x:v>
      </x:c>
      <x:c r="C1036" s="19" t="str">
        <x:v>1. GRID19：新训练／开发周的完整教师采集</x:v>
      </x:c>
      <x:c r="D1036" s="19" t="str">
        <x:v>周=2035-08-06_6；用途=训练</x:v>
      </x:c>
      <x:c r="E1036" s="19" t="str">
        <x:v>完整</x:v>
      </x:c>
      <x:c r="F1036" s="19" t="str">
        <x:v>True</x:v>
      </x:c>
      <x:c r="G1036" s="19" t="str">
        <x:v>其他/配置</x:v>
      </x:c>
      <x:c r="H1036" s="19" t="str">
        <x:v>D:/Codex/GRL研究/outputs/grid19/GRID19_report.md</x:v>
      </x:c>
    </x:row>
    <x:row r="1037" ht="36" customHeight="1">
      <x:c r="A1037" s="19" t="str">
        <x:v>GRID19</x:v>
      </x:c>
      <x:c r="B1037" s="19" t="str">
        <x:v>GRID19_report.md</x:v>
      </x:c>
      <x:c r="C1037" s="19" t="str">
        <x:v>1. GRID19：新训练／开发周的完整教师采集</x:v>
      </x:c>
      <x:c r="D1037" s="19" t="str">
        <x:v>周=2035-08-06_6；用途=训练</x:v>
      </x:c>
      <x:c r="E1037" s="19" t="str">
        <x:v>搜索状态</x:v>
      </x:c>
      <x:c r="F1037" s="19" t="str">
        <x:v>7</x:v>
      </x:c>
      <x:c r="G1037" s="19" t="str">
        <x:v>其他/配置</x:v>
      </x:c>
      <x:c r="H1037" s="19" t="str">
        <x:v>D:/Codex/GRL研究/outputs/grid19/GRID19_report.md</x:v>
      </x:c>
    </x:row>
    <x:row r="1038" ht="36" customHeight="1">
      <x:c r="A1038" s="19" t="str">
        <x:v>GRID19</x:v>
      </x:c>
      <x:c r="B1038" s="19" t="str">
        <x:v>GRID19_report.md</x:v>
      </x:c>
      <x:c r="C1038" s="19" t="str">
        <x:v>1. GRID19：新训练／开发周的完整教师采集</x:v>
      </x:c>
      <x:c r="D1038" s="19" t="str">
        <x:v>周=2035-08-06_6；用途=训练</x:v>
      </x:c>
      <x:c r="E1038" s="19" t="str">
        <x:v>候选反馈</x:v>
      </x:c>
      <x:c r="F1038" s="19" t="str">
        <x:v>6095</x:v>
      </x:c>
      <x:c r="G1038" s="19" t="str">
        <x:v>其他/配置</x:v>
      </x:c>
      <x:c r="H1038" s="19" t="str">
        <x:v>D:/Codex/GRL研究/outputs/grid19/GRID19_report.md</x:v>
      </x:c>
    </x:row>
    <x:row r="1039" ht="36" customHeight="1">
      <x:c r="A1039" s="19" t="str">
        <x:v>GRID19</x:v>
      </x:c>
      <x:c r="B1039" s="19" t="str">
        <x:v>GRID19_report.md</x:v>
      </x:c>
      <x:c r="C1039" s="19" t="str">
        <x:v>1. GRID19：新训练／开发周的完整教师采集</x:v>
      </x:c>
      <x:c r="D1039" s="19" t="str">
        <x:v>周=2035-11-05_8；用途=训练</x:v>
      </x:c>
      <x:c r="E1039" s="19" t="str">
        <x:v>用途</x:v>
      </x:c>
      <x:c r="F1039" s="19" t="str">
        <x:v>训练</x:v>
      </x:c>
      <x:c r="G1039" s="19" t="str">
        <x:v>其他/配置</x:v>
      </x:c>
      <x:c r="H1039" s="19" t="str">
        <x:v>D:/Codex/GRL研究/outputs/grid19/GRID19_report.md</x:v>
      </x:c>
    </x:row>
    <x:row r="1040" ht="36" customHeight="1">
      <x:c r="A1040" s="19" t="str">
        <x:v>GRID19</x:v>
      </x:c>
      <x:c r="B1040" s="19" t="str">
        <x:v>GRID19_report.md</x:v>
      </x:c>
      <x:c r="C1040" s="19" t="str">
        <x:v>1. GRID19：新训练／开发周的完整教师采集</x:v>
      </x:c>
      <x:c r="D1040" s="19" t="str">
        <x:v>周=2035-11-05_8；用途=训练</x:v>
      </x:c>
      <x:c r="E1040" s="19" t="str">
        <x:v>物理步数</x:v>
      </x:c>
      <x:c r="F1040" s="19" t="str">
        <x:v>2017</x:v>
      </x:c>
      <x:c r="G1040" s="19" t="str">
        <x:v>质量/成本</x:v>
      </x:c>
      <x:c r="H1040" s="19" t="str">
        <x:v>D:/Codex/GRL研究/outputs/grid19/GRID19_report.md</x:v>
      </x:c>
    </x:row>
    <x:row r="1041" ht="36" customHeight="1">
      <x:c r="A1041" s="19" t="str">
        <x:v>GRID19</x:v>
      </x:c>
      <x:c r="B1041" s="19" t="str">
        <x:v>GRID19_report.md</x:v>
      </x:c>
      <x:c r="C1041" s="19" t="str">
        <x:v>1. GRID19：新训练／开发周的完整教师采集</x:v>
      </x:c>
      <x:c r="D1041" s="19" t="str">
        <x:v>周=2035-11-05_8；用途=训练</x:v>
      </x:c>
      <x:c r="E1041" s="19" t="str">
        <x:v>完整</x:v>
      </x:c>
      <x:c r="F1041" s="19" t="str">
        <x:v>True</x:v>
      </x:c>
      <x:c r="G1041" s="19" t="str">
        <x:v>其他/配置</x:v>
      </x:c>
      <x:c r="H1041" s="19" t="str">
        <x:v>D:/Codex/GRL研究/outputs/grid19/GRID19_report.md</x:v>
      </x:c>
    </x:row>
    <x:row r="1042" ht="36" customHeight="1">
      <x:c r="A1042" s="19" t="str">
        <x:v>GRID19</x:v>
      </x:c>
      <x:c r="B1042" s="19" t="str">
        <x:v>GRID19_report.md</x:v>
      </x:c>
      <x:c r="C1042" s="19" t="str">
        <x:v>1. GRID19：新训练／开发周的完整教师采集</x:v>
      </x:c>
      <x:c r="D1042" s="19" t="str">
        <x:v>周=2035-11-05_8；用途=训练</x:v>
      </x:c>
      <x:c r="E1042" s="19" t="str">
        <x:v>搜索状态</x:v>
      </x:c>
      <x:c r="F1042" s="19" t="str">
        <x:v>6</x:v>
      </x:c>
      <x:c r="G1042" s="19" t="str">
        <x:v>其他/配置</x:v>
      </x:c>
      <x:c r="H1042" s="19" t="str">
        <x:v>D:/Codex/GRL研究/outputs/grid19/GRID19_report.md</x:v>
      </x:c>
    </x:row>
    <x:row r="1043" ht="36" customHeight="1">
      <x:c r="A1043" s="19" t="str">
        <x:v>GRID19</x:v>
      </x:c>
      <x:c r="B1043" s="19" t="str">
        <x:v>GRID19_report.md</x:v>
      </x:c>
      <x:c r="C1043" s="19" t="str">
        <x:v>1. GRID19：新训练／开发周的完整教师采集</x:v>
      </x:c>
      <x:c r="D1043" s="19" t="str">
        <x:v>周=2035-11-05_8；用途=训练</x:v>
      </x:c>
      <x:c r="E1043" s="19" t="str">
        <x:v>候选反馈</x:v>
      </x:c>
      <x:c r="F1043" s="19" t="str">
        <x:v>5442</x:v>
      </x:c>
      <x:c r="G1043" s="19" t="str">
        <x:v>其他/配置</x:v>
      </x:c>
      <x:c r="H1043" s="19" t="str">
        <x:v>D:/Codex/GRL研究/outputs/grid19/GRID19_report.md</x:v>
      </x:c>
    </x:row>
    <x:row r="1044" ht="36" customHeight="1">
      <x:c r="A1044" s="19" t="str">
        <x:v>GRID19</x:v>
      </x:c>
      <x:c r="B1044" s="19" t="str">
        <x:v>GRID19_report.md</x:v>
      </x:c>
      <x:c r="C1044" s="19" t="str">
        <x:v>1. GRID19：新训练／开发周的完整教师采集</x:v>
      </x:c>
      <x:c r="D1044" s="19" t="str">
        <x:v>周=2035-11-26_0；用途=训练</x:v>
      </x:c>
      <x:c r="E1044" s="19" t="str">
        <x:v>用途</x:v>
      </x:c>
      <x:c r="F1044" s="19" t="str">
        <x:v>训练</x:v>
      </x:c>
      <x:c r="G1044" s="19" t="str">
        <x:v>其他/配置</x:v>
      </x:c>
      <x:c r="H1044" s="19" t="str">
        <x:v>D:/Codex/GRL研究/outputs/grid19/GRID19_report.md</x:v>
      </x:c>
    </x:row>
    <x:row r="1045" ht="36" customHeight="1">
      <x:c r="A1045" s="19" t="str">
        <x:v>GRID19</x:v>
      </x:c>
      <x:c r="B1045" s="19" t="str">
        <x:v>GRID19_report.md</x:v>
      </x:c>
      <x:c r="C1045" s="19" t="str">
        <x:v>1. GRID19：新训练／开发周的完整教师采集</x:v>
      </x:c>
      <x:c r="D1045" s="19" t="str">
        <x:v>周=2035-11-26_0；用途=训练</x:v>
      </x:c>
      <x:c r="E1045" s="19" t="str">
        <x:v>物理步数</x:v>
      </x:c>
      <x:c r="F1045" s="19" t="str">
        <x:v>2017</x:v>
      </x:c>
      <x:c r="G1045" s="19" t="str">
        <x:v>质量/成本</x:v>
      </x:c>
      <x:c r="H1045" s="19" t="str">
        <x:v>D:/Codex/GRL研究/outputs/grid19/GRID19_report.md</x:v>
      </x:c>
    </x:row>
    <x:row r="1046" ht="36" customHeight="1">
      <x:c r="A1046" s="19" t="str">
        <x:v>GRID19</x:v>
      </x:c>
      <x:c r="B1046" s="19" t="str">
        <x:v>GRID19_report.md</x:v>
      </x:c>
      <x:c r="C1046" s="19" t="str">
        <x:v>1. GRID19：新训练／开发周的完整教师采集</x:v>
      </x:c>
      <x:c r="D1046" s="19" t="str">
        <x:v>周=2035-11-26_0；用途=训练</x:v>
      </x:c>
      <x:c r="E1046" s="19" t="str">
        <x:v>完整</x:v>
      </x:c>
      <x:c r="F1046" s="19" t="str">
        <x:v>True</x:v>
      </x:c>
      <x:c r="G1046" s="19" t="str">
        <x:v>其他/配置</x:v>
      </x:c>
      <x:c r="H1046" s="19" t="str">
        <x:v>D:/Codex/GRL研究/outputs/grid19/GRID19_report.md</x:v>
      </x:c>
    </x:row>
    <x:row r="1047" ht="36" customHeight="1">
      <x:c r="A1047" s="19" t="str">
        <x:v>GRID19</x:v>
      </x:c>
      <x:c r="B1047" s="19" t="str">
        <x:v>GRID19_report.md</x:v>
      </x:c>
      <x:c r="C1047" s="19" t="str">
        <x:v>1. GRID19：新训练／开发周的完整教师采集</x:v>
      </x:c>
      <x:c r="D1047" s="19" t="str">
        <x:v>周=2035-11-26_0；用途=训练</x:v>
      </x:c>
      <x:c r="E1047" s="19" t="str">
        <x:v>搜索状态</x:v>
      </x:c>
      <x:c r="F1047" s="19" t="str">
        <x:v>10</x:v>
      </x:c>
      <x:c r="G1047" s="19" t="str">
        <x:v>其他/配置</x:v>
      </x:c>
      <x:c r="H1047" s="19" t="str">
        <x:v>D:/Codex/GRL研究/outputs/grid19/GRID19_report.md</x:v>
      </x:c>
    </x:row>
    <x:row r="1048" ht="36" customHeight="1">
      <x:c r="A1048" s="19" t="str">
        <x:v>GRID19</x:v>
      </x:c>
      <x:c r="B1048" s="19" t="str">
        <x:v>GRID19_report.md</x:v>
      </x:c>
      <x:c r="C1048" s="19" t="str">
        <x:v>1. GRID19：新训练／开发周的完整教师采集</x:v>
      </x:c>
      <x:c r="D1048" s="19" t="str">
        <x:v>周=2035-11-26_0；用途=训练</x:v>
      </x:c>
      <x:c r="E1048" s="19" t="str">
        <x:v>候选反馈</x:v>
      </x:c>
      <x:c r="F1048" s="19" t="str">
        <x:v>9090</x:v>
      </x:c>
      <x:c r="G1048" s="19" t="str">
        <x:v>其他/配置</x:v>
      </x:c>
      <x:c r="H1048" s="19" t="str">
        <x:v>D:/Codex/GRL研究/outputs/grid19/GRID19_report.md</x:v>
      </x:c>
    </x:row>
    <x:row r="1049" ht="36" customHeight="1">
      <x:c r="A1049" s="19" t="str">
        <x:v>GRID19</x:v>
      </x:c>
      <x:c r="B1049" s="19" t="str">
        <x:v>GRID19_report.md</x:v>
      </x:c>
      <x:c r="C1049" s="19" t="str">
        <x:v>1. GRID19：新训练／开发周的完整教师采集</x:v>
      </x:c>
      <x:c r="D1049" s="19" t="str">
        <x:v>周=2035-12-24_5；用途=训练</x:v>
      </x:c>
      <x:c r="E1049" s="19" t="str">
        <x:v>用途</x:v>
      </x:c>
      <x:c r="F1049" s="19" t="str">
        <x:v>训练</x:v>
      </x:c>
      <x:c r="G1049" s="19" t="str">
        <x:v>其他/配置</x:v>
      </x:c>
      <x:c r="H1049" s="19" t="str">
        <x:v>D:/Codex/GRL研究/outputs/grid19/GRID19_report.md</x:v>
      </x:c>
    </x:row>
    <x:row r="1050" ht="36" customHeight="1">
      <x:c r="A1050" s="19" t="str">
        <x:v>GRID19</x:v>
      </x:c>
      <x:c r="B1050" s="19" t="str">
        <x:v>GRID19_report.md</x:v>
      </x:c>
      <x:c r="C1050" s="19" t="str">
        <x:v>1. GRID19：新训练／开发周的完整教师采集</x:v>
      </x:c>
      <x:c r="D1050" s="19" t="str">
        <x:v>周=2035-12-24_5；用途=训练</x:v>
      </x:c>
      <x:c r="E1050" s="19" t="str">
        <x:v>物理步数</x:v>
      </x:c>
      <x:c r="F1050" s="19" t="str">
        <x:v>2017</x:v>
      </x:c>
      <x:c r="G1050" s="19" t="str">
        <x:v>质量/成本</x:v>
      </x:c>
      <x:c r="H1050" s="19" t="str">
        <x:v>D:/Codex/GRL研究/outputs/grid19/GRID19_report.md</x:v>
      </x:c>
    </x:row>
    <x:row r="1051" ht="36" customHeight="1">
      <x:c r="A1051" s="19" t="str">
        <x:v>GRID19</x:v>
      </x:c>
      <x:c r="B1051" s="19" t="str">
        <x:v>GRID19_report.md</x:v>
      </x:c>
      <x:c r="C1051" s="19" t="str">
        <x:v>1. GRID19：新训练／开发周的完整教师采集</x:v>
      </x:c>
      <x:c r="D1051" s="19" t="str">
        <x:v>周=2035-12-24_5；用途=训练</x:v>
      </x:c>
      <x:c r="E1051" s="19" t="str">
        <x:v>完整</x:v>
      </x:c>
      <x:c r="F1051" s="19" t="str">
        <x:v>True</x:v>
      </x:c>
      <x:c r="G1051" s="19" t="str">
        <x:v>其他/配置</x:v>
      </x:c>
      <x:c r="H1051" s="19" t="str">
        <x:v>D:/Codex/GRL研究/outputs/grid19/GRID19_report.md</x:v>
      </x:c>
    </x:row>
    <x:row r="1052" ht="36" customHeight="1">
      <x:c r="A1052" s="19" t="str">
        <x:v>GRID19</x:v>
      </x:c>
      <x:c r="B1052" s="19" t="str">
        <x:v>GRID19_report.md</x:v>
      </x:c>
      <x:c r="C1052" s="19" t="str">
        <x:v>1. GRID19：新训练／开发周的完整教师采集</x:v>
      </x:c>
      <x:c r="D1052" s="19" t="str">
        <x:v>周=2035-12-24_5；用途=训练</x:v>
      </x:c>
      <x:c r="E1052" s="19" t="str">
        <x:v>搜索状态</x:v>
      </x:c>
      <x:c r="F1052" s="19" t="str">
        <x:v>7</x:v>
      </x:c>
      <x:c r="G1052" s="19" t="str">
        <x:v>其他/配置</x:v>
      </x:c>
      <x:c r="H1052" s="19" t="str">
        <x:v>D:/Codex/GRL研究/outputs/grid19/GRID19_report.md</x:v>
      </x:c>
    </x:row>
    <x:row r="1053" ht="36" customHeight="1">
      <x:c r="A1053" s="19" t="str">
        <x:v>GRID19</x:v>
      </x:c>
      <x:c r="B1053" s="19" t="str">
        <x:v>GRID19_report.md</x:v>
      </x:c>
      <x:c r="C1053" s="19" t="str">
        <x:v>1. GRID19：新训练／开发周的完整教师采集</x:v>
      </x:c>
      <x:c r="D1053" s="19" t="str">
        <x:v>周=2035-12-24_5；用途=训练</x:v>
      </x:c>
      <x:c r="E1053" s="19" t="str">
        <x:v>候选反馈</x:v>
      </x:c>
      <x:c r="F1053" s="19" t="str">
        <x:v>6356</x:v>
      </x:c>
      <x:c r="G1053" s="19" t="str">
        <x:v>其他/配置</x:v>
      </x:c>
      <x:c r="H1053" s="19" t="str">
        <x:v>D:/Codex/GRL研究/outputs/grid19/GRID19_report.md</x:v>
      </x:c>
    </x:row>
    <x:row r="1054" ht="36" customHeight="1">
      <x:c r="A1054" s="19" t="str">
        <x:v>GRID19</x:v>
      </x:c>
      <x:c r="B1054" s="19" t="str">
        <x:v>GRID19_report.md</x:v>
      </x:c>
      <x:c r="C1054" s="19" t="str">
        <x:v>1. GRID19：新训练／开发周的完整教师采集</x:v>
      </x:c>
      <x:c r="D1054" s="19" t="str">
        <x:v>周=2035-12-03_7；用途=训练</x:v>
      </x:c>
      <x:c r="E1054" s="19" t="str">
        <x:v>用途</x:v>
      </x:c>
      <x:c r="F1054" s="19" t="str">
        <x:v>训练</x:v>
      </x:c>
      <x:c r="G1054" s="19" t="str">
        <x:v>其他/配置</x:v>
      </x:c>
      <x:c r="H1054" s="19" t="str">
        <x:v>D:/Codex/GRL研究/outputs/grid19/GRID19_report.md</x:v>
      </x:c>
    </x:row>
    <x:row r="1055" ht="36" customHeight="1">
      <x:c r="A1055" s="19" t="str">
        <x:v>GRID19</x:v>
      </x:c>
      <x:c r="B1055" s="19" t="str">
        <x:v>GRID19_report.md</x:v>
      </x:c>
      <x:c r="C1055" s="19" t="str">
        <x:v>1. GRID19：新训练／开发周的完整教师采集</x:v>
      </x:c>
      <x:c r="D1055" s="19" t="str">
        <x:v>周=2035-12-03_7；用途=训练</x:v>
      </x:c>
      <x:c r="E1055" s="19" t="str">
        <x:v>物理步数</x:v>
      </x:c>
      <x:c r="F1055" s="19" t="str">
        <x:v>2017</x:v>
      </x:c>
      <x:c r="G1055" s="19" t="str">
        <x:v>质量/成本</x:v>
      </x:c>
      <x:c r="H1055" s="19" t="str">
        <x:v>D:/Codex/GRL研究/outputs/grid19/GRID19_report.md</x:v>
      </x:c>
    </x:row>
    <x:row r="1056" ht="36" customHeight="1">
      <x:c r="A1056" s="19" t="str">
        <x:v>GRID19</x:v>
      </x:c>
      <x:c r="B1056" s="19" t="str">
        <x:v>GRID19_report.md</x:v>
      </x:c>
      <x:c r="C1056" s="19" t="str">
        <x:v>1. GRID19：新训练／开发周的完整教师采集</x:v>
      </x:c>
      <x:c r="D1056" s="19" t="str">
        <x:v>周=2035-12-03_7；用途=训练</x:v>
      </x:c>
      <x:c r="E1056" s="19" t="str">
        <x:v>完整</x:v>
      </x:c>
      <x:c r="F1056" s="19" t="str">
        <x:v>True</x:v>
      </x:c>
      <x:c r="G1056" s="19" t="str">
        <x:v>其他/配置</x:v>
      </x:c>
      <x:c r="H1056" s="19" t="str">
        <x:v>D:/Codex/GRL研究/outputs/grid19/GRID19_report.md</x:v>
      </x:c>
    </x:row>
    <x:row r="1057" ht="36" customHeight="1">
      <x:c r="A1057" s="19" t="str">
        <x:v>GRID19</x:v>
      </x:c>
      <x:c r="B1057" s="19" t="str">
        <x:v>GRID19_report.md</x:v>
      </x:c>
      <x:c r="C1057" s="19" t="str">
        <x:v>1. GRID19：新训练／开发周的完整教师采集</x:v>
      </x:c>
      <x:c r="D1057" s="19" t="str">
        <x:v>周=2035-12-03_7；用途=训练</x:v>
      </x:c>
      <x:c r="E1057" s="19" t="str">
        <x:v>搜索状态</x:v>
      </x:c>
      <x:c r="F1057" s="19" t="str">
        <x:v>6</x:v>
      </x:c>
      <x:c r="G1057" s="19" t="str">
        <x:v>其他/配置</x:v>
      </x:c>
      <x:c r="H1057" s="19" t="str">
        <x:v>D:/Codex/GRL研究/outputs/grid19/GRID19_report.md</x:v>
      </x:c>
    </x:row>
    <x:row r="1058" ht="36" customHeight="1">
      <x:c r="A1058" s="19" t="str">
        <x:v>GRID19</x:v>
      </x:c>
      <x:c r="B1058" s="19" t="str">
        <x:v>GRID19_report.md</x:v>
      </x:c>
      <x:c r="C1058" s="19" t="str">
        <x:v>1. GRID19：新训练／开发周的完整教师采集</x:v>
      </x:c>
      <x:c r="D1058" s="19" t="str">
        <x:v>周=2035-12-03_7；用途=训练</x:v>
      </x:c>
      <x:c r="E1058" s="19" t="str">
        <x:v>候选反馈</x:v>
      </x:c>
      <x:c r="F1058" s="19" t="str">
        <x:v>5442</x:v>
      </x:c>
      <x:c r="G1058" s="19" t="str">
        <x:v>其他/配置</x:v>
      </x:c>
      <x:c r="H1058" s="19" t="str">
        <x:v>D:/Codex/GRL研究/outputs/grid19/GRID19_report.md</x:v>
      </x:c>
    </x:row>
    <x:row r="1059" ht="36" customHeight="1">
      <x:c r="A1059" s="19" t="str">
        <x:v>GRID19</x:v>
      </x:c>
      <x:c r="B1059" s="19" t="str">
        <x:v>GRID19_report.md</x:v>
      </x:c>
      <x:c r="C1059" s="19" t="str">
        <x:v>1. GRID19：新训练／开发周的完整教师采集</x:v>
      </x:c>
      <x:c r="D1059" s="19" t="str">
        <x:v>周=2035-03-05_0；用途=开发</x:v>
      </x:c>
      <x:c r="E1059" s="19" t="str">
        <x:v>用途</x:v>
      </x:c>
      <x:c r="F1059" s="19" t="str">
        <x:v>开发</x:v>
      </x:c>
      <x:c r="G1059" s="19" t="str">
        <x:v>其他/配置</x:v>
      </x:c>
      <x:c r="H1059" s="19" t="str">
        <x:v>D:/Codex/GRL研究/outputs/grid19/GRID19_report.md</x:v>
      </x:c>
    </x:row>
    <x:row r="1060" ht="36" customHeight="1">
      <x:c r="A1060" s="19" t="str">
        <x:v>GRID19</x:v>
      </x:c>
      <x:c r="B1060" s="19" t="str">
        <x:v>GRID19_report.md</x:v>
      </x:c>
      <x:c r="C1060" s="19" t="str">
        <x:v>1. GRID19：新训练／开发周的完整教师采集</x:v>
      </x:c>
      <x:c r="D1060" s="19" t="str">
        <x:v>周=2035-03-05_0；用途=开发</x:v>
      </x:c>
      <x:c r="E1060" s="19" t="str">
        <x:v>物理步数</x:v>
      </x:c>
      <x:c r="F1060" s="19" t="str">
        <x:v>2017</x:v>
      </x:c>
      <x:c r="G1060" s="19" t="str">
        <x:v>质量/成本</x:v>
      </x:c>
      <x:c r="H1060" s="19" t="str">
        <x:v>D:/Codex/GRL研究/outputs/grid19/GRID19_report.md</x:v>
      </x:c>
    </x:row>
    <x:row r="1061" ht="36" customHeight="1">
      <x:c r="A1061" s="19" t="str">
        <x:v>GRID19</x:v>
      </x:c>
      <x:c r="B1061" s="19" t="str">
        <x:v>GRID19_report.md</x:v>
      </x:c>
      <x:c r="C1061" s="19" t="str">
        <x:v>1. GRID19：新训练／开发周的完整教师采集</x:v>
      </x:c>
      <x:c r="D1061" s="19" t="str">
        <x:v>周=2035-03-05_0；用途=开发</x:v>
      </x:c>
      <x:c r="E1061" s="19" t="str">
        <x:v>完整</x:v>
      </x:c>
      <x:c r="F1061" s="19" t="str">
        <x:v>True</x:v>
      </x:c>
      <x:c r="G1061" s="19" t="str">
        <x:v>其他/配置</x:v>
      </x:c>
      <x:c r="H1061" s="19" t="str">
        <x:v>D:/Codex/GRL研究/outputs/grid19/GRID19_report.md</x:v>
      </x:c>
    </x:row>
    <x:row r="1062" ht="36" customHeight="1">
      <x:c r="A1062" s="19" t="str">
        <x:v>GRID19</x:v>
      </x:c>
      <x:c r="B1062" s="19" t="str">
        <x:v>GRID19_report.md</x:v>
      </x:c>
      <x:c r="C1062" s="19" t="str">
        <x:v>1. GRID19：新训练／开发周的完整教师采集</x:v>
      </x:c>
      <x:c r="D1062" s="19" t="str">
        <x:v>周=2035-03-05_0；用途=开发</x:v>
      </x:c>
      <x:c r="E1062" s="19" t="str">
        <x:v>搜索状态</x:v>
      </x:c>
      <x:c r="F1062" s="19" t="str">
        <x:v>11</x:v>
      </x:c>
      <x:c r="G1062" s="19" t="str">
        <x:v>其他/配置</x:v>
      </x:c>
      <x:c r="H1062" s="19" t="str">
        <x:v>D:/Codex/GRL研究/outputs/grid19/GRID19_report.md</x:v>
      </x:c>
    </x:row>
    <x:row r="1063" ht="36" customHeight="1">
      <x:c r="A1063" s="19" t="str">
        <x:v>GRID19</x:v>
      </x:c>
      <x:c r="B1063" s="19" t="str">
        <x:v>GRID19_report.md</x:v>
      </x:c>
      <x:c r="C1063" s="19" t="str">
        <x:v>1. GRID19：新训练／开发周的完整教师采集</x:v>
      </x:c>
      <x:c r="D1063" s="19" t="str">
        <x:v>周=2035-03-05_0；用途=开发</x:v>
      </x:c>
      <x:c r="E1063" s="19" t="str">
        <x:v>候选反馈</x:v>
      </x:c>
      <x:c r="F1063" s="19" t="str">
        <x:v>9624</x:v>
      </x:c>
      <x:c r="G1063" s="19" t="str">
        <x:v>其他/配置</x:v>
      </x:c>
      <x:c r="H1063" s="19" t="str">
        <x:v>D:/Codex/GRL研究/outputs/grid19/GRID19_report.md</x:v>
      </x:c>
    </x:row>
    <x:row r="1064" ht="36" customHeight="1">
      <x:c r="A1064" s="19" t="str">
        <x:v>GRID19</x:v>
      </x:c>
      <x:c r="B1064" s="19" t="str">
        <x:v>GRID19_report.md</x:v>
      </x:c>
      <x:c r="C1064" s="19" t="str">
        <x:v>1. GRID19：新训练／开发周的完整教师采集</x:v>
      </x:c>
      <x:c r="D1064" s="19" t="str">
        <x:v>周=2035-06-25_8；用途=开发</x:v>
      </x:c>
      <x:c r="E1064" s="19" t="str">
        <x:v>用途</x:v>
      </x:c>
      <x:c r="F1064" s="19" t="str">
        <x:v>开发</x:v>
      </x:c>
      <x:c r="G1064" s="19" t="str">
        <x:v>其他/配置</x:v>
      </x:c>
      <x:c r="H1064" s="19" t="str">
        <x:v>D:/Codex/GRL研究/outputs/grid19/GRID19_report.md</x:v>
      </x:c>
    </x:row>
    <x:row r="1065" ht="36" customHeight="1">
      <x:c r="A1065" s="19" t="str">
        <x:v>GRID19</x:v>
      </x:c>
      <x:c r="B1065" s="19" t="str">
        <x:v>GRID19_report.md</x:v>
      </x:c>
      <x:c r="C1065" s="19" t="str">
        <x:v>1. GRID19：新训练／开发周的完整教师采集</x:v>
      </x:c>
      <x:c r="D1065" s="19" t="str">
        <x:v>周=2035-06-25_8；用途=开发</x:v>
      </x:c>
      <x:c r="E1065" s="19" t="str">
        <x:v>物理步数</x:v>
      </x:c>
      <x:c r="F1065" s="19" t="str">
        <x:v>1901</x:v>
      </x:c>
      <x:c r="G1065" s="19" t="str">
        <x:v>质量/成本</x:v>
      </x:c>
      <x:c r="H1065" s="19" t="str">
        <x:v>D:/Codex/GRL研究/outputs/grid19/GRID19_report.md</x:v>
      </x:c>
    </x:row>
    <x:row r="1066" ht="36" customHeight="1">
      <x:c r="A1066" s="19" t="str">
        <x:v>GRID19</x:v>
      </x:c>
      <x:c r="B1066" s="19" t="str">
        <x:v>GRID19_report.md</x:v>
      </x:c>
      <x:c r="C1066" s="19" t="str">
        <x:v>1. GRID19：新训练／开发周的完整教师采集</x:v>
      </x:c>
      <x:c r="D1066" s="19" t="str">
        <x:v>周=2035-06-25_8；用途=开发</x:v>
      </x:c>
      <x:c r="E1066" s="19" t="str">
        <x:v>完整</x:v>
      </x:c>
      <x:c r="F1066" s="19" t="str">
        <x:v>False</x:v>
      </x:c>
      <x:c r="G1066" s="19" t="str">
        <x:v>其他/配置</x:v>
      </x:c>
      <x:c r="H1066" s="19" t="str">
        <x:v>D:/Codex/GRL研究/outputs/grid19/GRID19_report.md</x:v>
      </x:c>
    </x:row>
    <x:row r="1067" ht="36" customHeight="1">
      <x:c r="A1067" s="19" t="str">
        <x:v>GRID19</x:v>
      </x:c>
      <x:c r="B1067" s="19" t="str">
        <x:v>GRID19_report.md</x:v>
      </x:c>
      <x:c r="C1067" s="19" t="str">
        <x:v>1. GRID19：新训练／开发周的完整教师采集</x:v>
      </x:c>
      <x:c r="D1067" s="19" t="str">
        <x:v>周=2035-06-25_8；用途=开发</x:v>
      </x:c>
      <x:c r="E1067" s="19" t="str">
        <x:v>搜索状态</x:v>
      </x:c>
      <x:c r="F1067" s="19" t="str">
        <x:v>5</x:v>
      </x:c>
      <x:c r="G1067" s="19" t="str">
        <x:v>其他/配置</x:v>
      </x:c>
      <x:c r="H1067" s="19" t="str">
        <x:v>D:/Codex/GRL研究/outputs/grid19/GRID19_report.md</x:v>
      </x:c>
    </x:row>
    <x:row r="1068" ht="36" customHeight="1">
      <x:c r="A1068" s="19" t="str">
        <x:v>GRID19</x:v>
      </x:c>
      <x:c r="B1068" s="19" t="str">
        <x:v>GRID19_report.md</x:v>
      </x:c>
      <x:c r="C1068" s="19" t="str">
        <x:v>1. GRID19：新训练／开发周的完整教师采集</x:v>
      </x:c>
      <x:c r="D1068" s="19" t="str">
        <x:v>周=2035-06-25_8；用途=开发</x:v>
      </x:c>
      <x:c r="E1068" s="19" t="str">
        <x:v>候选反馈</x:v>
      </x:c>
      <x:c r="F1068" s="19" t="str">
        <x:v>4006</x:v>
      </x:c>
      <x:c r="G1068" s="19" t="str">
        <x:v>其他/配置</x:v>
      </x:c>
      <x:c r="H1068" s="19" t="str">
        <x:v>D:/Codex/GRL研究/outputs/grid19/GRID19_report.md</x:v>
      </x:c>
    </x:row>
    <x:row r="1069" ht="36" customHeight="1">
      <x:c r="A1069" s="19" t="str">
        <x:v>GRID19</x:v>
      </x:c>
      <x:c r="B1069" s="19" t="str">
        <x:v>GRID19_report.md</x:v>
      </x:c>
      <x:c r="C1069" s="19" t="str">
        <x:v>1. GRID19：新训练／开发周的完整教师采集</x:v>
      </x:c>
      <x:c r="D1069" s="19" t="str">
        <x:v>周=2035-09-03_4；用途=开发</x:v>
      </x:c>
      <x:c r="E1069" s="19" t="str">
        <x:v>用途</x:v>
      </x:c>
      <x:c r="F1069" s="19" t="str">
        <x:v>开发</x:v>
      </x:c>
      <x:c r="G1069" s="19" t="str">
        <x:v>其他/配置</x:v>
      </x:c>
      <x:c r="H1069" s="19" t="str">
        <x:v>D:/Codex/GRL研究/outputs/grid19/GRID19_report.md</x:v>
      </x:c>
    </x:row>
    <x:row r="1070" ht="36" customHeight="1">
      <x:c r="A1070" s="19" t="str">
        <x:v>GRID19</x:v>
      </x:c>
      <x:c r="B1070" s="19" t="str">
        <x:v>GRID19_report.md</x:v>
      </x:c>
      <x:c r="C1070" s="19" t="str">
        <x:v>1. GRID19：新训练／开发周的完整教师采集</x:v>
      </x:c>
      <x:c r="D1070" s="19" t="str">
        <x:v>周=2035-09-03_4；用途=开发</x:v>
      </x:c>
      <x:c r="E1070" s="19" t="str">
        <x:v>物理步数</x:v>
      </x:c>
      <x:c r="F1070" s="19" t="str">
        <x:v>2017</x:v>
      </x:c>
      <x:c r="G1070" s="19" t="str">
        <x:v>质量/成本</x:v>
      </x:c>
      <x:c r="H1070" s="19" t="str">
        <x:v>D:/Codex/GRL研究/outputs/grid19/GRID19_report.md</x:v>
      </x:c>
    </x:row>
    <x:row r="1071" ht="36" customHeight="1">
      <x:c r="A1071" s="19" t="str">
        <x:v>GRID19</x:v>
      </x:c>
      <x:c r="B1071" s="19" t="str">
        <x:v>GRID19_report.md</x:v>
      </x:c>
      <x:c r="C1071" s="19" t="str">
        <x:v>1. GRID19：新训练／开发周的完整教师采集</x:v>
      </x:c>
      <x:c r="D1071" s="19" t="str">
        <x:v>周=2035-09-03_4；用途=开发</x:v>
      </x:c>
      <x:c r="E1071" s="19" t="str">
        <x:v>完整</x:v>
      </x:c>
      <x:c r="F1071" s="19" t="str">
        <x:v>True</x:v>
      </x:c>
      <x:c r="G1071" s="19" t="str">
        <x:v>其他/配置</x:v>
      </x:c>
      <x:c r="H1071" s="19" t="str">
        <x:v>D:/Codex/GRL研究/outputs/grid19/GRID19_report.md</x:v>
      </x:c>
    </x:row>
    <x:row r="1072" ht="36" customHeight="1">
      <x:c r="A1072" s="19" t="str">
        <x:v>GRID19</x:v>
      </x:c>
      <x:c r="B1072" s="19" t="str">
        <x:v>GRID19_report.md</x:v>
      </x:c>
      <x:c r="C1072" s="19" t="str">
        <x:v>1. GRID19：新训练／开发周的完整教师采集</x:v>
      </x:c>
      <x:c r="D1072" s="19" t="str">
        <x:v>周=2035-09-03_4；用途=开发</x:v>
      </x:c>
      <x:c r="E1072" s="19" t="str">
        <x:v>搜索状态</x:v>
      </x:c>
      <x:c r="F1072" s="19" t="str">
        <x:v>8</x:v>
      </x:c>
      <x:c r="G1072" s="19" t="str">
        <x:v>其他/配置</x:v>
      </x:c>
      <x:c r="H1072" s="19" t="str">
        <x:v>D:/Codex/GRL研究/outputs/grid19/GRID19_report.md</x:v>
      </x:c>
    </x:row>
    <x:row r="1073" ht="36" customHeight="1">
      <x:c r="A1073" s="19" t="str">
        <x:v>GRID19</x:v>
      </x:c>
      <x:c r="B1073" s="19" t="str">
        <x:v>GRID19_report.md</x:v>
      </x:c>
      <x:c r="C1073" s="19" t="str">
        <x:v>1. GRID19：新训练／开发周的完整教师采集</x:v>
      </x:c>
      <x:c r="D1073" s="19" t="str">
        <x:v>周=2035-09-03_4；用途=开发</x:v>
      </x:c>
      <x:c r="E1073" s="19" t="str">
        <x:v>候选反馈</x:v>
      </x:c>
      <x:c r="F1073" s="19" t="str">
        <x:v>7220</x:v>
      </x:c>
      <x:c r="G1073" s="19" t="str">
        <x:v>其他/配置</x:v>
      </x:c>
      <x:c r="H1073" s="19" t="str">
        <x:v>D:/Codex/GRL研究/outputs/grid19/GRID19_report.md</x:v>
      </x:c>
    </x:row>
    <x:row r="1074" ht="36" customHeight="1">
      <x:c r="A1074" s="19" t="str">
        <x:v>GRID19</x:v>
      </x:c>
      <x:c r="B1074" s="19" t="str">
        <x:v>GRID19_report.md</x:v>
      </x:c>
      <x:c r="C1074" s="19" t="str">
        <x:v>1. GRID19：新训练／开发周的完整教师采集</x:v>
      </x:c>
      <x:c r="D1074" s="19" t="str">
        <x:v>周=2035-10-01_5；用途=开发</x:v>
      </x:c>
      <x:c r="E1074" s="19" t="str">
        <x:v>用途</x:v>
      </x:c>
      <x:c r="F1074" s="19" t="str">
        <x:v>开发</x:v>
      </x:c>
      <x:c r="G1074" s="19" t="str">
        <x:v>其他/配置</x:v>
      </x:c>
      <x:c r="H1074" s="19" t="str">
        <x:v>D:/Codex/GRL研究/outputs/grid19/GRID19_report.md</x:v>
      </x:c>
    </x:row>
    <x:row r="1075" ht="36" customHeight="1">
      <x:c r="A1075" s="19" t="str">
        <x:v>GRID19</x:v>
      </x:c>
      <x:c r="B1075" s="19" t="str">
        <x:v>GRID19_report.md</x:v>
      </x:c>
      <x:c r="C1075" s="19" t="str">
        <x:v>1. GRID19：新训练／开发周的完整教师采集</x:v>
      </x:c>
      <x:c r="D1075" s="19" t="str">
        <x:v>周=2035-10-01_5；用途=开发</x:v>
      </x:c>
      <x:c r="E1075" s="19" t="str">
        <x:v>物理步数</x:v>
      </x:c>
      <x:c r="F1075" s="19" t="str">
        <x:v>2017</x:v>
      </x:c>
      <x:c r="G1075" s="19" t="str">
        <x:v>质量/成本</x:v>
      </x:c>
      <x:c r="H1075" s="19" t="str">
        <x:v>D:/Codex/GRL研究/outputs/grid19/GRID19_report.md</x:v>
      </x:c>
    </x:row>
    <x:row r="1076" ht="36" customHeight="1">
      <x:c r="A1076" s="19" t="str">
        <x:v>GRID19</x:v>
      </x:c>
      <x:c r="B1076" s="19" t="str">
        <x:v>GRID19_report.md</x:v>
      </x:c>
      <x:c r="C1076" s="19" t="str">
        <x:v>1. GRID19：新训练／开发周的完整教师采集</x:v>
      </x:c>
      <x:c r="D1076" s="19" t="str">
        <x:v>周=2035-10-01_5；用途=开发</x:v>
      </x:c>
      <x:c r="E1076" s="19" t="str">
        <x:v>完整</x:v>
      </x:c>
      <x:c r="F1076" s="19" t="str">
        <x:v>True</x:v>
      </x:c>
      <x:c r="G1076" s="19" t="str">
        <x:v>其他/配置</x:v>
      </x:c>
      <x:c r="H1076" s="19" t="str">
        <x:v>D:/Codex/GRL研究/outputs/grid19/GRID19_report.md</x:v>
      </x:c>
    </x:row>
    <x:row r="1077" ht="36" customHeight="1">
      <x:c r="A1077" s="19" t="str">
        <x:v>GRID19</x:v>
      </x:c>
      <x:c r="B1077" s="19" t="str">
        <x:v>GRID19_report.md</x:v>
      </x:c>
      <x:c r="C1077" s="19" t="str">
        <x:v>1. GRID19：新训练／开发周的完整教师采集</x:v>
      </x:c>
      <x:c r="D1077" s="19" t="str">
        <x:v>周=2035-10-01_5；用途=开发</x:v>
      </x:c>
      <x:c r="E1077" s="19" t="str">
        <x:v>搜索状态</x:v>
      </x:c>
      <x:c r="F1077" s="19" t="str">
        <x:v>2</x:v>
      </x:c>
      <x:c r="G1077" s="19" t="str">
        <x:v>其他/配置</x:v>
      </x:c>
      <x:c r="H1077" s="19" t="str">
        <x:v>D:/Codex/GRL研究/outputs/grid19/GRID19_report.md</x:v>
      </x:c>
    </x:row>
    <x:row r="1078" ht="36" customHeight="1">
      <x:c r="A1078" s="19" t="str">
        <x:v>GRID19</x:v>
      </x:c>
      <x:c r="B1078" s="19" t="str">
        <x:v>GRID19_report.md</x:v>
      </x:c>
      <x:c r="C1078" s="19" t="str">
        <x:v>1. GRID19：新训练／开发周的完整教师采集</x:v>
      </x:c>
      <x:c r="D1078" s="19" t="str">
        <x:v>周=2035-10-01_5；用途=开发</x:v>
      </x:c>
      <x:c r="E1078" s="19" t="str">
        <x:v>候选反馈</x:v>
      </x:c>
      <x:c r="F1078" s="19" t="str">
        <x:v>1818</x:v>
      </x:c>
      <x:c r="G1078" s="19" t="str">
        <x:v>其他/配置</x:v>
      </x:c>
      <x:c r="H1078" s="19" t="str">
        <x:v>D:/Codex/GRL研究/outputs/grid19/GRID19_report.md</x:v>
      </x:c>
    </x:row>
    <x:row r="1079" ht="36" customHeight="1">
      <x:c r="A1079" s="19" t="str">
        <x:v>GRID20</x:v>
      </x:c>
      <x:c r="B1079" s="19" t="str">
        <x:v>GRID20_report.md</x:v>
      </x:c>
      <x:c r="C1079" s="19" t="str">
        <x:v>1. GRID20：GNN监督拓扑候选排序V0</x:v>
      </x:c>
      <x:c r="D1079" s="19" t="str">
        <x:v>方法=GNN_seed0；K=32</x:v>
      </x:c>
      <x:c r="E1079" s="19" t="str">
        <x:v>K</x:v>
      </x:c>
      <x:c r="F1079" s="19" t="str">
        <x:v>32</x:v>
      </x:c>
      <x:c r="G1079" s="19" t="str">
        <x:v>其他/配置</x:v>
      </x:c>
      <x:c r="H1079" s="19" t="str">
        <x:v>D:/Codex/GRL研究/outputs/grid20/GRID20_report.md</x:v>
      </x:c>
    </x:row>
    <x:row r="1080" ht="36" customHeight="1">
      <x:c r="A1080" s="19" t="str">
        <x:v>GRID20</x:v>
      </x:c>
      <x:c r="B1080" s="19" t="str">
        <x:v>GRID20_report.md</x:v>
      </x:c>
      <x:c r="C1080" s="19" t="str">
        <x:v>1. GRID20：GNN监督拓扑候选排序V0</x:v>
      </x:c>
      <x:c r="D1080" s="19" t="str">
        <x:v>方法=GNN_seed0；K=32</x:v>
      </x:c>
      <x:c r="E1080" s="19" t="str">
        <x:v>近最佳保留</x:v>
      </x:c>
      <x:c r="F1080" s="19" t="str">
        <x:v>68.9935%</x:v>
      </x:c>
      <x:c r="G1080" s="19" t="str">
        <x:v>质量/成本</x:v>
      </x:c>
      <x:c r="H1080" s="19" t="str">
        <x:v>D:/Codex/GRL研究/outputs/grid20/GRID20_report.md</x:v>
      </x:c>
    </x:row>
    <x:row r="1081" ht="36" customHeight="1">
      <x:c r="A1081" s="19" t="str">
        <x:v>GRID20</x:v>
      </x:c>
      <x:c r="B1081" s="19" t="str">
        <x:v>GRID20_report.md</x:v>
      </x:c>
      <x:c r="C1081" s="19" t="str">
        <x:v>1. GRID20：GNN监督拓扑候选排序V0</x:v>
      </x:c>
      <x:c r="D1081" s="19" t="str">
        <x:v>方法=GNN_seed0；K=32</x:v>
      </x:c>
      <x:c r="E1081" s="19" t="str">
        <x:v>回退</x:v>
      </x:c>
      <x:c r="F1081" s="19" t="str">
        <x:v>11.2500%</x:v>
      </x:c>
      <x:c r="G1081" s="19" t="str">
        <x:v>其他/配置</x:v>
      </x:c>
      <x:c r="H1081" s="19" t="str">
        <x:v>D:/Codex/GRL研究/outputs/grid20/GRID20_report.md</x:v>
      </x:c>
    </x:row>
    <x:row r="1082" ht="36" customHeight="1">
      <x:c r="A1082" s="19" t="str">
        <x:v>GRID20</x:v>
      </x:c>
      <x:c r="B1082" s="19" t="str">
        <x:v>GRID20_report.md</x:v>
      </x:c>
      <x:c r="C1082" s="19" t="str">
        <x:v>1. GRID20：GNN监督拓扑候选排序V0</x:v>
      </x:c>
      <x:c r="D1082" s="19" t="str">
        <x:v>方法=GNN_seed0；K=32</x:v>
      </x:c>
      <x:c r="E1082" s="19" t="str">
        <x:v>公共查询减少</x:v>
      </x:c>
      <x:c r="F1082" s="19" t="str">
        <x:v>86.4940%</x:v>
      </x:c>
      <x:c r="G1082" s="19" t="str">
        <x:v>速度/计算</x:v>
      </x:c>
      <x:c r="H1082" s="19" t="str">
        <x:v>D:/Codex/GRL研究/outputs/grid20/GRID20_report.md</x:v>
      </x:c>
    </x:row>
    <x:row r="1083" ht="36" customHeight="1">
      <x:c r="A1083" s="19" t="str">
        <x:v>GRID20</x:v>
      </x:c>
      <x:c r="B1083" s="19" t="str">
        <x:v>GRID20_report.md</x:v>
      </x:c>
      <x:c r="C1083" s="19" t="str">
        <x:v>1. GRID20：GNN监督拓扑候选排序V0</x:v>
      </x:c>
      <x:c r="D1083" s="19" t="str">
        <x:v>方法=GNN_seed0；K=32</x:v>
      </x:c>
      <x:c r="E1083" s="19" t="str">
        <x:v>交付ρ差</x:v>
      </x:c>
      <x:c r="F1083" s="19" t="str">
        <x:v>0.0080</x:v>
      </x:c>
      <x:c r="G1083" s="19" t="str">
        <x:v>质量/成本</x:v>
      </x:c>
      <x:c r="H1083" s="19" t="str">
        <x:v>D:/Codex/GRL研究/outputs/grid20/GRID20_report.md</x:v>
      </x:c>
    </x:row>
    <x:row r="1084" ht="36" customHeight="1">
      <x:c r="A1084" s="19" t="str">
        <x:v>GRID20</x:v>
      </x:c>
      <x:c r="B1084" s="19" t="str">
        <x:v>GRID20_report.md</x:v>
      </x:c>
      <x:c r="C1084" s="19" t="str">
        <x:v>1. GRID20：GNN监督拓扑候选排序V0</x:v>
      </x:c>
      <x:c r="D1084" s="19" t="str">
        <x:v>方法=GNN_seed0；K=128</x:v>
      </x:c>
      <x:c r="E1084" s="19" t="str">
        <x:v>K</x:v>
      </x:c>
      <x:c r="F1084" s="19" t="str">
        <x:v>128</x:v>
      </x:c>
      <x:c r="G1084" s="19" t="str">
        <x:v>其他/配置</x:v>
      </x:c>
      <x:c r="H1084" s="19" t="str">
        <x:v>D:/Codex/GRL研究/outputs/grid20/GRID20_report.md</x:v>
      </x:c>
    </x:row>
    <x:row r="1085" ht="36" customHeight="1">
      <x:c r="A1085" s="19" t="str">
        <x:v>GRID20</x:v>
      </x:c>
      <x:c r="B1085" s="19" t="str">
        <x:v>GRID20_report.md</x:v>
      </x:c>
      <x:c r="C1085" s="19" t="str">
        <x:v>1. GRID20：GNN监督拓扑候选排序V0</x:v>
      </x:c>
      <x:c r="D1085" s="19" t="str">
        <x:v>方法=GNN_seed0；K=128</x:v>
      </x:c>
      <x:c r="E1085" s="19" t="str">
        <x:v>近最佳保留</x:v>
      </x:c>
      <x:c r="F1085" s="19" t="str">
        <x:v>97.7273%</x:v>
      </x:c>
      <x:c r="G1085" s="19" t="str">
        <x:v>质量/成本</x:v>
      </x:c>
      <x:c r="H1085" s="19" t="str">
        <x:v>D:/Codex/GRL研究/outputs/grid20/GRID20_report.md</x:v>
      </x:c>
    </x:row>
    <x:row r="1086" ht="36" customHeight="1">
      <x:c r="A1086" s="19" t="str">
        <x:v>GRID20</x:v>
      </x:c>
      <x:c r="B1086" s="19" t="str">
        <x:v>GRID20_report.md</x:v>
      </x:c>
      <x:c r="C1086" s="19" t="str">
        <x:v>1. GRID20：GNN监督拓扑候选排序V0</x:v>
      </x:c>
      <x:c r="D1086" s="19" t="str">
        <x:v>方法=GNN_seed0；K=128</x:v>
      </x:c>
      <x:c r="E1086" s="19" t="str">
        <x:v>回退</x:v>
      </x:c>
      <x:c r="F1086" s="19" t="str">
        <x:v>8.1250%</x:v>
      </x:c>
      <x:c r="G1086" s="19" t="str">
        <x:v>其他/配置</x:v>
      </x:c>
      <x:c r="H1086" s="19" t="str">
        <x:v>D:/Codex/GRL研究/outputs/grid20/GRID20_report.md</x:v>
      </x:c>
    </x:row>
    <x:row r="1087" ht="36" customHeight="1">
      <x:c r="A1087" s="19" t="str">
        <x:v>GRID20</x:v>
      </x:c>
      <x:c r="B1087" s="19" t="str">
        <x:v>GRID20_report.md</x:v>
      </x:c>
      <x:c r="C1087" s="19" t="str">
        <x:v>1. GRID20：GNN监督拓扑候选排序V0</x:v>
      </x:c>
      <x:c r="D1087" s="19" t="str">
        <x:v>方法=GNN_seed0；K=128</x:v>
      </x:c>
      <x:c r="E1087" s="19" t="str">
        <x:v>公共查询减少</x:v>
      </x:c>
      <x:c r="F1087" s="19" t="str">
        <x:v>79.3916%</x:v>
      </x:c>
      <x:c r="G1087" s="19" t="str">
        <x:v>速度/计算</x:v>
      </x:c>
      <x:c r="H1087" s="19" t="str">
        <x:v>D:/Codex/GRL研究/outputs/grid20/GRID20_report.md</x:v>
      </x:c>
    </x:row>
    <x:row r="1088" ht="36" customHeight="1">
      <x:c r="A1088" s="19" t="str">
        <x:v>GRID20</x:v>
      </x:c>
      <x:c r="B1088" s="19" t="str">
        <x:v>GRID20_report.md</x:v>
      </x:c>
      <x:c r="C1088" s="19" t="str">
        <x:v>1. GRID20：GNN监督拓扑候选排序V0</x:v>
      </x:c>
      <x:c r="D1088" s="19" t="str">
        <x:v>方法=GNN_seed0；K=128</x:v>
      </x:c>
      <x:c r="E1088" s="19" t="str">
        <x:v>交付ρ差</x:v>
      </x:c>
      <x:c r="F1088" s="19" t="str">
        <x:v>0.0013</x:v>
      </x:c>
      <x:c r="G1088" s="19" t="str">
        <x:v>质量/成本</x:v>
      </x:c>
      <x:c r="H1088" s="19" t="str">
        <x:v>D:/Codex/GRL研究/outputs/grid20/GRID20_report.md</x:v>
      </x:c>
    </x:row>
    <x:row r="1089" ht="36" customHeight="1">
      <x:c r="A1089" s="19" t="str">
        <x:v>GRID20</x:v>
      </x:c>
      <x:c r="B1089" s="19" t="str">
        <x:v>GRID20_report.md</x:v>
      </x:c>
      <x:c r="C1089" s="19" t="str">
        <x:v>1. GRID20：GNN监督拓扑候选排序V0</x:v>
      </x:c>
      <x:c r="D1089" s="19" t="str">
        <x:v>方法=GNN_seed1；K=32</x:v>
      </x:c>
      <x:c r="E1089" s="19" t="str">
        <x:v>K</x:v>
      </x:c>
      <x:c r="F1089" s="19" t="str">
        <x:v>32</x:v>
      </x:c>
      <x:c r="G1089" s="19" t="str">
        <x:v>其他/配置</x:v>
      </x:c>
      <x:c r="H1089" s="19" t="str">
        <x:v>D:/Codex/GRL研究/outputs/grid20/GRID20_report.md</x:v>
      </x:c>
    </x:row>
    <x:row r="1090" ht="36" customHeight="1">
      <x:c r="A1090" s="19" t="str">
        <x:v>GRID20</x:v>
      </x:c>
      <x:c r="B1090" s="19" t="str">
        <x:v>GRID20_report.md</x:v>
      </x:c>
      <x:c r="C1090" s="19" t="str">
        <x:v>1. GRID20：GNN监督拓扑候选排序V0</x:v>
      </x:c>
      <x:c r="D1090" s="19" t="str">
        <x:v>方法=GNN_seed1；K=32</x:v>
      </x:c>
      <x:c r="E1090" s="19" t="str">
        <x:v>近最佳保留</x:v>
      </x:c>
      <x:c r="F1090" s="19" t="str">
        <x:v>48.9448%</x:v>
      </x:c>
      <x:c r="G1090" s="19" t="str">
        <x:v>质量/成本</x:v>
      </x:c>
      <x:c r="H1090" s="19" t="str">
        <x:v>D:/Codex/GRL研究/outputs/grid20/GRID20_report.md</x:v>
      </x:c>
    </x:row>
    <x:row r="1091" ht="36" customHeight="1">
      <x:c r="A1091" s="19" t="str">
        <x:v>GRID20</x:v>
      </x:c>
      <x:c r="B1091" s="19" t="str">
        <x:v>GRID20_report.md</x:v>
      </x:c>
      <x:c r="C1091" s="19" t="str">
        <x:v>1. GRID20：GNN监督拓扑候选排序V0</x:v>
      </x:c>
      <x:c r="D1091" s="19" t="str">
        <x:v>方法=GNN_seed1；K=32</x:v>
      </x:c>
      <x:c r="E1091" s="19" t="str">
        <x:v>回退</x:v>
      </x:c>
      <x:c r="F1091" s="19" t="str">
        <x:v>16.6477%</x:v>
      </x:c>
      <x:c r="G1091" s="19" t="str">
        <x:v>其他/配置</x:v>
      </x:c>
      <x:c r="H1091" s="19" t="str">
        <x:v>D:/Codex/GRL研究/outputs/grid20/GRID20_report.md</x:v>
      </x:c>
    </x:row>
    <x:row r="1092" ht="36" customHeight="1">
      <x:c r="A1092" s="19" t="str">
        <x:v>GRID20</x:v>
      </x:c>
      <x:c r="B1092" s="19" t="str">
        <x:v>GRID20_report.md</x:v>
      </x:c>
      <x:c r="C1092" s="19" t="str">
        <x:v>1. GRID20：GNN监督拓扑候选排序V0</x:v>
      </x:c>
      <x:c r="D1092" s="19" t="str">
        <x:v>方法=GNN_seed1；K=32</x:v>
      </x:c>
      <x:c r="E1092" s="19" t="str">
        <x:v>公共查询减少</x:v>
      </x:c>
      <x:c r="F1092" s="19" t="str">
        <x:v>81.1771%</x:v>
      </x:c>
      <x:c r="G1092" s="19" t="str">
        <x:v>速度/计算</x:v>
      </x:c>
      <x:c r="H1092" s="19" t="str">
        <x:v>D:/Codex/GRL研究/outputs/grid20/GRID20_report.md</x:v>
      </x:c>
    </x:row>
    <x:row r="1093" ht="36" customHeight="1">
      <x:c r="A1093" s="19" t="str">
        <x:v>GRID20</x:v>
      </x:c>
      <x:c r="B1093" s="19" t="str">
        <x:v>GRID20_report.md</x:v>
      </x:c>
      <x:c r="C1093" s="19" t="str">
        <x:v>1. GRID20：GNN监督拓扑候选排序V0</x:v>
      </x:c>
      <x:c r="D1093" s="19" t="str">
        <x:v>方法=GNN_seed1；K=32</x:v>
      </x:c>
      <x:c r="E1093" s="19" t="str">
        <x:v>交付ρ差</x:v>
      </x:c>
      <x:c r="F1093" s="19" t="str">
        <x:v>0.0102</x:v>
      </x:c>
      <x:c r="G1093" s="19" t="str">
        <x:v>质量/成本</x:v>
      </x:c>
      <x:c r="H1093" s="19" t="str">
        <x:v>D:/Codex/GRL研究/outputs/grid20/GRID20_report.md</x:v>
      </x:c>
    </x:row>
    <x:row r="1094" ht="36" customHeight="1">
      <x:c r="A1094" s="19" t="str">
        <x:v>GRID20</x:v>
      </x:c>
      <x:c r="B1094" s="19" t="str">
        <x:v>GRID20_report.md</x:v>
      </x:c>
      <x:c r="C1094" s="19" t="str">
        <x:v>1. GRID20：GNN监督拓扑候选排序V0</x:v>
      </x:c>
      <x:c r="D1094" s="19" t="str">
        <x:v>方法=GNN_seed1；K=128</x:v>
      </x:c>
      <x:c r="E1094" s="19" t="str">
        <x:v>K</x:v>
      </x:c>
      <x:c r="F1094" s="19" t="str">
        <x:v>128</x:v>
      </x:c>
      <x:c r="G1094" s="19" t="str">
        <x:v>其他/配置</x:v>
      </x:c>
      <x:c r="H1094" s="19" t="str">
        <x:v>D:/Codex/GRL研究/outputs/grid20/GRID20_report.md</x:v>
      </x:c>
    </x:row>
    <x:row r="1095" ht="36" customHeight="1">
      <x:c r="A1095" s="19" t="str">
        <x:v>GRID20</x:v>
      </x:c>
      <x:c r="B1095" s="19" t="str">
        <x:v>GRID20_report.md</x:v>
      </x:c>
      <x:c r="C1095" s="19" t="str">
        <x:v>1. GRID20：GNN监督拓扑候选排序V0</x:v>
      </x:c>
      <x:c r="D1095" s="19" t="str">
        <x:v>方法=GNN_seed1；K=128</x:v>
      </x:c>
      <x:c r="E1095" s="19" t="str">
        <x:v>近最佳保留</x:v>
      </x:c>
      <x:c r="F1095" s="19" t="str">
        <x:v>93.1818%</x:v>
      </x:c>
      <x:c r="G1095" s="19" t="str">
        <x:v>质量/成本</x:v>
      </x:c>
      <x:c r="H1095" s="19" t="str">
        <x:v>D:/Codex/GRL研究/outputs/grid20/GRID20_report.md</x:v>
      </x:c>
    </x:row>
    <x:row r="1096" ht="36" customHeight="1">
      <x:c r="A1096" s="19" t="str">
        <x:v>GRID20</x:v>
      </x:c>
      <x:c r="B1096" s="19" t="str">
        <x:v>GRID20_report.md</x:v>
      </x:c>
      <x:c r="C1096" s="19" t="str">
        <x:v>1. GRID20：GNN监督拓扑候选排序V0</x:v>
      </x:c>
      <x:c r="D1096" s="19" t="str">
        <x:v>方法=GNN_seed1；K=128</x:v>
      </x:c>
      <x:c r="E1096" s="19" t="str">
        <x:v>回退</x:v>
      </x:c>
      <x:c r="F1096" s="19" t="str">
        <x:v>8.1250%</x:v>
      </x:c>
      <x:c r="G1096" s="19" t="str">
        <x:v>其他/配置</x:v>
      </x:c>
      <x:c r="H1096" s="19" t="str">
        <x:v>D:/Codex/GRL研究/outputs/grid20/GRID20_report.md</x:v>
      </x:c>
    </x:row>
    <x:row r="1097" ht="36" customHeight="1">
      <x:c r="A1097" s="19" t="str">
        <x:v>GRID20</x:v>
      </x:c>
      <x:c r="B1097" s="19" t="str">
        <x:v>GRID20_report.md</x:v>
      </x:c>
      <x:c r="C1097" s="19" t="str">
        <x:v>1. GRID20：GNN监督拓扑候选排序V0</x:v>
      </x:c>
      <x:c r="D1097" s="19" t="str">
        <x:v>方法=GNN_seed1；K=128</x:v>
      </x:c>
      <x:c r="E1097" s="19" t="str">
        <x:v>公共查询减少</x:v>
      </x:c>
      <x:c r="F1097" s="19" t="str">
        <x:v>79.3916%</x:v>
      </x:c>
      <x:c r="G1097" s="19" t="str">
        <x:v>速度/计算</x:v>
      </x:c>
      <x:c r="H1097" s="19" t="str">
        <x:v>D:/Codex/GRL研究/outputs/grid20/GRID20_report.md</x:v>
      </x:c>
    </x:row>
    <x:row r="1098" ht="36" customHeight="1">
      <x:c r="A1098" s="19" t="str">
        <x:v>GRID20</x:v>
      </x:c>
      <x:c r="B1098" s="19" t="str">
        <x:v>GRID20_report.md</x:v>
      </x:c>
      <x:c r="C1098" s="19" t="str">
        <x:v>1. GRID20：GNN监督拓扑候选排序V0</x:v>
      </x:c>
      <x:c r="D1098" s="19" t="str">
        <x:v>方法=GNN_seed1；K=128</x:v>
      </x:c>
      <x:c r="E1098" s="19" t="str">
        <x:v>交付ρ差</x:v>
      </x:c>
      <x:c r="F1098" s="19" t="str">
        <x:v>0.0024</x:v>
      </x:c>
      <x:c r="G1098" s="19" t="str">
        <x:v>质量/成本</x:v>
      </x:c>
      <x:c r="H1098" s="19" t="str">
        <x:v>D:/Codex/GRL研究/outputs/grid20/GRID20_report.md</x:v>
      </x:c>
    </x:row>
    <x:row r="1099" ht="36" customHeight="1">
      <x:c r="A1099" s="19" t="str">
        <x:v>GRID20</x:v>
      </x:c>
      <x:c r="B1099" s="19" t="str">
        <x:v>GRID20_report.md</x:v>
      </x:c>
      <x:c r="C1099" s="19" t="str">
        <x:v>1. GRID20：GNN监督拓扑候选排序V0</x:v>
      </x:c>
      <x:c r="D1099" s="19" t="str">
        <x:v>方法=MLP_seed0；K=32</x:v>
      </x:c>
      <x:c r="E1099" s="19" t="str">
        <x:v>K</x:v>
      </x:c>
      <x:c r="F1099" s="19" t="str">
        <x:v>32</x:v>
      </x:c>
      <x:c r="G1099" s="19" t="str">
        <x:v>其他/配置</x:v>
      </x:c>
      <x:c r="H1099" s="19" t="str">
        <x:v>D:/Codex/GRL研究/outputs/grid20/GRID20_report.md</x:v>
      </x:c>
    </x:row>
    <x:row r="1100" ht="36" customHeight="1">
      <x:c r="A1100" s="19" t="str">
        <x:v>GRID20</x:v>
      </x:c>
      <x:c r="B1100" s="19" t="str">
        <x:v>GRID20_report.md</x:v>
      </x:c>
      <x:c r="C1100" s="19" t="str">
        <x:v>1. GRID20：GNN监督拓扑候选排序V0</x:v>
      </x:c>
      <x:c r="D1100" s="19" t="str">
        <x:v>方法=MLP_seed0；K=32</x:v>
      </x:c>
      <x:c r="E1100" s="19" t="str">
        <x:v>近最佳保留</x:v>
      </x:c>
      <x:c r="F1100" s="19" t="str">
        <x:v>49.2695%</x:v>
      </x:c>
      <x:c r="G1100" s="19" t="str">
        <x:v>质量/成本</x:v>
      </x:c>
      <x:c r="H1100" s="19" t="str">
        <x:v>D:/Codex/GRL研究/outputs/grid20/GRID20_report.md</x:v>
      </x:c>
    </x:row>
    <x:row r="1101" ht="36" customHeight="1">
      <x:c r="A1101" s="19" t="str">
        <x:v>GRID20</x:v>
      </x:c>
      <x:c r="B1101" s="19" t="str">
        <x:v>GRID20_report.md</x:v>
      </x:c>
      <x:c r="C1101" s="19" t="str">
        <x:v>1. GRID20：GNN监督拓扑候选排序V0</x:v>
      </x:c>
      <x:c r="D1101" s="19" t="str">
        <x:v>方法=MLP_seed0；K=32</x:v>
      </x:c>
      <x:c r="E1101" s="19" t="str">
        <x:v>回退</x:v>
      </x:c>
      <x:c r="F1101" s="19" t="str">
        <x:v>10.3977%</x:v>
      </x:c>
      <x:c r="G1101" s="19" t="str">
        <x:v>其他/配置</x:v>
      </x:c>
      <x:c r="H1101" s="19" t="str">
        <x:v>D:/Codex/GRL研究/outputs/grid20/GRID20_report.md</x:v>
      </x:c>
    </x:row>
    <x:row r="1102" ht="36" customHeight="1">
      <x:c r="A1102" s="19" t="str">
        <x:v>GRID20</x:v>
      </x:c>
      <x:c r="B1102" s="19" t="str">
        <x:v>GRID20_report.md</x:v>
      </x:c>
      <x:c r="C1102" s="19" t="str">
        <x:v>1. GRID20：GNN监督拓扑候选排序V0</x:v>
      </x:c>
      <x:c r="D1102" s="19" t="str">
        <x:v>方法=MLP_seed0；K=32</x:v>
      </x:c>
      <x:c r="E1102" s="19" t="str">
        <x:v>公共查询减少</x:v>
      </x:c>
      <x:c r="F1102" s="19" t="str">
        <x:v>87.2510%</x:v>
      </x:c>
      <x:c r="G1102" s="19" t="str">
        <x:v>速度/计算</x:v>
      </x:c>
      <x:c r="H1102" s="19" t="str">
        <x:v>D:/Codex/GRL研究/outputs/grid20/GRID20_report.md</x:v>
      </x:c>
    </x:row>
    <x:row r="1103" ht="36" customHeight="1">
      <x:c r="A1103" s="19" t="str">
        <x:v>GRID20</x:v>
      </x:c>
      <x:c r="B1103" s="19" t="str">
        <x:v>GRID20_report.md</x:v>
      </x:c>
      <x:c r="C1103" s="19" t="str">
        <x:v>1. GRID20：GNN监督拓扑候选排序V0</x:v>
      </x:c>
      <x:c r="D1103" s="19" t="str">
        <x:v>方法=MLP_seed0；K=32</x:v>
      </x:c>
      <x:c r="E1103" s="19" t="str">
        <x:v>交付ρ差</x:v>
      </x:c>
      <x:c r="F1103" s="19" t="str">
        <x:v>0.0116</x:v>
      </x:c>
      <x:c r="G1103" s="19" t="str">
        <x:v>质量/成本</x:v>
      </x:c>
      <x:c r="H1103" s="19" t="str">
        <x:v>D:/Codex/GRL研究/outputs/grid20/GRID20_report.md</x:v>
      </x:c>
    </x:row>
    <x:row r="1104" ht="36" customHeight="1">
      <x:c r="A1104" s="19" t="str">
        <x:v>GRID20</x:v>
      </x:c>
      <x:c r="B1104" s="19" t="str">
        <x:v>GRID20_report.md</x:v>
      </x:c>
      <x:c r="C1104" s="19" t="str">
        <x:v>1. GRID20：GNN监督拓扑候选排序V0</x:v>
      </x:c>
      <x:c r="D1104" s="19" t="str">
        <x:v>方法=MLP_seed0；K=128</x:v>
      </x:c>
      <x:c r="E1104" s="19" t="str">
        <x:v>K</x:v>
      </x:c>
      <x:c r="F1104" s="19" t="str">
        <x:v>128</x:v>
      </x:c>
      <x:c r="G1104" s="19" t="str">
        <x:v>其他/配置</x:v>
      </x:c>
      <x:c r="H1104" s="19" t="str">
        <x:v>D:/Codex/GRL研究/outputs/grid20/GRID20_report.md</x:v>
      </x:c>
    </x:row>
    <x:row r="1105" ht="36" customHeight="1">
      <x:c r="A1105" s="19" t="str">
        <x:v>GRID20</x:v>
      </x:c>
      <x:c r="B1105" s="19" t="str">
        <x:v>GRID20_report.md</x:v>
      </x:c>
      <x:c r="C1105" s="19" t="str">
        <x:v>1. GRID20：GNN监督拓扑候选排序V0</x:v>
      </x:c>
      <x:c r="D1105" s="19" t="str">
        <x:v>方法=MLP_seed0；K=128</x:v>
      </x:c>
      <x:c r="E1105" s="19" t="str">
        <x:v>近最佳保留</x:v>
      </x:c>
      <x:c r="F1105" s="19" t="str">
        <x:v>94.1558%</x:v>
      </x:c>
      <x:c r="G1105" s="19" t="str">
        <x:v>质量/成本</x:v>
      </x:c>
      <x:c r="H1105" s="19" t="str">
        <x:v>D:/Codex/GRL研究/outputs/grid20/GRID20_report.md</x:v>
      </x:c>
    </x:row>
    <x:row r="1106" ht="36" customHeight="1">
      <x:c r="A1106" s="19" t="str">
        <x:v>GRID20</x:v>
      </x:c>
      <x:c r="B1106" s="19" t="str">
        <x:v>GRID20_report.md</x:v>
      </x:c>
      <x:c r="C1106" s="19" t="str">
        <x:v>1. GRID20：GNN监督拓扑候选排序V0</x:v>
      </x:c>
      <x:c r="D1106" s="19" t="str">
        <x:v>方法=MLP_seed0；K=128</x:v>
      </x:c>
      <x:c r="E1106" s="19" t="str">
        <x:v>回退</x:v>
      </x:c>
      <x:c r="F1106" s="19" t="str">
        <x:v>8.1250%</x:v>
      </x:c>
      <x:c r="G1106" s="19" t="str">
        <x:v>其他/配置</x:v>
      </x:c>
      <x:c r="H1106" s="19" t="str">
        <x:v>D:/Codex/GRL研究/outputs/grid20/GRID20_report.md</x:v>
      </x:c>
    </x:row>
    <x:row r="1107" ht="36" customHeight="1">
      <x:c r="A1107" s="19" t="str">
        <x:v>GRID20</x:v>
      </x:c>
      <x:c r="B1107" s="19" t="str">
        <x:v>GRID20_report.md</x:v>
      </x:c>
      <x:c r="C1107" s="19" t="str">
        <x:v>1. GRID20：GNN监督拓扑候选排序V0</x:v>
      </x:c>
      <x:c r="D1107" s="19" t="str">
        <x:v>方法=MLP_seed0；K=128</x:v>
      </x:c>
      <x:c r="E1107" s="19" t="str">
        <x:v>公共查询减少</x:v>
      </x:c>
      <x:c r="F1107" s="19" t="str">
        <x:v>79.3916%</x:v>
      </x:c>
      <x:c r="G1107" s="19" t="str">
        <x:v>速度/计算</x:v>
      </x:c>
      <x:c r="H1107" s="19" t="str">
        <x:v>D:/Codex/GRL研究/outputs/grid20/GRID20_report.md</x:v>
      </x:c>
    </x:row>
    <x:row r="1108" ht="36" customHeight="1">
      <x:c r="A1108" s="19" t="str">
        <x:v>GRID20</x:v>
      </x:c>
      <x:c r="B1108" s="19" t="str">
        <x:v>GRID20_report.md</x:v>
      </x:c>
      <x:c r="C1108" s="19" t="str">
        <x:v>1. GRID20：GNN监督拓扑候选排序V0</x:v>
      </x:c>
      <x:c r="D1108" s="19" t="str">
        <x:v>方法=MLP_seed0；K=128</x:v>
      </x:c>
      <x:c r="E1108" s="19" t="str">
        <x:v>交付ρ差</x:v>
      </x:c>
      <x:c r="F1108" s="19" t="str">
        <x:v>0.0024</x:v>
      </x:c>
      <x:c r="G1108" s="19" t="str">
        <x:v>质量/成本</x:v>
      </x:c>
      <x:c r="H1108" s="19" t="str">
        <x:v>D:/Codex/GRL研究/outputs/grid20/GRID20_report.md</x:v>
      </x:c>
    </x:row>
    <x:row r="1109" ht="36" customHeight="1">
      <x:c r="A1109" s="19" t="str">
        <x:v>GRID20</x:v>
      </x:c>
      <x:c r="B1109" s="19" t="str">
        <x:v>GRID20_report.md</x:v>
      </x:c>
      <x:c r="C1109" s="19" t="str">
        <x:v>1. GRID20：GNN监督拓扑候选排序V0</x:v>
      </x:c>
      <x:c r="D1109" s="19" t="str">
        <x:v>方法=MLP_seed1；K=32</x:v>
      </x:c>
      <x:c r="E1109" s="19" t="str">
        <x:v>K</x:v>
      </x:c>
      <x:c r="F1109" s="19" t="str">
        <x:v>32</x:v>
      </x:c>
      <x:c r="G1109" s="19" t="str">
        <x:v>其他/配置</x:v>
      </x:c>
      <x:c r="H1109" s="19" t="str">
        <x:v>D:/Codex/GRL研究/outputs/grid20/GRID20_report.md</x:v>
      </x:c>
    </x:row>
    <x:row r="1110" ht="36" customHeight="1">
      <x:c r="A1110" s="19" t="str">
        <x:v>GRID20</x:v>
      </x:c>
      <x:c r="B1110" s="19" t="str">
        <x:v>GRID20_report.md</x:v>
      </x:c>
      <x:c r="C1110" s="19" t="str">
        <x:v>1. GRID20：GNN监督拓扑候选排序V0</x:v>
      </x:c>
      <x:c r="D1110" s="19" t="str">
        <x:v>方法=MLP_seed1；K=32</x:v>
      </x:c>
      <x:c r="E1110" s="19" t="str">
        <x:v>近最佳保留</x:v>
      </x:c>
      <x:c r="F1110" s="19" t="str">
        <x:v>51.5422%</x:v>
      </x:c>
      <x:c r="G1110" s="19" t="str">
        <x:v>质量/成本</x:v>
      </x:c>
      <x:c r="H1110" s="19" t="str">
        <x:v>D:/Codex/GRL研究/outputs/grid20/GRID20_report.md</x:v>
      </x:c>
    </x:row>
    <x:row r="1111" ht="36" customHeight="1">
      <x:c r="A1111" s="19" t="str">
        <x:v>GRID20</x:v>
      </x:c>
      <x:c r="B1111" s="19" t="str">
        <x:v>GRID20_report.md</x:v>
      </x:c>
      <x:c r="C1111" s="19" t="str">
        <x:v>1. GRID20：GNN监督拓扑候选排序V0</x:v>
      </x:c>
      <x:c r="D1111" s="19" t="str">
        <x:v>方法=MLP_seed1；K=32</x:v>
      </x:c>
      <x:c r="E1111" s="19" t="str">
        <x:v>回退</x:v>
      </x:c>
      <x:c r="F1111" s="19" t="str">
        <x:v>10.3977%</x:v>
      </x:c>
      <x:c r="G1111" s="19" t="str">
        <x:v>其他/配置</x:v>
      </x:c>
      <x:c r="H1111" s="19" t="str">
        <x:v>D:/Codex/GRL研究/outputs/grid20/GRID20_report.md</x:v>
      </x:c>
    </x:row>
    <x:row r="1112" ht="36" customHeight="1">
      <x:c r="A1112" s="19" t="str">
        <x:v>GRID20</x:v>
      </x:c>
      <x:c r="B1112" s="19" t="str">
        <x:v>GRID20_report.md</x:v>
      </x:c>
      <x:c r="C1112" s="19" t="str">
        <x:v>1. GRID20：GNN监督拓扑候选排序V0</x:v>
      </x:c>
      <x:c r="D1112" s="19" t="str">
        <x:v>方法=MLP_seed1；K=32</x:v>
      </x:c>
      <x:c r="E1112" s="19" t="str">
        <x:v>公共查询减少</x:v>
      </x:c>
      <x:c r="F1112" s="19" t="str">
        <x:v>87.2510%</x:v>
      </x:c>
      <x:c r="G1112" s="19" t="str">
        <x:v>速度/计算</x:v>
      </x:c>
      <x:c r="H1112" s="19" t="str">
        <x:v>D:/Codex/GRL研究/outputs/grid20/GRID20_report.md</x:v>
      </x:c>
    </x:row>
    <x:row r="1113" ht="36" customHeight="1">
      <x:c r="A1113" s="19" t="str">
        <x:v>GRID20</x:v>
      </x:c>
      <x:c r="B1113" s="19" t="str">
        <x:v>GRID20_report.md</x:v>
      </x:c>
      <x:c r="C1113" s="19" t="str">
        <x:v>1. GRID20：GNN监督拓扑候选排序V0</x:v>
      </x:c>
      <x:c r="D1113" s="19" t="str">
        <x:v>方法=MLP_seed1；K=32</x:v>
      </x:c>
      <x:c r="E1113" s="19" t="str">
        <x:v>交付ρ差</x:v>
      </x:c>
      <x:c r="F1113" s="19" t="str">
        <x:v>0.0113</x:v>
      </x:c>
      <x:c r="G1113" s="19" t="str">
        <x:v>质量/成本</x:v>
      </x:c>
      <x:c r="H1113" s="19" t="str">
        <x:v>D:/Codex/GRL研究/outputs/grid20/GRID20_report.md</x:v>
      </x:c>
    </x:row>
    <x:row r="1114" ht="36" customHeight="1">
      <x:c r="A1114" s="19" t="str">
        <x:v>GRID20</x:v>
      </x:c>
      <x:c r="B1114" s="19" t="str">
        <x:v>GRID20_report.md</x:v>
      </x:c>
      <x:c r="C1114" s="19" t="str">
        <x:v>1. GRID20：GNN监督拓扑候选排序V0</x:v>
      </x:c>
      <x:c r="D1114" s="19" t="str">
        <x:v>方法=MLP_seed1；K=128</x:v>
      </x:c>
      <x:c r="E1114" s="19" t="str">
        <x:v>K</x:v>
      </x:c>
      <x:c r="F1114" s="19" t="str">
        <x:v>128</x:v>
      </x:c>
      <x:c r="G1114" s="19" t="str">
        <x:v>其他/配置</x:v>
      </x:c>
      <x:c r="H1114" s="19" t="str">
        <x:v>D:/Codex/GRL研究/outputs/grid20/GRID20_report.md</x:v>
      </x:c>
    </x:row>
    <x:row r="1115" ht="36" customHeight="1">
      <x:c r="A1115" s="19" t="str">
        <x:v>GRID20</x:v>
      </x:c>
      <x:c r="B1115" s="19" t="str">
        <x:v>GRID20_report.md</x:v>
      </x:c>
      <x:c r="C1115" s="19" t="str">
        <x:v>1. GRID20：GNN监督拓扑候选排序V0</x:v>
      </x:c>
      <x:c r="D1115" s="19" t="str">
        <x:v>方法=MLP_seed1；K=128</x:v>
      </x:c>
      <x:c r="E1115" s="19" t="str">
        <x:v>近最佳保留</x:v>
      </x:c>
      <x:c r="F1115" s="19" t="str">
        <x:v>85.6331%</x:v>
      </x:c>
      <x:c r="G1115" s="19" t="str">
        <x:v>质量/成本</x:v>
      </x:c>
      <x:c r="H1115" s="19" t="str">
        <x:v>D:/Codex/GRL研究/outputs/grid20/GRID20_report.md</x:v>
      </x:c>
    </x:row>
    <x:row r="1116" ht="36" customHeight="1">
      <x:c r="A1116" s="19" t="str">
        <x:v>GRID20</x:v>
      </x:c>
      <x:c r="B1116" s="19" t="str">
        <x:v>GRID20_report.md</x:v>
      </x:c>
      <x:c r="C1116" s="19" t="str">
        <x:v>1. GRID20：GNN监督拓扑候选排序V0</x:v>
      </x:c>
      <x:c r="D1116" s="19" t="str">
        <x:v>方法=MLP_seed1；K=128</x:v>
      </x:c>
      <x:c r="E1116" s="19" t="str">
        <x:v>回退</x:v>
      </x:c>
      <x:c r="F1116" s="19" t="str">
        <x:v>8.1250%</x:v>
      </x:c>
      <x:c r="G1116" s="19" t="str">
        <x:v>其他/配置</x:v>
      </x:c>
      <x:c r="H1116" s="19" t="str">
        <x:v>D:/Codex/GRL研究/outputs/grid20/GRID20_report.md</x:v>
      </x:c>
    </x:row>
    <x:row r="1117" ht="36" customHeight="1">
      <x:c r="A1117" s="19" t="str">
        <x:v>GRID20</x:v>
      </x:c>
      <x:c r="B1117" s="19" t="str">
        <x:v>GRID20_report.md</x:v>
      </x:c>
      <x:c r="C1117" s="19" t="str">
        <x:v>1. GRID20：GNN监督拓扑候选排序V0</x:v>
      </x:c>
      <x:c r="D1117" s="19" t="str">
        <x:v>方法=MLP_seed1；K=128</x:v>
      </x:c>
      <x:c r="E1117" s="19" t="str">
        <x:v>公共查询减少</x:v>
      </x:c>
      <x:c r="F1117" s="19" t="str">
        <x:v>79.3916%</x:v>
      </x:c>
      <x:c r="G1117" s="19" t="str">
        <x:v>速度/计算</x:v>
      </x:c>
      <x:c r="H1117" s="19" t="str">
        <x:v>D:/Codex/GRL研究/outputs/grid20/GRID20_report.md</x:v>
      </x:c>
    </x:row>
    <x:row r="1118" ht="36" customHeight="1">
      <x:c r="A1118" s="19" t="str">
        <x:v>GRID20</x:v>
      </x:c>
      <x:c r="B1118" s="19" t="str">
        <x:v>GRID20_report.md</x:v>
      </x:c>
      <x:c r="C1118" s="19" t="str">
        <x:v>1. GRID20：GNN监督拓扑候选排序V0</x:v>
      </x:c>
      <x:c r="D1118" s="19" t="str">
        <x:v>方法=MLP_seed1；K=128</x:v>
      </x:c>
      <x:c r="E1118" s="19" t="str">
        <x:v>交付ρ差</x:v>
      </x:c>
      <x:c r="F1118" s="19" t="str">
        <x:v>0.0039</x:v>
      </x:c>
      <x:c r="G1118" s="19" t="str">
        <x:v>质量/成本</x:v>
      </x:c>
      <x:c r="H1118" s="19" t="str">
        <x:v>D:/Codex/GRL研究/outputs/grid20/GRID20_report.md</x:v>
      </x:c>
    </x:row>
    <x:row r="1119" ht="36" customHeight="1">
      <x:c r="A1119" s="19" t="str">
        <x:v>GRID20</x:v>
      </x:c>
      <x:c r="B1119" s="19" t="str">
        <x:v>GRID20_report.md</x:v>
      </x:c>
      <x:c r="C1119" s="19" t="str">
        <x:v>1. GRID20：GNN监督拓扑候选排序V0</x:v>
      </x:c>
      <x:c r="D1119" s="19" t="str">
        <x:v>方法=FREQUENCY；K=32</x:v>
      </x:c>
      <x:c r="E1119" s="19" t="str">
        <x:v>K</x:v>
      </x:c>
      <x:c r="F1119" s="19" t="str">
        <x:v>32</x:v>
      </x:c>
      <x:c r="G1119" s="19" t="str">
        <x:v>其他/配置</x:v>
      </x:c>
      <x:c r="H1119" s="19" t="str">
        <x:v>D:/Codex/GRL研究/outputs/grid20/GRID20_report.md</x:v>
      </x:c>
    </x:row>
    <x:row r="1120" ht="36" customHeight="1">
      <x:c r="A1120" s="19" t="str">
        <x:v>GRID20</x:v>
      </x:c>
      <x:c r="B1120" s="19" t="str">
        <x:v>GRID20_report.md</x:v>
      </x:c>
      <x:c r="C1120" s="19" t="str">
        <x:v>1. GRID20：GNN监督拓扑候选排序V0</x:v>
      </x:c>
      <x:c r="D1120" s="19" t="str">
        <x:v>方法=FREQUENCY；K=32</x:v>
      </x:c>
      <x:c r="E1120" s="19" t="str">
        <x:v>近最佳保留</x:v>
      </x:c>
      <x:c r="F1120" s="19" t="str">
        <x:v>55.1136%</x:v>
      </x:c>
      <x:c r="G1120" s="19" t="str">
        <x:v>质量/成本</x:v>
      </x:c>
      <x:c r="H1120" s="19" t="str">
        <x:v>D:/Codex/GRL研究/outputs/grid20/GRID20_report.md</x:v>
      </x:c>
    </x:row>
    <x:row r="1121" ht="36" customHeight="1">
      <x:c r="A1121" s="19" t="str">
        <x:v>GRID20</x:v>
      </x:c>
      <x:c r="B1121" s="19" t="str">
        <x:v>GRID20_report.md</x:v>
      </x:c>
      <x:c r="C1121" s="19" t="str">
        <x:v>1. GRID20：GNN监督拓扑候选排序V0</x:v>
      </x:c>
      <x:c r="D1121" s="19" t="str">
        <x:v>方法=FREQUENCY；K=32</x:v>
      </x:c>
      <x:c r="E1121" s="19" t="str">
        <x:v>回退</x:v>
      </x:c>
      <x:c r="F1121" s="19" t="str">
        <x:v>12.6705%</x:v>
      </x:c>
      <x:c r="G1121" s="19" t="str">
        <x:v>其他/配置</x:v>
      </x:c>
      <x:c r="H1121" s="19" t="str">
        <x:v>D:/Codex/GRL研究/outputs/grid20/GRID20_report.md</x:v>
      </x:c>
    </x:row>
    <x:row r="1122" ht="36" customHeight="1">
      <x:c r="A1122" s="19" t="str">
        <x:v>GRID20</x:v>
      </x:c>
      <x:c r="B1122" s="19" t="str">
        <x:v>GRID20_report.md</x:v>
      </x:c>
      <x:c r="C1122" s="19" t="str">
        <x:v>1. GRID20：GNN监督拓扑候选排序V0</x:v>
      </x:c>
      <x:c r="D1122" s="19" t="str">
        <x:v>方法=FREQUENCY；K=32</x:v>
      </x:c>
      <x:c r="E1122" s="19" t="str">
        <x:v>公共查询减少</x:v>
      </x:c>
      <x:c r="F1122" s="19" t="str">
        <x:v>84.9932%</x:v>
      </x:c>
      <x:c r="G1122" s="19" t="str">
        <x:v>速度/计算</x:v>
      </x:c>
      <x:c r="H1122" s="19" t="str">
        <x:v>D:/Codex/GRL研究/outputs/grid20/GRID20_report.md</x:v>
      </x:c>
    </x:row>
    <x:row r="1123" ht="36" customHeight="1">
      <x:c r="A1123" s="19" t="str">
        <x:v>GRID20</x:v>
      </x:c>
      <x:c r="B1123" s="19" t="str">
        <x:v>GRID20_report.md</x:v>
      </x:c>
      <x:c r="C1123" s="19" t="str">
        <x:v>1. GRID20：GNN监督拓扑候选排序V0</x:v>
      </x:c>
      <x:c r="D1123" s="19" t="str">
        <x:v>方法=FREQUENCY；K=32</x:v>
      </x:c>
      <x:c r="E1123" s="19" t="str">
        <x:v>交付ρ差</x:v>
      </x:c>
      <x:c r="F1123" s="19" t="str">
        <x:v>0.0124</x:v>
      </x:c>
      <x:c r="G1123" s="19" t="str">
        <x:v>质量/成本</x:v>
      </x:c>
      <x:c r="H1123" s="19" t="str">
        <x:v>D:/Codex/GRL研究/outputs/grid20/GRID20_report.md</x:v>
      </x:c>
    </x:row>
    <x:row r="1124" ht="36" customHeight="1">
      <x:c r="A1124" s="19" t="str">
        <x:v>GRID20</x:v>
      </x:c>
      <x:c r="B1124" s="19" t="str">
        <x:v>GRID20_report.md</x:v>
      </x:c>
      <x:c r="C1124" s="19" t="str">
        <x:v>1. GRID20：GNN监督拓扑候选排序V0</x:v>
      </x:c>
      <x:c r="D1124" s="19" t="str">
        <x:v>方法=FREQUENCY；K=128</x:v>
      </x:c>
      <x:c r="E1124" s="19" t="str">
        <x:v>K</x:v>
      </x:c>
      <x:c r="F1124" s="19" t="str">
        <x:v>128</x:v>
      </x:c>
      <x:c r="G1124" s="19" t="str">
        <x:v>其他/配置</x:v>
      </x:c>
      <x:c r="H1124" s="19" t="str">
        <x:v>D:/Codex/GRL研究/outputs/grid20/GRID20_report.md</x:v>
      </x:c>
    </x:row>
    <x:row r="1125" ht="36" customHeight="1">
      <x:c r="A1125" s="19" t="str">
        <x:v>GRID20</x:v>
      </x:c>
      <x:c r="B1125" s="19" t="str">
        <x:v>GRID20_report.md</x:v>
      </x:c>
      <x:c r="C1125" s="19" t="str">
        <x:v>1. GRID20：GNN监督拓扑候选排序V0</x:v>
      </x:c>
      <x:c r="D1125" s="19" t="str">
        <x:v>方法=FREQUENCY；K=128</x:v>
      </x:c>
      <x:c r="E1125" s="19" t="str">
        <x:v>近最佳保留</x:v>
      </x:c>
      <x:c r="F1125" s="19" t="str">
        <x:v>95.4545%</x:v>
      </x:c>
      <x:c r="G1125" s="19" t="str">
        <x:v>质量/成本</x:v>
      </x:c>
      <x:c r="H1125" s="19" t="str">
        <x:v>D:/Codex/GRL研究/outputs/grid20/GRID20_report.md</x:v>
      </x:c>
    </x:row>
    <x:row r="1126" ht="36" customHeight="1">
      <x:c r="A1126" s="19" t="str">
        <x:v>GRID20</x:v>
      </x:c>
      <x:c r="B1126" s="19" t="str">
        <x:v>GRID20_report.md</x:v>
      </x:c>
      <x:c r="C1126" s="19" t="str">
        <x:v>1. GRID20：GNN监督拓扑候选排序V0</x:v>
      </x:c>
      <x:c r="D1126" s="19" t="str">
        <x:v>方法=FREQUENCY；K=128</x:v>
      </x:c>
      <x:c r="E1126" s="19" t="str">
        <x:v>回退</x:v>
      </x:c>
      <x:c r="F1126" s="19" t="str">
        <x:v>8.1250%</x:v>
      </x:c>
      <x:c r="G1126" s="19" t="str">
        <x:v>其他/配置</x:v>
      </x:c>
      <x:c r="H1126" s="19" t="str">
        <x:v>D:/Codex/GRL研究/outputs/grid20/GRID20_report.md</x:v>
      </x:c>
    </x:row>
    <x:row r="1127" ht="36" customHeight="1">
      <x:c r="A1127" s="19" t="str">
        <x:v>GRID20</x:v>
      </x:c>
      <x:c r="B1127" s="19" t="str">
        <x:v>GRID20_report.md</x:v>
      </x:c>
      <x:c r="C1127" s="19" t="str">
        <x:v>1. GRID20：GNN监督拓扑候选排序V0</x:v>
      </x:c>
      <x:c r="D1127" s="19" t="str">
        <x:v>方法=FREQUENCY；K=128</x:v>
      </x:c>
      <x:c r="E1127" s="19" t="str">
        <x:v>公共查询减少</x:v>
      </x:c>
      <x:c r="F1127" s="19" t="str">
        <x:v>79.3916%</x:v>
      </x:c>
      <x:c r="G1127" s="19" t="str">
        <x:v>速度/计算</x:v>
      </x:c>
      <x:c r="H1127" s="19" t="str">
        <x:v>D:/Codex/GRL研究/outputs/grid20/GRID20_report.md</x:v>
      </x:c>
    </x:row>
    <x:row r="1128" ht="36" customHeight="1">
      <x:c r="A1128" s="19" t="str">
        <x:v>GRID20</x:v>
      </x:c>
      <x:c r="B1128" s="19" t="str">
        <x:v>GRID20_report.md</x:v>
      </x:c>
      <x:c r="C1128" s="19" t="str">
        <x:v>1. GRID20：GNN监督拓扑候选排序V0</x:v>
      </x:c>
      <x:c r="D1128" s="19" t="str">
        <x:v>方法=FREQUENCY；K=128</x:v>
      </x:c>
      <x:c r="E1128" s="19" t="str">
        <x:v>交付ρ差</x:v>
      </x:c>
      <x:c r="F1128" s="19" t="str">
        <x:v>0.0015</x:v>
      </x:c>
      <x:c r="G1128" s="19" t="str">
        <x:v>质量/成本</x:v>
      </x:c>
      <x:c r="H1128" s="19" t="str">
        <x:v>D:/Codex/GRL研究/outputs/grid20/GRID20_report.md</x:v>
      </x:c>
    </x:row>
    <x:row r="1129" ht="36" customHeight="1">
      <x:c r="A1129" s="19" t="str">
        <x:v>GRID20</x:v>
      </x:c>
      <x:c r="B1129" s="19" t="str">
        <x:v>GRID20_report.md</x:v>
      </x:c>
      <x:c r="C1129" s="19" t="str">
        <x:v>1. GRID20：GNN监督拓扑候选排序V0</x:v>
      </x:c>
      <x:c r="D1129" s="19" t="str">
        <x:v>方法=RIDGE；K=32</x:v>
      </x:c>
      <x:c r="E1129" s="19" t="str">
        <x:v>K</x:v>
      </x:c>
      <x:c r="F1129" s="19" t="str">
        <x:v>32</x:v>
      </x:c>
      <x:c r="G1129" s="19" t="str">
        <x:v>其他/配置</x:v>
      </x:c>
      <x:c r="H1129" s="19" t="str">
        <x:v>D:/Codex/GRL研究/outputs/grid20/GRID20_report.md</x:v>
      </x:c>
    </x:row>
    <x:row r="1130" ht="36" customHeight="1">
      <x:c r="A1130" s="19" t="str">
        <x:v>GRID20</x:v>
      </x:c>
      <x:c r="B1130" s="19" t="str">
        <x:v>GRID20_report.md</x:v>
      </x:c>
      <x:c r="C1130" s="19" t="str">
        <x:v>1. GRID20：GNN监督拓扑候选排序V0</x:v>
      </x:c>
      <x:c r="D1130" s="19" t="str">
        <x:v>方法=RIDGE；K=32</x:v>
      </x:c>
      <x:c r="E1130" s="19" t="str">
        <x:v>近最佳保留</x:v>
      </x:c>
      <x:c r="F1130" s="19" t="str">
        <x:v>69.3182%</x:v>
      </x:c>
      <x:c r="G1130" s="19" t="str">
        <x:v>质量/成本</x:v>
      </x:c>
      <x:c r="H1130" s="19" t="str">
        <x:v>D:/Codex/GRL研究/outputs/grid20/GRID20_report.md</x:v>
      </x:c>
    </x:row>
    <x:row r="1131" ht="36" customHeight="1">
      <x:c r="A1131" s="19" t="str">
        <x:v>GRID20</x:v>
      </x:c>
      <x:c r="B1131" s="19" t="str">
        <x:v>GRID20_report.md</x:v>
      </x:c>
      <x:c r="C1131" s="19" t="str">
        <x:v>1. GRID20：GNN监督拓扑候选排序V0</x:v>
      </x:c>
      <x:c r="D1131" s="19" t="str">
        <x:v>方法=RIDGE；K=32</x:v>
      </x:c>
      <x:c r="E1131" s="19" t="str">
        <x:v>回退</x:v>
      </x:c>
      <x:c r="F1131" s="19" t="str">
        <x:v>14.9432%</x:v>
      </x:c>
      <x:c r="G1131" s="19" t="str">
        <x:v>其他/配置</x:v>
      </x:c>
      <x:c r="H1131" s="19" t="str">
        <x:v>D:/Codex/GRL研究/outputs/grid20/GRID20_report.md</x:v>
      </x:c>
    </x:row>
    <x:row r="1132" ht="36" customHeight="1">
      <x:c r="A1132" s="19" t="str">
        <x:v>GRID20</x:v>
      </x:c>
      <x:c r="B1132" s="19" t="str">
        <x:v>GRID20_report.md</x:v>
      </x:c>
      <x:c r="C1132" s="19" t="str">
        <x:v>1. GRID20：GNN监督拓扑候选排序V0</x:v>
      </x:c>
      <x:c r="D1132" s="19" t="str">
        <x:v>方法=RIDGE；K=32</x:v>
      </x:c>
      <x:c r="E1132" s="19" t="str">
        <x:v>公共查询减少</x:v>
      </x:c>
      <x:c r="F1132" s="19" t="str">
        <x:v>82.8607%</x:v>
      </x:c>
      <x:c r="G1132" s="19" t="str">
        <x:v>速度/计算</x:v>
      </x:c>
      <x:c r="H1132" s="19" t="str">
        <x:v>D:/Codex/GRL研究/outputs/grid20/GRID20_report.md</x:v>
      </x:c>
    </x:row>
    <x:row r="1133" ht="36" customHeight="1">
      <x:c r="A1133" s="19" t="str">
        <x:v>GRID20</x:v>
      </x:c>
      <x:c r="B1133" s="19" t="str">
        <x:v>GRID20_report.md</x:v>
      </x:c>
      <x:c r="C1133" s="19" t="str">
        <x:v>1. GRID20：GNN监督拓扑候选排序V0</x:v>
      </x:c>
      <x:c r="D1133" s="19" t="str">
        <x:v>方法=RIDGE；K=32</x:v>
      </x:c>
      <x:c r="E1133" s="19" t="str">
        <x:v>交付ρ差</x:v>
      </x:c>
      <x:c r="F1133" s="19" t="str">
        <x:v>0.0105</x:v>
      </x:c>
      <x:c r="G1133" s="19" t="str">
        <x:v>质量/成本</x:v>
      </x:c>
      <x:c r="H1133" s="19" t="str">
        <x:v>D:/Codex/GRL研究/outputs/grid20/GRID20_report.md</x:v>
      </x:c>
    </x:row>
    <x:row r="1134" ht="36" customHeight="1">
      <x:c r="A1134" s="19" t="str">
        <x:v>GRID20</x:v>
      </x:c>
      <x:c r="B1134" s="19" t="str">
        <x:v>GRID20_report.md</x:v>
      </x:c>
      <x:c r="C1134" s="19" t="str">
        <x:v>1. GRID20：GNN监督拓扑候选排序V0</x:v>
      </x:c>
      <x:c r="D1134" s="19" t="str">
        <x:v>方法=RIDGE；K=128</x:v>
      </x:c>
      <x:c r="E1134" s="19" t="str">
        <x:v>K</x:v>
      </x:c>
      <x:c r="F1134" s="19" t="str">
        <x:v>128</x:v>
      </x:c>
      <x:c r="G1134" s="19" t="str">
        <x:v>其他/配置</x:v>
      </x:c>
      <x:c r="H1134" s="19" t="str">
        <x:v>D:/Codex/GRL研究/outputs/grid20/GRID20_report.md</x:v>
      </x:c>
    </x:row>
    <x:row r="1135" ht="36" customHeight="1">
      <x:c r="A1135" s="19" t="str">
        <x:v>GRID20</x:v>
      </x:c>
      <x:c r="B1135" s="19" t="str">
        <x:v>GRID20_report.md</x:v>
      </x:c>
      <x:c r="C1135" s="19" t="str">
        <x:v>1. GRID20：GNN监督拓扑候选排序V0</x:v>
      </x:c>
      <x:c r="D1135" s="19" t="str">
        <x:v>方法=RIDGE；K=128</x:v>
      </x:c>
      <x:c r="E1135" s="19" t="str">
        <x:v>近最佳保留</x:v>
      </x:c>
      <x:c r="F1135" s="19" t="str">
        <x:v>95.4545%</x:v>
      </x:c>
      <x:c r="G1135" s="19" t="str">
        <x:v>质量/成本</x:v>
      </x:c>
      <x:c r="H1135" s="19" t="str">
        <x:v>D:/Codex/GRL研究/outputs/grid20/GRID20_report.md</x:v>
      </x:c>
    </x:row>
    <x:row r="1136" ht="36" customHeight="1">
      <x:c r="A1136" s="19" t="str">
        <x:v>GRID20</x:v>
      </x:c>
      <x:c r="B1136" s="19" t="str">
        <x:v>GRID20_report.md</x:v>
      </x:c>
      <x:c r="C1136" s="19" t="str">
        <x:v>1. GRID20：GNN监督拓扑候选排序V0</x:v>
      </x:c>
      <x:c r="D1136" s="19" t="str">
        <x:v>方法=RIDGE；K=128</x:v>
      </x:c>
      <x:c r="E1136" s="19" t="str">
        <x:v>回退</x:v>
      </x:c>
      <x:c r="F1136" s="19" t="str">
        <x:v>8.1250%</x:v>
      </x:c>
      <x:c r="G1136" s="19" t="str">
        <x:v>其他/配置</x:v>
      </x:c>
      <x:c r="H1136" s="19" t="str">
        <x:v>D:/Codex/GRL研究/outputs/grid20/GRID20_report.md</x:v>
      </x:c>
    </x:row>
    <x:row r="1137" ht="36" customHeight="1">
      <x:c r="A1137" s="19" t="str">
        <x:v>GRID20</x:v>
      </x:c>
      <x:c r="B1137" s="19" t="str">
        <x:v>GRID20_report.md</x:v>
      </x:c>
      <x:c r="C1137" s="19" t="str">
        <x:v>1. GRID20：GNN监督拓扑候选排序V0</x:v>
      </x:c>
      <x:c r="D1137" s="19" t="str">
        <x:v>方法=RIDGE；K=128</x:v>
      </x:c>
      <x:c r="E1137" s="19" t="str">
        <x:v>公共查询减少</x:v>
      </x:c>
      <x:c r="F1137" s="19" t="str">
        <x:v>79.3916%</x:v>
      </x:c>
      <x:c r="G1137" s="19" t="str">
        <x:v>速度/计算</x:v>
      </x:c>
      <x:c r="H1137" s="19" t="str">
        <x:v>D:/Codex/GRL研究/outputs/grid20/GRID20_report.md</x:v>
      </x:c>
    </x:row>
    <x:row r="1138" ht="36" customHeight="1">
      <x:c r="A1138" s="19" t="str">
        <x:v>GRID20</x:v>
      </x:c>
      <x:c r="B1138" s="19" t="str">
        <x:v>GRID20_report.md</x:v>
      </x:c>
      <x:c r="C1138" s="19" t="str">
        <x:v>1. GRID20：GNN监督拓扑候选排序V0</x:v>
      </x:c>
      <x:c r="D1138" s="19" t="str">
        <x:v>方法=RIDGE；K=128</x:v>
      </x:c>
      <x:c r="E1138" s="19" t="str">
        <x:v>交付ρ差</x:v>
      </x:c>
      <x:c r="F1138" s="19" t="str">
        <x:v>0.0018</x:v>
      </x:c>
      <x:c r="G1138" s="19" t="str">
        <x:v>质量/成本</x:v>
      </x:c>
      <x:c r="H1138" s="19" t="str">
        <x:v>D:/Codex/GRL研究/outputs/grid20/GRID20_report.md</x:v>
      </x:c>
    </x:row>
    <x:row r="1139" ht="36" customHeight="1">
      <x:c r="A1139" s="19" t="str">
        <x:v>GRID20</x:v>
      </x:c>
      <x:c r="B1139" s="19" t="str">
        <x:v>GRID20_report.md</x:v>
      </x:c>
      <x:c r="C1139" s="19" t="str">
        <x:v>1. GRID20：GNN监督拓扑候选排序V0</x:v>
      </x:c>
      <x:c r="D1139" s="19" t="str">
        <x:v>方法=OLDNN；K=32</x:v>
      </x:c>
      <x:c r="E1139" s="19" t="str">
        <x:v>K</x:v>
      </x:c>
      <x:c r="F1139" s="19" t="str">
        <x:v>32</x:v>
      </x:c>
      <x:c r="G1139" s="19" t="str">
        <x:v>其他/配置</x:v>
      </x:c>
      <x:c r="H1139" s="19" t="str">
        <x:v>D:/Codex/GRL研究/outputs/grid20/GRID20_report.md</x:v>
      </x:c>
    </x:row>
    <x:row r="1140" ht="36" customHeight="1">
      <x:c r="A1140" s="19" t="str">
        <x:v>GRID20</x:v>
      </x:c>
      <x:c r="B1140" s="19" t="str">
        <x:v>GRID20_report.md</x:v>
      </x:c>
      <x:c r="C1140" s="19" t="str">
        <x:v>1. GRID20：GNN监督拓扑候选排序V0</x:v>
      </x:c>
      <x:c r="D1140" s="19" t="str">
        <x:v>方法=OLDNN；K=32</x:v>
      </x:c>
      <x:c r="E1140" s="19" t="str">
        <x:v>近最佳保留</x:v>
      </x:c>
      <x:c r="F1140" s="19" t="str">
        <x:v>90.5844%</x:v>
      </x:c>
      <x:c r="G1140" s="19" t="str">
        <x:v>质量/成本</x:v>
      </x:c>
      <x:c r="H1140" s="19" t="str">
        <x:v>D:/Codex/GRL研究/outputs/grid20/GRID20_report.md</x:v>
      </x:c>
    </x:row>
    <x:row r="1141" ht="36" customHeight="1">
      <x:c r="A1141" s="19" t="str">
        <x:v>GRID20</x:v>
      </x:c>
      <x:c r="B1141" s="19" t="str">
        <x:v>GRID20_report.md</x:v>
      </x:c>
      <x:c r="C1141" s="19" t="str">
        <x:v>1. GRID20：GNN监督拓扑候选排序V0</x:v>
      </x:c>
      <x:c r="D1141" s="19" t="str">
        <x:v>方法=OLDNN；K=32</x:v>
      </x:c>
      <x:c r="E1141" s="19" t="str">
        <x:v>回退</x:v>
      </x:c>
      <x:c r="F1141" s="19" t="str">
        <x:v>11.2500%</x:v>
      </x:c>
      <x:c r="G1141" s="19" t="str">
        <x:v>其他/配置</x:v>
      </x:c>
      <x:c r="H1141" s="19" t="str">
        <x:v>D:/Codex/GRL研究/outputs/grid20/GRID20_report.md</x:v>
      </x:c>
    </x:row>
    <x:row r="1142" ht="36" customHeight="1">
      <x:c r="A1142" s="19" t="str">
        <x:v>GRID20</x:v>
      </x:c>
      <x:c r="B1142" s="19" t="str">
        <x:v>GRID20_report.md</x:v>
      </x:c>
      <x:c r="C1142" s="19" t="str">
        <x:v>1. GRID20：GNN监督拓扑候选排序V0</x:v>
      </x:c>
      <x:c r="D1142" s="19" t="str">
        <x:v>方法=OLDNN；K=32</x:v>
      </x:c>
      <x:c r="E1142" s="19" t="str">
        <x:v>公共查询减少</x:v>
      </x:c>
      <x:c r="F1142" s="19" t="str">
        <x:v>86.4940%</x:v>
      </x:c>
      <x:c r="G1142" s="19" t="str">
        <x:v>速度/计算</x:v>
      </x:c>
      <x:c r="H1142" s="19" t="str">
        <x:v>D:/Codex/GRL研究/outputs/grid20/GRID20_report.md</x:v>
      </x:c>
    </x:row>
    <x:row r="1143" ht="36" customHeight="1">
      <x:c r="A1143" s="19" t="str">
        <x:v>GRID20</x:v>
      </x:c>
      <x:c r="B1143" s="19" t="str">
        <x:v>GRID20_report.md</x:v>
      </x:c>
      <x:c r="C1143" s="19" t="str">
        <x:v>1. GRID20：GNN监督拓扑候选排序V0</x:v>
      </x:c>
      <x:c r="D1143" s="19" t="str">
        <x:v>方法=OLDNN；K=32</x:v>
      </x:c>
      <x:c r="E1143" s="19" t="str">
        <x:v>交付ρ差</x:v>
      </x:c>
      <x:c r="F1143" s="19" t="str">
        <x:v>0.0024</x:v>
      </x:c>
      <x:c r="G1143" s="19" t="str">
        <x:v>质量/成本</x:v>
      </x:c>
      <x:c r="H1143" s="19" t="str">
        <x:v>D:/Codex/GRL研究/outputs/grid20/GRID20_report.md</x:v>
      </x:c>
    </x:row>
    <x:row r="1144" ht="36" customHeight="1">
      <x:c r="A1144" s="19" t="str">
        <x:v>GRID20</x:v>
      </x:c>
      <x:c r="B1144" s="19" t="str">
        <x:v>GRID20_report.md</x:v>
      </x:c>
      <x:c r="C1144" s="19" t="str">
        <x:v>1. GRID20：GNN监督拓扑候选排序V0</x:v>
      </x:c>
      <x:c r="D1144" s="19" t="str">
        <x:v>方法=OLDNN；K=128</x:v>
      </x:c>
      <x:c r="E1144" s="19" t="str">
        <x:v>K</x:v>
      </x:c>
      <x:c r="F1144" s="19" t="str">
        <x:v>128</x:v>
      </x:c>
      <x:c r="G1144" s="19" t="str">
        <x:v>其他/配置</x:v>
      </x:c>
      <x:c r="H1144" s="19" t="str">
        <x:v>D:/Codex/GRL研究/outputs/grid20/GRID20_report.md</x:v>
      </x:c>
    </x:row>
    <x:row r="1145" ht="36" customHeight="1">
      <x:c r="A1145" s="19" t="str">
        <x:v>GRID20</x:v>
      </x:c>
      <x:c r="B1145" s="19" t="str">
        <x:v>GRID20_report.md</x:v>
      </x:c>
      <x:c r="C1145" s="19" t="str">
        <x:v>1. GRID20：GNN监督拓扑候选排序V0</x:v>
      </x:c>
      <x:c r="D1145" s="19" t="str">
        <x:v>方法=OLDNN；K=128</x:v>
      </x:c>
      <x:c r="E1145" s="19" t="str">
        <x:v>近最佳保留</x:v>
      </x:c>
      <x:c r="F1145" s="19" t="str">
        <x:v>92.8571%</x:v>
      </x:c>
      <x:c r="G1145" s="19" t="str">
        <x:v>质量/成本</x:v>
      </x:c>
      <x:c r="H1145" s="19" t="str">
        <x:v>D:/Codex/GRL研究/outputs/grid20/GRID20_report.md</x:v>
      </x:c>
    </x:row>
    <x:row r="1146" ht="36" customHeight="1">
      <x:c r="A1146" s="19" t="str">
        <x:v>GRID20</x:v>
      </x:c>
      <x:c r="B1146" s="19" t="str">
        <x:v>GRID20_report.md</x:v>
      </x:c>
      <x:c r="C1146" s="19" t="str">
        <x:v>1. GRID20：GNN监督拓扑候选排序V0</x:v>
      </x:c>
      <x:c r="D1146" s="19" t="str">
        <x:v>方法=OLDNN；K=128</x:v>
      </x:c>
      <x:c r="E1146" s="19" t="str">
        <x:v>回退</x:v>
      </x:c>
      <x:c r="F1146" s="19" t="str">
        <x:v>11.2500%</x:v>
      </x:c>
      <x:c r="G1146" s="19" t="str">
        <x:v>其他/配置</x:v>
      </x:c>
      <x:c r="H1146" s="19" t="str">
        <x:v>D:/Codex/GRL研究/outputs/grid20/GRID20_report.md</x:v>
      </x:c>
    </x:row>
    <x:row r="1147" ht="36" customHeight="1">
      <x:c r="A1147" s="19" t="str">
        <x:v>GRID20</x:v>
      </x:c>
      <x:c r="B1147" s="19" t="str">
        <x:v>GRID20_report.md</x:v>
      </x:c>
      <x:c r="C1147" s="19" t="str">
        <x:v>1. GRID20：GNN监督拓扑候选排序V0</x:v>
      </x:c>
      <x:c r="D1147" s="19" t="str">
        <x:v>方法=OLDNN；K=128</x:v>
      </x:c>
      <x:c r="E1147" s="19" t="str">
        <x:v>公共查询减少</x:v>
      </x:c>
      <x:c r="F1147" s="19" t="str">
        <x:v>76.6972%</x:v>
      </x:c>
      <x:c r="G1147" s="19" t="str">
        <x:v>速度/计算</x:v>
      </x:c>
      <x:c r="H1147" s="19" t="str">
        <x:v>D:/Codex/GRL研究/outputs/grid20/GRID20_report.md</x:v>
      </x:c>
    </x:row>
    <x:row r="1148" ht="36" customHeight="1">
      <x:c r="A1148" s="19" t="str">
        <x:v>GRID20</x:v>
      </x:c>
      <x:c r="B1148" s="19" t="str">
        <x:v>GRID20_report.md</x:v>
      </x:c>
      <x:c r="C1148" s="19" t="str">
        <x:v>1. GRID20：GNN监督拓扑候选排序V0</x:v>
      </x:c>
      <x:c r="D1148" s="19" t="str">
        <x:v>方法=OLDNN；K=128</x:v>
      </x:c>
      <x:c r="E1148" s="19" t="str">
        <x:v>交付ρ差</x:v>
      </x:c>
      <x:c r="F1148" s="19" t="str">
        <x:v>0.0018</x:v>
      </x:c>
      <x:c r="G1148" s="19" t="str">
        <x:v>质量/成本</x:v>
      </x:c>
      <x:c r="H1148" s="19" t="str">
        <x:v>D:/Codex/GRL研究/outputs/grid20/GRID20_report.md</x:v>
      </x:c>
    </x:row>
    <x:row r="1149" ht="36" customHeight="1">
      <x:c r="A1149" s="19" t="str">
        <x:v>GRID20</x:v>
      </x:c>
      <x:c r="B1149" s="19" t="str">
        <x:v>GRID20_report.md</x:v>
      </x:c>
      <x:c r="C1149" s="19" t="str">
        <x:v>1. GRID20：GNN监督拓扑候选排序V0</x:v>
      </x:c>
      <x:c r="D1149" s="19" t="str">
        <x:v>方法=LOCAL；K=32</x:v>
      </x:c>
      <x:c r="E1149" s="19" t="str">
        <x:v>K</x:v>
      </x:c>
      <x:c r="F1149" s="19" t="str">
        <x:v>32</x:v>
      </x:c>
      <x:c r="G1149" s="19" t="str">
        <x:v>其他/配置</x:v>
      </x:c>
      <x:c r="H1149" s="19" t="str">
        <x:v>D:/Codex/GRL研究/outputs/grid20/GRID20_report.md</x:v>
      </x:c>
    </x:row>
    <x:row r="1150" ht="36" customHeight="1">
      <x:c r="A1150" s="19" t="str">
        <x:v>GRID20</x:v>
      </x:c>
      <x:c r="B1150" s="19" t="str">
        <x:v>GRID20_report.md</x:v>
      </x:c>
      <x:c r="C1150" s="19" t="str">
        <x:v>1. GRID20：GNN监督拓扑候选排序V0</x:v>
      </x:c>
      <x:c r="D1150" s="19" t="str">
        <x:v>方法=LOCAL；K=32</x:v>
      </x:c>
      <x:c r="E1150" s="19" t="str">
        <x:v>近最佳保留</x:v>
      </x:c>
      <x:c r="F1150" s="19" t="str">
        <x:v>56.0877%</x:v>
      </x:c>
      <x:c r="G1150" s="19" t="str">
        <x:v>质量/成本</x:v>
      </x:c>
      <x:c r="H1150" s="19" t="str">
        <x:v>D:/Codex/GRL研究/outputs/grid20/GRID20_report.md</x:v>
      </x:c>
    </x:row>
    <x:row r="1151" ht="36" customHeight="1">
      <x:c r="A1151" s="19" t="str">
        <x:v>GRID20</x:v>
      </x:c>
      <x:c r="B1151" s="19" t="str">
        <x:v>GRID20_report.md</x:v>
      </x:c>
      <x:c r="C1151" s="19" t="str">
        <x:v>1. GRID20：GNN监督拓扑候选排序V0</x:v>
      </x:c>
      <x:c r="D1151" s="19" t="str">
        <x:v>方法=LOCAL；K=32</x:v>
      </x:c>
      <x:c r="E1151" s="19" t="str">
        <x:v>回退</x:v>
      </x:c>
      <x:c r="F1151" s="19" t="str">
        <x:v>8.1250%</x:v>
      </x:c>
      <x:c r="G1151" s="19" t="str">
        <x:v>其他/配置</x:v>
      </x:c>
      <x:c r="H1151" s="19" t="str">
        <x:v>D:/Codex/GRL研究/outputs/grid20/GRID20_report.md</x:v>
      </x:c>
    </x:row>
    <x:row r="1152" ht="36" customHeight="1">
      <x:c r="A1152" s="19" t="str">
        <x:v>GRID20</x:v>
      </x:c>
      <x:c r="B1152" s="19" t="str">
        <x:v>GRID20_report.md</x:v>
      </x:c>
      <x:c r="C1152" s="19" t="str">
        <x:v>1. GRID20：GNN监督拓扑候选排序V0</x:v>
      </x:c>
      <x:c r="D1152" s="19" t="str">
        <x:v>方法=LOCAL；K=32</x:v>
      </x:c>
      <x:c r="E1152" s="19" t="str">
        <x:v>公共查询减少</x:v>
      </x:c>
      <x:c r="F1152" s="19" t="str">
        <x:v>89.5218%</x:v>
      </x:c>
      <x:c r="G1152" s="19" t="str">
        <x:v>速度/计算</x:v>
      </x:c>
      <x:c r="H1152" s="19" t="str">
        <x:v>D:/Codex/GRL研究/outputs/grid20/GRID20_report.md</x:v>
      </x:c>
    </x:row>
    <x:row r="1153" ht="36" customHeight="1">
      <x:c r="A1153" s="19" t="str">
        <x:v>GRID20</x:v>
      </x:c>
      <x:c r="B1153" s="19" t="str">
        <x:v>GRID20_report.md</x:v>
      </x:c>
      <x:c r="C1153" s="19" t="str">
        <x:v>1. GRID20：GNN监督拓扑候选排序V0</x:v>
      </x:c>
      <x:c r="D1153" s="19" t="str">
        <x:v>方法=LOCAL；K=32</x:v>
      </x:c>
      <x:c r="E1153" s="19" t="str">
        <x:v>交付ρ差</x:v>
      </x:c>
      <x:c r="F1153" s="19" t="str">
        <x:v>0.0131</x:v>
      </x:c>
      <x:c r="G1153" s="19" t="str">
        <x:v>质量/成本</x:v>
      </x:c>
      <x:c r="H1153" s="19" t="str">
        <x:v>D:/Codex/GRL研究/outputs/grid20/GRID20_report.md</x:v>
      </x:c>
    </x:row>
    <x:row r="1154" ht="36" customHeight="1">
      <x:c r="A1154" s="19" t="str">
        <x:v>GRID20</x:v>
      </x:c>
      <x:c r="B1154" s="19" t="str">
        <x:v>GRID20_report.md</x:v>
      </x:c>
      <x:c r="C1154" s="19" t="str">
        <x:v>1. GRID20：GNN监督拓扑候选排序V0</x:v>
      </x:c>
      <x:c r="D1154" s="19" t="str">
        <x:v>方法=LOCAL；K=128</x:v>
      </x:c>
      <x:c r="E1154" s="19" t="str">
        <x:v>K</x:v>
      </x:c>
      <x:c r="F1154" s="19" t="str">
        <x:v>128</x:v>
      </x:c>
      <x:c r="G1154" s="19" t="str">
        <x:v>其他/配置</x:v>
      </x:c>
      <x:c r="H1154" s="19" t="str">
        <x:v>D:/Codex/GRL研究/outputs/grid20/GRID20_report.md</x:v>
      </x:c>
    </x:row>
    <x:row r="1155" ht="36" customHeight="1">
      <x:c r="A1155" s="19" t="str">
        <x:v>GRID20</x:v>
      </x:c>
      <x:c r="B1155" s="19" t="str">
        <x:v>GRID20_report.md</x:v>
      </x:c>
      <x:c r="C1155" s="19" t="str">
        <x:v>1. GRID20：GNN监督拓扑候选排序V0</x:v>
      </x:c>
      <x:c r="D1155" s="19" t="str">
        <x:v>方法=LOCAL；K=128</x:v>
      </x:c>
      <x:c r="E1155" s="19" t="str">
        <x:v>近最佳保留</x:v>
      </x:c>
      <x:c r="F1155" s="19" t="str">
        <x:v>78.9773%</x:v>
      </x:c>
      <x:c r="G1155" s="19" t="str">
        <x:v>质量/成本</x:v>
      </x:c>
      <x:c r="H1155" s="19" t="str">
        <x:v>D:/Codex/GRL研究/outputs/grid20/GRID20_report.md</x:v>
      </x:c>
    </x:row>
    <x:row r="1156" ht="36" customHeight="1">
      <x:c r="A1156" s="19" t="str">
        <x:v>GRID20</x:v>
      </x:c>
      <x:c r="B1156" s="19" t="str">
        <x:v>GRID20_report.md</x:v>
      </x:c>
      <x:c r="C1156" s="19" t="str">
        <x:v>1. GRID20：GNN监督拓扑候选排序V0</x:v>
      </x:c>
      <x:c r="D1156" s="19" t="str">
        <x:v>方法=LOCAL；K=128</x:v>
      </x:c>
      <x:c r="E1156" s="19" t="str">
        <x:v>回退</x:v>
      </x:c>
      <x:c r="F1156" s="19" t="str">
        <x:v>8.1250%</x:v>
      </x:c>
      <x:c r="G1156" s="19" t="str">
        <x:v>其他/配置</x:v>
      </x:c>
      <x:c r="H1156" s="19" t="str">
        <x:v>D:/Codex/GRL研究/outputs/grid20/GRID20_report.md</x:v>
      </x:c>
    </x:row>
    <x:row r="1157" ht="36" customHeight="1">
      <x:c r="A1157" s="19" t="str">
        <x:v>GRID20</x:v>
      </x:c>
      <x:c r="B1157" s="19" t="str">
        <x:v>GRID20_report.md</x:v>
      </x:c>
      <x:c r="C1157" s="19" t="str">
        <x:v>1. GRID20：GNN监督拓扑候选排序V0</x:v>
      </x:c>
      <x:c r="D1157" s="19" t="str">
        <x:v>方法=LOCAL；K=128</x:v>
      </x:c>
      <x:c r="E1157" s="19" t="str">
        <x:v>公共查询减少</x:v>
      </x:c>
      <x:c r="F1157" s="19" t="str">
        <x:v>79.3916%</x:v>
      </x:c>
      <x:c r="G1157" s="19" t="str">
        <x:v>速度/计算</x:v>
      </x:c>
      <x:c r="H1157" s="19" t="str">
        <x:v>D:/Codex/GRL研究/outputs/grid20/GRID20_report.md</x:v>
      </x:c>
    </x:row>
    <x:row r="1158" ht="36" customHeight="1">
      <x:c r="A1158" s="19" t="str">
        <x:v>GRID20</x:v>
      </x:c>
      <x:c r="B1158" s="19" t="str">
        <x:v>GRID20_report.md</x:v>
      </x:c>
      <x:c r="C1158" s="19" t="str">
        <x:v>1. GRID20：GNN监督拓扑候选排序V0</x:v>
      </x:c>
      <x:c r="D1158" s="19" t="str">
        <x:v>方法=LOCAL；K=128</x:v>
      </x:c>
      <x:c r="E1158" s="19" t="str">
        <x:v>交付ρ差</x:v>
      </x:c>
      <x:c r="F1158" s="19" t="str">
        <x:v>0.0054</x:v>
      </x:c>
      <x:c r="G1158" s="19" t="str">
        <x:v>质量/成本</x:v>
      </x:c>
      <x:c r="H1158" s="19" t="str">
        <x:v>D:/Codex/GRL研究/outputs/grid20/GRID20_report.md</x:v>
      </x:c>
    </x:row>
    <x:row r="1159" ht="36" customHeight="1">
      <x:c r="A1159" s="19" t="str">
        <x:v>GRID20</x:v>
      </x:c>
      <x:c r="B1159" s="19" t="str">
        <x:v>GRID20_report.md</x:v>
      </x:c>
      <x:c r="C1159" s="19" t="str">
        <x:v>1. GRID20：GNN监督拓扑候选排序V0</x:v>
      </x:c>
      <x:c r="D1159" s="19" t="str">
        <x:v>方法=PREFIX；K=32</x:v>
      </x:c>
      <x:c r="E1159" s="19" t="str">
        <x:v>K</x:v>
      </x:c>
      <x:c r="F1159" s="19" t="str">
        <x:v>32</x:v>
      </x:c>
      <x:c r="G1159" s="19" t="str">
        <x:v>其他/配置</x:v>
      </x:c>
      <x:c r="H1159" s="19" t="str">
        <x:v>D:/Codex/GRL研究/outputs/grid20/GRID20_report.md</x:v>
      </x:c>
    </x:row>
    <x:row r="1160" ht="36" customHeight="1">
      <x:c r="A1160" s="19" t="str">
        <x:v>GRID20</x:v>
      </x:c>
      <x:c r="B1160" s="19" t="str">
        <x:v>GRID20_report.md</x:v>
      </x:c>
      <x:c r="C1160" s="19" t="str">
        <x:v>1. GRID20：GNN监督拓扑候选排序V0</x:v>
      </x:c>
      <x:c r="D1160" s="19" t="str">
        <x:v>方法=PREFIX；K=32</x:v>
      </x:c>
      <x:c r="E1160" s="19" t="str">
        <x:v>近最佳保留</x:v>
      </x:c>
      <x:c r="F1160" s="19" t="str">
        <x:v>76.1364%</x:v>
      </x:c>
      <x:c r="G1160" s="19" t="str">
        <x:v>质量/成本</x:v>
      </x:c>
      <x:c r="H1160" s="19" t="str">
        <x:v>D:/Codex/GRL研究/outputs/grid20/GRID20_report.md</x:v>
      </x:c>
    </x:row>
    <x:row r="1161" ht="36" customHeight="1">
      <x:c r="A1161" s="19" t="str">
        <x:v>GRID20</x:v>
      </x:c>
      <x:c r="B1161" s="19" t="str">
        <x:v>GRID20_report.md</x:v>
      </x:c>
      <x:c r="C1161" s="19" t="str">
        <x:v>1. GRID20：GNN监督拓扑候选排序V0</x:v>
      </x:c>
      <x:c r="D1161" s="19" t="str">
        <x:v>方法=PREFIX；K=32</x:v>
      </x:c>
      <x:c r="E1161" s="19" t="str">
        <x:v>回退</x:v>
      </x:c>
      <x:c r="F1161" s="19" t="str">
        <x:v>10.3977%</x:v>
      </x:c>
      <x:c r="G1161" s="19" t="str">
        <x:v>其他/配置</x:v>
      </x:c>
      <x:c r="H1161" s="19" t="str">
        <x:v>D:/Codex/GRL研究/outputs/grid20/GRID20_report.md</x:v>
      </x:c>
    </x:row>
    <x:row r="1162" ht="36" customHeight="1">
      <x:c r="A1162" s="19" t="str">
        <x:v>GRID20</x:v>
      </x:c>
      <x:c r="B1162" s="19" t="str">
        <x:v>GRID20_report.md</x:v>
      </x:c>
      <x:c r="C1162" s="19" t="str">
        <x:v>1. GRID20：GNN监督拓扑候选排序V0</x:v>
      </x:c>
      <x:c r="D1162" s="19" t="str">
        <x:v>方法=PREFIX；K=32</x:v>
      </x:c>
      <x:c r="E1162" s="19" t="str">
        <x:v>公共查询减少</x:v>
      </x:c>
      <x:c r="F1162" s="19" t="str">
        <x:v>87.2327%</x:v>
      </x:c>
      <x:c r="G1162" s="19" t="str">
        <x:v>速度/计算</x:v>
      </x:c>
      <x:c r="H1162" s="19" t="str">
        <x:v>D:/Codex/GRL研究/outputs/grid20/GRID20_report.md</x:v>
      </x:c>
    </x:row>
    <x:row r="1163" ht="36" customHeight="1">
      <x:c r="A1163" s="19" t="str">
        <x:v>GRID20</x:v>
      </x:c>
      <x:c r="B1163" s="19" t="str">
        <x:v>GRID20_report.md</x:v>
      </x:c>
      <x:c r="C1163" s="19" t="str">
        <x:v>1. GRID20：GNN监督拓扑候选排序V0</x:v>
      </x:c>
      <x:c r="D1163" s="19" t="str">
        <x:v>方法=PREFIX；K=32</x:v>
      </x:c>
      <x:c r="E1163" s="19" t="str">
        <x:v>交付ρ差</x:v>
      </x:c>
      <x:c r="F1163" s="19" t="str">
        <x:v>0.0066</x:v>
      </x:c>
      <x:c r="G1163" s="19" t="str">
        <x:v>质量/成本</x:v>
      </x:c>
      <x:c r="H1163" s="19" t="str">
        <x:v>D:/Codex/GRL研究/outputs/grid20/GRID20_report.md</x:v>
      </x:c>
    </x:row>
    <x:row r="1164" ht="36" customHeight="1">
      <x:c r="A1164" s="19" t="str">
        <x:v>GRID20</x:v>
      </x:c>
      <x:c r="B1164" s="19" t="str">
        <x:v>GRID20_report.md</x:v>
      </x:c>
      <x:c r="C1164" s="19" t="str">
        <x:v>1. GRID20：GNN监督拓扑候选排序V0</x:v>
      </x:c>
      <x:c r="D1164" s="19" t="str">
        <x:v>方法=PREFIX；K=128</x:v>
      </x:c>
      <x:c r="E1164" s="19" t="str">
        <x:v>K</x:v>
      </x:c>
      <x:c r="F1164" s="19" t="str">
        <x:v>128</x:v>
      </x:c>
      <x:c r="G1164" s="19" t="str">
        <x:v>其他/配置</x:v>
      </x:c>
      <x:c r="H1164" s="19" t="str">
        <x:v>D:/Codex/GRL研究/outputs/grid20/GRID20_report.md</x:v>
      </x:c>
    </x:row>
    <x:row r="1165" ht="36" customHeight="1">
      <x:c r="A1165" s="19" t="str">
        <x:v>GRID20</x:v>
      </x:c>
      <x:c r="B1165" s="19" t="str">
        <x:v>GRID20_report.md</x:v>
      </x:c>
      <x:c r="C1165" s="19" t="str">
        <x:v>1. GRID20：GNN监督拓扑候选排序V0</x:v>
      </x:c>
      <x:c r="D1165" s="19" t="str">
        <x:v>方法=PREFIX；K=128</x:v>
      </x:c>
      <x:c r="E1165" s="19" t="str">
        <x:v>近最佳保留</x:v>
      </x:c>
      <x:c r="F1165" s="19" t="str">
        <x:v>93.1818%</x:v>
      </x:c>
      <x:c r="G1165" s="19" t="str">
        <x:v>质量/成本</x:v>
      </x:c>
      <x:c r="H1165" s="19" t="str">
        <x:v>D:/Codex/GRL研究/outputs/grid20/GRID20_report.md</x:v>
      </x:c>
    </x:row>
    <x:row r="1166" ht="36" customHeight="1">
      <x:c r="A1166" s="19" t="str">
        <x:v>GRID20</x:v>
      </x:c>
      <x:c r="B1166" s="19" t="str">
        <x:v>GRID20_report.md</x:v>
      </x:c>
      <x:c r="C1166" s="19" t="str">
        <x:v>1. GRID20：GNN监督拓扑候选排序V0</x:v>
      </x:c>
      <x:c r="D1166" s="19" t="str">
        <x:v>方法=PREFIX；K=128</x:v>
      </x:c>
      <x:c r="E1166" s="19" t="str">
        <x:v>回退</x:v>
      </x:c>
      <x:c r="F1166" s="19" t="str">
        <x:v>8.1250%</x:v>
      </x:c>
      <x:c r="G1166" s="19" t="str">
        <x:v>其他/配置</x:v>
      </x:c>
      <x:c r="H1166" s="19" t="str">
        <x:v>D:/Codex/GRL研究/outputs/grid20/GRID20_report.md</x:v>
      </x:c>
    </x:row>
    <x:row r="1167" ht="36" customHeight="1">
      <x:c r="A1167" s="19" t="str">
        <x:v>GRID20</x:v>
      </x:c>
      <x:c r="B1167" s="19" t="str">
        <x:v>GRID20_report.md</x:v>
      </x:c>
      <x:c r="C1167" s="19" t="str">
        <x:v>1. GRID20：GNN监督拓扑候选排序V0</x:v>
      </x:c>
      <x:c r="D1167" s="19" t="str">
        <x:v>方法=PREFIX；K=128</x:v>
      </x:c>
      <x:c r="E1167" s="19" t="str">
        <x:v>公共查询减少</x:v>
      </x:c>
      <x:c r="F1167" s="19" t="str">
        <x:v>79.3916%</x:v>
      </x:c>
      <x:c r="G1167" s="19" t="str">
        <x:v>速度/计算</x:v>
      </x:c>
      <x:c r="H1167" s="19" t="str">
        <x:v>D:/Codex/GRL研究/outputs/grid20/GRID20_report.md</x:v>
      </x:c>
    </x:row>
    <x:row r="1168" ht="36" customHeight="1">
      <x:c r="A1168" s="19" t="str">
        <x:v>GRID20</x:v>
      </x:c>
      <x:c r="B1168" s="19" t="str">
        <x:v>GRID20_report.md</x:v>
      </x:c>
      <x:c r="C1168" s="19" t="str">
        <x:v>1. GRID20：GNN监督拓扑候选排序V0</x:v>
      </x:c>
      <x:c r="D1168" s="19" t="str">
        <x:v>方法=PREFIX；K=128</x:v>
      </x:c>
      <x:c r="E1168" s="19" t="str">
        <x:v>交付ρ差</x:v>
      </x:c>
      <x:c r="F1168" s="19" t="str">
        <x:v>0.0025</x:v>
      </x:c>
      <x:c r="G1168" s="19" t="str">
        <x:v>质量/成本</x:v>
      </x:c>
      <x:c r="H1168" s="19" t="str">
        <x:v>D:/Codex/GRL研究/outputs/grid20/GRID20_report.md</x:v>
      </x:c>
    </x:row>
    <x:row r="1169" ht="36" customHeight="1">
      <x:c r="A1169" s="19" t="str">
        <x:v>GRID20</x:v>
      </x:c>
      <x:c r="B1169" s="19" t="str">
        <x:v>GRID20_report.md</x:v>
      </x:c>
      <x:c r="C1169" s="19" t="str">
        <x:v>1. GRID20：GNN监督拓扑候选排序V0</x:v>
      </x:c>
      <x:c r="D1169" s="19" t="str">
        <x:v>方法=RANDOM；K=32</x:v>
      </x:c>
      <x:c r="E1169" s="19" t="str">
        <x:v>K</x:v>
      </x:c>
      <x:c r="F1169" s="19" t="str">
        <x:v>32</x:v>
      </x:c>
      <x:c r="G1169" s="19" t="str">
        <x:v>其他/配置</x:v>
      </x:c>
      <x:c r="H1169" s="19" t="str">
        <x:v>D:/Codex/GRL研究/outputs/grid20/GRID20_report.md</x:v>
      </x:c>
    </x:row>
    <x:row r="1170" ht="36" customHeight="1">
      <x:c r="A1170" s="19" t="str">
        <x:v>GRID20</x:v>
      </x:c>
      <x:c r="B1170" s="19" t="str">
        <x:v>GRID20_report.md</x:v>
      </x:c>
      <x:c r="C1170" s="19" t="str">
        <x:v>1. GRID20：GNN监督拓扑候选排序V0</x:v>
      </x:c>
      <x:c r="D1170" s="19" t="str">
        <x:v>方法=RANDOM；K=32</x:v>
      </x:c>
      <x:c r="E1170" s="19" t="str">
        <x:v>近最佳保留</x:v>
      </x:c>
      <x:c r="F1170" s="19" t="str">
        <x:v>47.4026%</x:v>
      </x:c>
      <x:c r="G1170" s="19" t="str">
        <x:v>质量/成本</x:v>
      </x:c>
      <x:c r="H1170" s="19" t="str">
        <x:v>D:/Codex/GRL研究/outputs/grid20/GRID20_report.md</x:v>
      </x:c>
    </x:row>
    <x:row r="1171" ht="36" customHeight="1">
      <x:c r="A1171" s="19" t="str">
        <x:v>GRID20</x:v>
      </x:c>
      <x:c r="B1171" s="19" t="str">
        <x:v>GRID20_report.md</x:v>
      </x:c>
      <x:c r="C1171" s="19" t="str">
        <x:v>1. GRID20：GNN监督拓扑候选排序V0</x:v>
      </x:c>
      <x:c r="D1171" s="19" t="str">
        <x:v>方法=RANDOM；K=32</x:v>
      </x:c>
      <x:c r="E1171" s="19" t="str">
        <x:v>回退</x:v>
      </x:c>
      <x:c r="F1171" s="19" t="str">
        <x:v>10.3977%</x:v>
      </x:c>
      <x:c r="G1171" s="19" t="str">
        <x:v>其他/配置</x:v>
      </x:c>
      <x:c r="H1171" s="19" t="str">
        <x:v>D:/Codex/GRL研究/outputs/grid20/GRID20_report.md</x:v>
      </x:c>
    </x:row>
    <x:row r="1172" ht="36" customHeight="1">
      <x:c r="A1172" s="19" t="str">
        <x:v>GRID20</x:v>
      </x:c>
      <x:c r="B1172" s="19" t="str">
        <x:v>GRID20_report.md</x:v>
      </x:c>
      <x:c r="C1172" s="19" t="str">
        <x:v>1. GRID20：GNN监督拓扑候选排序V0</x:v>
      </x:c>
      <x:c r="D1172" s="19" t="str">
        <x:v>方法=RANDOM；K=32</x:v>
      </x:c>
      <x:c r="E1172" s="19" t="str">
        <x:v>公共查询减少</x:v>
      </x:c>
      <x:c r="F1172" s="19" t="str">
        <x:v>87.2327%</x:v>
      </x:c>
      <x:c r="G1172" s="19" t="str">
        <x:v>速度/计算</x:v>
      </x:c>
      <x:c r="H1172" s="19" t="str">
        <x:v>D:/Codex/GRL研究/outputs/grid20/GRID20_report.md</x:v>
      </x:c>
    </x:row>
    <x:row r="1173" ht="36" customHeight="1">
      <x:c r="A1173" s="19" t="str">
        <x:v>GRID20</x:v>
      </x:c>
      <x:c r="B1173" s="19" t="str">
        <x:v>GRID20_report.md</x:v>
      </x:c>
      <x:c r="C1173" s="19" t="str">
        <x:v>1. GRID20：GNN监督拓扑候选排序V0</x:v>
      </x:c>
      <x:c r="D1173" s="19" t="str">
        <x:v>方法=RANDOM；K=32</x:v>
      </x:c>
      <x:c r="E1173" s="19" t="str">
        <x:v>交付ρ差</x:v>
      </x:c>
      <x:c r="F1173" s="19" t="str">
        <x:v>0.0235</x:v>
      </x:c>
      <x:c r="G1173" s="19" t="str">
        <x:v>质量/成本</x:v>
      </x:c>
      <x:c r="H1173" s="19" t="str">
        <x:v>D:/Codex/GRL研究/outputs/grid20/GRID20_report.md</x:v>
      </x:c>
    </x:row>
    <x:row r="1174" ht="36" customHeight="1">
      <x:c r="A1174" s="19" t="str">
        <x:v>GRID20</x:v>
      </x:c>
      <x:c r="B1174" s="19" t="str">
        <x:v>GRID20_report.md</x:v>
      </x:c>
      <x:c r="C1174" s="19" t="str">
        <x:v>1. GRID20：GNN监督拓扑候选排序V0</x:v>
      </x:c>
      <x:c r="D1174" s="19" t="str">
        <x:v>方法=RANDOM；K=128</x:v>
      </x:c>
      <x:c r="E1174" s="19" t="str">
        <x:v>K</x:v>
      </x:c>
      <x:c r="F1174" s="19" t="str">
        <x:v>128</x:v>
      </x:c>
      <x:c r="G1174" s="19" t="str">
        <x:v>其他/配置</x:v>
      </x:c>
      <x:c r="H1174" s="19" t="str">
        <x:v>D:/Codex/GRL研究/outputs/grid20/GRID20_report.md</x:v>
      </x:c>
    </x:row>
    <x:row r="1175" ht="36" customHeight="1">
      <x:c r="A1175" s="19" t="str">
        <x:v>GRID20</x:v>
      </x:c>
      <x:c r="B1175" s="19" t="str">
        <x:v>GRID20_report.md</x:v>
      </x:c>
      <x:c r="C1175" s="19" t="str">
        <x:v>1. GRID20：GNN监督拓扑候选排序V0</x:v>
      </x:c>
      <x:c r="D1175" s="19" t="str">
        <x:v>方法=RANDOM；K=128</x:v>
      </x:c>
      <x:c r="E1175" s="19" t="str">
        <x:v>近最佳保留</x:v>
      </x:c>
      <x:c r="F1175" s="19" t="str">
        <x:v>61.0390%</x:v>
      </x:c>
      <x:c r="G1175" s="19" t="str">
        <x:v>质量/成本</x:v>
      </x:c>
      <x:c r="H1175" s="19" t="str">
        <x:v>D:/Codex/GRL研究/outputs/grid20/GRID20_report.md</x:v>
      </x:c>
    </x:row>
    <x:row r="1176" ht="36" customHeight="1">
      <x:c r="A1176" s="19" t="str">
        <x:v>GRID20</x:v>
      </x:c>
      <x:c r="B1176" s="19" t="str">
        <x:v>GRID20_report.md</x:v>
      </x:c>
      <x:c r="C1176" s="19" t="str">
        <x:v>1. GRID20：GNN监督拓扑候选排序V0</x:v>
      </x:c>
      <x:c r="D1176" s="19" t="str">
        <x:v>方法=RANDOM；K=128</x:v>
      </x:c>
      <x:c r="E1176" s="19" t="str">
        <x:v>回退</x:v>
      </x:c>
      <x:c r="F1176" s="19" t="str">
        <x:v>8.1250%</x:v>
      </x:c>
      <x:c r="G1176" s="19" t="str">
        <x:v>其他/配置</x:v>
      </x:c>
      <x:c r="H1176" s="19" t="str">
        <x:v>D:/Codex/GRL研究/outputs/grid20/GRID20_report.md</x:v>
      </x:c>
    </x:row>
    <x:row r="1177" ht="36" customHeight="1">
      <x:c r="A1177" s="19" t="str">
        <x:v>GRID20</x:v>
      </x:c>
      <x:c r="B1177" s="19" t="str">
        <x:v>GRID20_report.md</x:v>
      </x:c>
      <x:c r="C1177" s="19" t="str">
        <x:v>1. GRID20：GNN监督拓扑候选排序V0</x:v>
      </x:c>
      <x:c r="D1177" s="19" t="str">
        <x:v>方法=RANDOM；K=128</x:v>
      </x:c>
      <x:c r="E1177" s="19" t="str">
        <x:v>公共查询减少</x:v>
      </x:c>
      <x:c r="F1177" s="19" t="str">
        <x:v>79.3916%</x:v>
      </x:c>
      <x:c r="G1177" s="19" t="str">
        <x:v>速度/计算</x:v>
      </x:c>
      <x:c r="H1177" s="19" t="str">
        <x:v>D:/Codex/GRL研究/outputs/grid20/GRID20_report.md</x:v>
      </x:c>
    </x:row>
    <x:row r="1178" ht="36" customHeight="1">
      <x:c r="A1178" s="19" t="str">
        <x:v>GRID20</x:v>
      </x:c>
      <x:c r="B1178" s="19" t="str">
        <x:v>GRID20_report.md</x:v>
      </x:c>
      <x:c r="C1178" s="19" t="str">
        <x:v>1. GRID20：GNN监督拓扑候选排序V0</x:v>
      </x:c>
      <x:c r="D1178" s="19" t="str">
        <x:v>方法=RANDOM；K=128</x:v>
      </x:c>
      <x:c r="E1178" s="19" t="str">
        <x:v>交付ρ差</x:v>
      </x:c>
      <x:c r="F1178" s="19" t="str">
        <x:v>0.0174</x:v>
      </x:c>
      <x:c r="G1178" s="19" t="str">
        <x:v>质量/成本</x:v>
      </x:c>
      <x:c r="H1178" s="19" t="str">
        <x:v>D:/Codex/GRL研究/outputs/grid20/GRID20_report.md</x:v>
      </x:c>
    </x:row>
    <x:row r="1179" ht="36" customHeight="1">
      <x:c r="A1179" s="19" t="str">
        <x:v>GRID21</x:v>
      </x:c>
      <x:c r="B1179" s="19" t="str">
        <x:v>GRID21_report.md</x:v>
      </x:c>
      <x:c r="C1179" s="19" t="str">
        <x:v>1. GRID21：保留PPO先验的有界残差修订V1</x:v>
      </x:c>
      <x:c r="D1179" s="19" t="str">
        <x:v>方法=GNN_seed0；K=32</x:v>
      </x:c>
      <x:c r="E1179" s="19" t="str">
        <x:v>K</x:v>
      </x:c>
      <x:c r="F1179" s="19" t="str">
        <x:v>32</x:v>
      </x:c>
      <x:c r="G1179" s="19" t="str">
        <x:v>其他/配置</x:v>
      </x:c>
      <x:c r="H1179" s="19" t="str">
        <x:v>D:/Codex/GRL研究/outputs/grid21/GRID21_report.md</x:v>
      </x:c>
    </x:row>
    <x:row r="1180" ht="36" customHeight="1">
      <x:c r="A1180" s="19" t="str">
        <x:v>GRID21</x:v>
      </x:c>
      <x:c r="B1180" s="19" t="str">
        <x:v>GRID21_report.md</x:v>
      </x:c>
      <x:c r="C1180" s="19" t="str">
        <x:v>1. GRID21：保留PPO先验的有界残差修订V1</x:v>
      </x:c>
      <x:c r="D1180" s="19" t="str">
        <x:v>方法=GNN_seed0；K=32</x:v>
      </x:c>
      <x:c r="E1180" s="19" t="str">
        <x:v>近最佳保留</x:v>
      </x:c>
      <x:c r="F1180" s="19" t="str">
        <x:v>97.727%</x:v>
      </x:c>
      <x:c r="G1180" s="19" t="str">
        <x:v>质量/成本</x:v>
      </x:c>
      <x:c r="H1180" s="19" t="str">
        <x:v>D:/Codex/GRL研究/outputs/grid21/GRID21_report.md</x:v>
      </x:c>
    </x:row>
    <x:row r="1181" ht="36" customHeight="1">
      <x:c r="A1181" s="19" t="str">
        <x:v>GRID21</x:v>
      </x:c>
      <x:c r="B1181" s="19" t="str">
        <x:v>GRID21_report.md</x:v>
      </x:c>
      <x:c r="C1181" s="19" t="str">
        <x:v>1. GRID21：保留PPO先验的有界残差修订V1</x:v>
      </x:c>
      <x:c r="D1181" s="19" t="str">
        <x:v>方法=GNN_seed0；K=32</x:v>
      </x:c>
      <x:c r="E1181" s="19" t="str">
        <x:v>回退</x:v>
      </x:c>
      <x:c r="F1181" s="19" t="str">
        <x:v>8.125%</x:v>
      </x:c>
      <x:c r="G1181" s="19" t="str">
        <x:v>其他/配置</x:v>
      </x:c>
      <x:c r="H1181" s="19" t="str">
        <x:v>D:/Codex/GRL研究/outputs/grid21/GRID21_report.md</x:v>
      </x:c>
    </x:row>
    <x:row r="1182" ht="36" customHeight="1">
      <x:c r="A1182" s="19" t="str">
        <x:v>GRID21</x:v>
      </x:c>
      <x:c r="B1182" s="19" t="str">
        <x:v>GRID21_report.md</x:v>
      </x:c>
      <x:c r="C1182" s="19" t="str">
        <x:v>1. GRID21：保留PPO先验的有界残差修订V1</x:v>
      </x:c>
      <x:c r="D1182" s="19" t="str">
        <x:v>方法=GNN_seed0；K=32</x:v>
      </x:c>
      <x:c r="E1182" s="19" t="str">
        <x:v>唯一公共查询减少</x:v>
      </x:c>
      <x:c r="F1182" s="19" t="str">
        <x:v>89.522%</x:v>
      </x:c>
      <x:c r="G1182" s="19" t="str">
        <x:v>速度/计算</x:v>
      </x:c>
      <x:c r="H1182" s="19" t="str">
        <x:v>D:/Codex/GRL研究/outputs/grid21/GRID21_report.md</x:v>
      </x:c>
    </x:row>
    <x:row r="1183" ht="36" customHeight="1">
      <x:c r="A1183" s="19" t="str">
        <x:v>GRID21</x:v>
      </x:c>
      <x:c r="B1183" s="19" t="str">
        <x:v>GRID21_report.md</x:v>
      </x:c>
      <x:c r="C1183" s="19" t="str">
        <x:v>1. GRID21：保留PPO先验的有界残差修订V1</x:v>
      </x:c>
      <x:c r="D1183" s="19" t="str">
        <x:v>方法=GNN_seed0；K=32</x:v>
      </x:c>
      <x:c r="E1183" s="19" t="str">
        <x:v>交付ρ差</x:v>
      </x:c>
      <x:c r="F1183" s="19" t="str">
        <x:v>0.00087</x:v>
      </x:c>
      <x:c r="G1183" s="19" t="str">
        <x:v>质量/成本</x:v>
      </x:c>
      <x:c r="H1183" s="19" t="str">
        <x:v>D:/Codex/GRL研究/outputs/grid21/GRID21_report.md</x:v>
      </x:c>
    </x:row>
    <x:row r="1184" ht="36" customHeight="1">
      <x:c r="A1184" s="19" t="str">
        <x:v>GRID21</x:v>
      </x:c>
      <x:c r="B1184" s="19" t="str">
        <x:v>GRID21_report.md</x:v>
      </x:c>
      <x:c r="C1184" s="19" t="str">
        <x:v>1. GRID21：保留PPO先验的有界残差修订V1</x:v>
      </x:c>
      <x:c r="D1184" s="19" t="str">
        <x:v>方法=GNN_seed0；K=128</x:v>
      </x:c>
      <x:c r="E1184" s="19" t="str">
        <x:v>K</x:v>
      </x:c>
      <x:c r="F1184" s="19" t="str">
        <x:v>128</x:v>
      </x:c>
      <x:c r="G1184" s="19" t="str">
        <x:v>其他/配置</x:v>
      </x:c>
      <x:c r="H1184" s="19" t="str">
        <x:v>D:/Codex/GRL研究/outputs/grid21/GRID21_report.md</x:v>
      </x:c>
    </x:row>
    <x:row r="1185" ht="36" customHeight="1">
      <x:c r="A1185" s="19" t="str">
        <x:v>GRID21</x:v>
      </x:c>
      <x:c r="B1185" s="19" t="str">
        <x:v>GRID21_report.md</x:v>
      </x:c>
      <x:c r="C1185" s="19" t="str">
        <x:v>1. GRID21：保留PPO先验的有界残差修订V1</x:v>
      </x:c>
      <x:c r="D1185" s="19" t="str">
        <x:v>方法=GNN_seed0；K=128</x:v>
      </x:c>
      <x:c r="E1185" s="19" t="str">
        <x:v>近最佳保留</x:v>
      </x:c>
      <x:c r="F1185" s="19" t="str">
        <x:v>100.000%</x:v>
      </x:c>
      <x:c r="G1185" s="19" t="str">
        <x:v>质量/成本</x:v>
      </x:c>
      <x:c r="H1185" s="19" t="str">
        <x:v>D:/Codex/GRL研究/outputs/grid21/GRID21_report.md</x:v>
      </x:c>
    </x:row>
    <x:row r="1186" ht="36" customHeight="1">
      <x:c r="A1186" s="19" t="str">
        <x:v>GRID21</x:v>
      </x:c>
      <x:c r="B1186" s="19" t="str">
        <x:v>GRID21_report.md</x:v>
      </x:c>
      <x:c r="C1186" s="19" t="str">
        <x:v>1. GRID21：保留PPO先验的有界残差修订V1</x:v>
      </x:c>
      <x:c r="D1186" s="19" t="str">
        <x:v>方法=GNN_seed0；K=128</x:v>
      </x:c>
      <x:c r="E1186" s="19" t="str">
        <x:v>回退</x:v>
      </x:c>
      <x:c r="F1186" s="19" t="str">
        <x:v>8.125%</x:v>
      </x:c>
      <x:c r="G1186" s="19" t="str">
        <x:v>其他/配置</x:v>
      </x:c>
      <x:c r="H1186" s="19" t="str">
        <x:v>D:/Codex/GRL研究/outputs/grid21/GRID21_report.md</x:v>
      </x:c>
    </x:row>
    <x:row r="1187" ht="36" customHeight="1">
      <x:c r="A1187" s="19" t="str">
        <x:v>GRID21</x:v>
      </x:c>
      <x:c r="B1187" s="19" t="str">
        <x:v>GRID21_report.md</x:v>
      </x:c>
      <x:c r="C1187" s="19" t="str">
        <x:v>1. GRID21：保留PPO先验的有界残差修订V1</x:v>
      </x:c>
      <x:c r="D1187" s="19" t="str">
        <x:v>方法=GNN_seed0；K=128</x:v>
      </x:c>
      <x:c r="E1187" s="19" t="str">
        <x:v>唯一公共查询减少</x:v>
      </x:c>
      <x:c r="F1187" s="19" t="str">
        <x:v>79.392%</x:v>
      </x:c>
      <x:c r="G1187" s="19" t="str">
        <x:v>速度/计算</x:v>
      </x:c>
      <x:c r="H1187" s="19" t="str">
        <x:v>D:/Codex/GRL研究/outputs/grid21/GRID21_report.md</x:v>
      </x:c>
    </x:row>
    <x:row r="1188" ht="36" customHeight="1">
      <x:c r="A1188" s="19" t="str">
        <x:v>GRID21</x:v>
      </x:c>
      <x:c r="B1188" s="19" t="str">
        <x:v>GRID21_report.md</x:v>
      </x:c>
      <x:c r="C1188" s="19" t="str">
        <x:v>1. GRID21：保留PPO先验的有界残差修订V1</x:v>
      </x:c>
      <x:c r="D1188" s="19" t="str">
        <x:v>方法=GNN_seed0；K=128</x:v>
      </x:c>
      <x:c r="E1188" s="19" t="str">
        <x:v>交付ρ差</x:v>
      </x:c>
      <x:c r="F1188" s="19" t="str">
        <x:v>0.00015</x:v>
      </x:c>
      <x:c r="G1188" s="19" t="str">
        <x:v>质量/成本</x:v>
      </x:c>
      <x:c r="H1188" s="19" t="str">
        <x:v>D:/Codex/GRL研究/outputs/grid21/GRID21_report.md</x:v>
      </x:c>
    </x:row>
    <x:row r="1189" ht="36" customHeight="1">
      <x:c r="A1189" s="19" t="str">
        <x:v>GRID21</x:v>
      </x:c>
      <x:c r="B1189" s="19" t="str">
        <x:v>GRID21_report.md</x:v>
      </x:c>
      <x:c r="C1189" s="19" t="str">
        <x:v>1. GRID21：保留PPO先验的有界残差修订V1</x:v>
      </x:c>
      <x:c r="D1189" s="19" t="str">
        <x:v>方法=GNN_seed1；K=32</x:v>
      </x:c>
      <x:c r="E1189" s="19" t="str">
        <x:v>K</x:v>
      </x:c>
      <x:c r="F1189" s="19" t="str">
        <x:v>32</x:v>
      </x:c>
      <x:c r="G1189" s="19" t="str">
        <x:v>其他/配置</x:v>
      </x:c>
      <x:c r="H1189" s="19" t="str">
        <x:v>D:/Codex/GRL研究/outputs/grid21/GRID21_report.md</x:v>
      </x:c>
    </x:row>
    <x:row r="1190" ht="36" customHeight="1">
      <x:c r="A1190" s="19" t="str">
        <x:v>GRID21</x:v>
      </x:c>
      <x:c r="B1190" s="19" t="str">
        <x:v>GRID21_report.md</x:v>
      </x:c>
      <x:c r="C1190" s="19" t="str">
        <x:v>1. GRID21：保留PPO先验的有界残差修订V1</x:v>
      </x:c>
      <x:c r="D1190" s="19" t="str">
        <x:v>方法=GNN_seed1；K=32</x:v>
      </x:c>
      <x:c r="E1190" s="19" t="str">
        <x:v>近最佳保留</x:v>
      </x:c>
      <x:c r="F1190" s="19" t="str">
        <x:v>97.727%</x:v>
      </x:c>
      <x:c r="G1190" s="19" t="str">
        <x:v>质量/成本</x:v>
      </x:c>
      <x:c r="H1190" s="19" t="str">
        <x:v>D:/Codex/GRL研究/outputs/grid21/GRID21_report.md</x:v>
      </x:c>
    </x:row>
    <x:row r="1191" ht="36" customHeight="1">
      <x:c r="A1191" s="19" t="str">
        <x:v>GRID21</x:v>
      </x:c>
      <x:c r="B1191" s="19" t="str">
        <x:v>GRID21_report.md</x:v>
      </x:c>
      <x:c r="C1191" s="19" t="str">
        <x:v>1. GRID21：保留PPO先验的有界残差修订V1</x:v>
      </x:c>
      <x:c r="D1191" s="19" t="str">
        <x:v>方法=GNN_seed1；K=32</x:v>
      </x:c>
      <x:c r="E1191" s="19" t="str">
        <x:v>回退</x:v>
      </x:c>
      <x:c r="F1191" s="19" t="str">
        <x:v>8.125%</x:v>
      </x:c>
      <x:c r="G1191" s="19" t="str">
        <x:v>其他/配置</x:v>
      </x:c>
      <x:c r="H1191" s="19" t="str">
        <x:v>D:/Codex/GRL研究/outputs/grid21/GRID21_report.md</x:v>
      </x:c>
    </x:row>
    <x:row r="1192" ht="36" customHeight="1">
      <x:c r="A1192" s="19" t="str">
        <x:v>GRID21</x:v>
      </x:c>
      <x:c r="B1192" s="19" t="str">
        <x:v>GRID21_report.md</x:v>
      </x:c>
      <x:c r="C1192" s="19" t="str">
        <x:v>1. GRID21：保留PPO先验的有界残差修订V1</x:v>
      </x:c>
      <x:c r="D1192" s="19" t="str">
        <x:v>方法=GNN_seed1；K=32</x:v>
      </x:c>
      <x:c r="E1192" s="19" t="str">
        <x:v>唯一公共查询减少</x:v>
      </x:c>
      <x:c r="F1192" s="19" t="str">
        <x:v>89.522%</x:v>
      </x:c>
      <x:c r="G1192" s="19" t="str">
        <x:v>速度/计算</x:v>
      </x:c>
      <x:c r="H1192" s="19" t="str">
        <x:v>D:/Codex/GRL研究/outputs/grid21/GRID21_report.md</x:v>
      </x:c>
    </x:row>
    <x:row r="1193" ht="36" customHeight="1">
      <x:c r="A1193" s="19" t="str">
        <x:v>GRID21</x:v>
      </x:c>
      <x:c r="B1193" s="19" t="str">
        <x:v>GRID21_report.md</x:v>
      </x:c>
      <x:c r="C1193" s="19" t="str">
        <x:v>1. GRID21：保留PPO先验的有界残差修订V1</x:v>
      </x:c>
      <x:c r="D1193" s="19" t="str">
        <x:v>方法=GNN_seed1；K=32</x:v>
      </x:c>
      <x:c r="E1193" s="19" t="str">
        <x:v>交付ρ差</x:v>
      </x:c>
      <x:c r="F1193" s="19" t="str">
        <x:v>0.00045</x:v>
      </x:c>
      <x:c r="G1193" s="19" t="str">
        <x:v>质量/成本</x:v>
      </x:c>
      <x:c r="H1193" s="19" t="str">
        <x:v>D:/Codex/GRL研究/outputs/grid21/GRID21_report.md</x:v>
      </x:c>
    </x:row>
    <x:row r="1194" ht="36" customHeight="1">
      <x:c r="A1194" s="19" t="str">
        <x:v>GRID21</x:v>
      </x:c>
      <x:c r="B1194" s="19" t="str">
        <x:v>GRID21_report.md</x:v>
      </x:c>
      <x:c r="C1194" s="19" t="str">
        <x:v>1. GRID21：保留PPO先验的有界残差修订V1</x:v>
      </x:c>
      <x:c r="D1194" s="19" t="str">
        <x:v>方法=GNN_seed1；K=128</x:v>
      </x:c>
      <x:c r="E1194" s="19" t="str">
        <x:v>K</x:v>
      </x:c>
      <x:c r="F1194" s="19" t="str">
        <x:v>128</x:v>
      </x:c>
      <x:c r="G1194" s="19" t="str">
        <x:v>其他/配置</x:v>
      </x:c>
      <x:c r="H1194" s="19" t="str">
        <x:v>D:/Codex/GRL研究/outputs/grid21/GRID21_report.md</x:v>
      </x:c>
    </x:row>
    <x:row r="1195" ht="36" customHeight="1">
      <x:c r="A1195" s="19" t="str">
        <x:v>GRID21</x:v>
      </x:c>
      <x:c r="B1195" s="19" t="str">
        <x:v>GRID21_report.md</x:v>
      </x:c>
      <x:c r="C1195" s="19" t="str">
        <x:v>1. GRID21：保留PPO先验的有界残差修订V1</x:v>
      </x:c>
      <x:c r="D1195" s="19" t="str">
        <x:v>方法=GNN_seed1；K=128</x:v>
      </x:c>
      <x:c r="E1195" s="19" t="str">
        <x:v>近最佳保留</x:v>
      </x:c>
      <x:c r="F1195" s="19" t="str">
        <x:v>100.000%</x:v>
      </x:c>
      <x:c r="G1195" s="19" t="str">
        <x:v>质量/成本</x:v>
      </x:c>
      <x:c r="H1195" s="19" t="str">
        <x:v>D:/Codex/GRL研究/outputs/grid21/GRID21_report.md</x:v>
      </x:c>
    </x:row>
    <x:row r="1196" ht="36" customHeight="1">
      <x:c r="A1196" s="19" t="str">
        <x:v>GRID21</x:v>
      </x:c>
      <x:c r="B1196" s="19" t="str">
        <x:v>GRID21_report.md</x:v>
      </x:c>
      <x:c r="C1196" s="19" t="str">
        <x:v>1. GRID21：保留PPO先验的有界残差修订V1</x:v>
      </x:c>
      <x:c r="D1196" s="19" t="str">
        <x:v>方法=GNN_seed1；K=128</x:v>
      </x:c>
      <x:c r="E1196" s="19" t="str">
        <x:v>回退</x:v>
      </x:c>
      <x:c r="F1196" s="19" t="str">
        <x:v>8.125%</x:v>
      </x:c>
      <x:c r="G1196" s="19" t="str">
        <x:v>其他/配置</x:v>
      </x:c>
      <x:c r="H1196" s="19" t="str">
        <x:v>D:/Codex/GRL研究/outputs/grid21/GRID21_report.md</x:v>
      </x:c>
    </x:row>
    <x:row r="1197" ht="36" customHeight="1">
      <x:c r="A1197" s="19" t="str">
        <x:v>GRID21</x:v>
      </x:c>
      <x:c r="B1197" s="19" t="str">
        <x:v>GRID21_report.md</x:v>
      </x:c>
      <x:c r="C1197" s="19" t="str">
        <x:v>1. GRID21：保留PPO先验的有界残差修订V1</x:v>
      </x:c>
      <x:c r="D1197" s="19" t="str">
        <x:v>方法=GNN_seed1；K=128</x:v>
      </x:c>
      <x:c r="E1197" s="19" t="str">
        <x:v>唯一公共查询减少</x:v>
      </x:c>
      <x:c r="F1197" s="19" t="str">
        <x:v>79.392%</x:v>
      </x:c>
      <x:c r="G1197" s="19" t="str">
        <x:v>速度/计算</x:v>
      </x:c>
      <x:c r="H1197" s="19" t="str">
        <x:v>D:/Codex/GRL研究/outputs/grid21/GRID21_report.md</x:v>
      </x:c>
    </x:row>
    <x:row r="1198" ht="36" customHeight="1">
      <x:c r="A1198" s="19" t="str">
        <x:v>GRID21</x:v>
      </x:c>
      <x:c r="B1198" s="19" t="str">
        <x:v>GRID21_report.md</x:v>
      </x:c>
      <x:c r="C1198" s="19" t="str">
        <x:v>1. GRID21：保留PPO先验的有界残差修订V1</x:v>
      </x:c>
      <x:c r="D1198" s="19" t="str">
        <x:v>方法=GNN_seed1；K=128</x:v>
      </x:c>
      <x:c r="E1198" s="19" t="str">
        <x:v>交付ρ差</x:v>
      </x:c>
      <x:c r="F1198" s="19" t="str">
        <x:v>0.00016</x:v>
      </x:c>
      <x:c r="G1198" s="19" t="str">
        <x:v>质量/成本</x:v>
      </x:c>
      <x:c r="H1198" s="19" t="str">
        <x:v>D:/Codex/GRL研究/outputs/grid21/GRID21_report.md</x:v>
      </x:c>
    </x:row>
    <x:row r="1199" ht="36" customHeight="1">
      <x:c r="A1199" s="19" t="str">
        <x:v>GRID21</x:v>
      </x:c>
      <x:c r="B1199" s="19" t="str">
        <x:v>GRID21_report.md</x:v>
      </x:c>
      <x:c r="C1199" s="19" t="str">
        <x:v>1. GRID21：保留PPO先验的有界残差修订V1</x:v>
      </x:c>
      <x:c r="D1199" s="19" t="str">
        <x:v>方法=MLP_seed0；K=32</x:v>
      </x:c>
      <x:c r="E1199" s="19" t="str">
        <x:v>K</x:v>
      </x:c>
      <x:c r="F1199" s="19" t="str">
        <x:v>32</x:v>
      </x:c>
      <x:c r="G1199" s="19" t="str">
        <x:v>其他/配置</x:v>
      </x:c>
      <x:c r="H1199" s="19" t="str">
        <x:v>D:/Codex/GRL研究/outputs/grid21/GRID21_report.md</x:v>
      </x:c>
    </x:row>
    <x:row r="1200" ht="36" customHeight="1">
      <x:c r="A1200" s="19" t="str">
        <x:v>GRID21</x:v>
      </x:c>
      <x:c r="B1200" s="19" t="str">
        <x:v>GRID21_report.md</x:v>
      </x:c>
      <x:c r="C1200" s="19" t="str">
        <x:v>1. GRID21：保留PPO先验的有界残差修订V1</x:v>
      </x:c>
      <x:c r="D1200" s="19" t="str">
        <x:v>方法=MLP_seed0；K=32</x:v>
      </x:c>
      <x:c r="E1200" s="19" t="str">
        <x:v>近最佳保留</x:v>
      </x:c>
      <x:c r="F1200" s="19" t="str">
        <x:v>94.156%</x:v>
      </x:c>
      <x:c r="G1200" s="19" t="str">
        <x:v>质量/成本</x:v>
      </x:c>
      <x:c r="H1200" s="19" t="str">
        <x:v>D:/Codex/GRL研究/outputs/grid21/GRID21_report.md</x:v>
      </x:c>
    </x:row>
    <x:row r="1201" ht="36" customHeight="1">
      <x:c r="A1201" s="19" t="str">
        <x:v>GRID21</x:v>
      </x:c>
      <x:c r="B1201" s="19" t="str">
        <x:v>GRID21_report.md</x:v>
      </x:c>
      <x:c r="C1201" s="19" t="str">
        <x:v>1. GRID21：保留PPO先验的有界残差修订V1</x:v>
      </x:c>
      <x:c r="D1201" s="19" t="str">
        <x:v>方法=MLP_seed0；K=32</x:v>
      </x:c>
      <x:c r="E1201" s="19" t="str">
        <x:v>回退</x:v>
      </x:c>
      <x:c r="F1201" s="19" t="str">
        <x:v>8.125%</x:v>
      </x:c>
      <x:c r="G1201" s="19" t="str">
        <x:v>其他/配置</x:v>
      </x:c>
      <x:c r="H1201" s="19" t="str">
        <x:v>D:/Codex/GRL研究/outputs/grid21/GRID21_report.md</x:v>
      </x:c>
    </x:row>
    <x:row r="1202" ht="36" customHeight="1">
      <x:c r="A1202" s="19" t="str">
        <x:v>GRID21</x:v>
      </x:c>
      <x:c r="B1202" s="19" t="str">
        <x:v>GRID21_report.md</x:v>
      </x:c>
      <x:c r="C1202" s="19" t="str">
        <x:v>1. GRID21：保留PPO先验的有界残差修订V1</x:v>
      </x:c>
      <x:c r="D1202" s="19" t="str">
        <x:v>方法=MLP_seed0；K=32</x:v>
      </x:c>
      <x:c r="E1202" s="19" t="str">
        <x:v>唯一公共查询减少</x:v>
      </x:c>
      <x:c r="F1202" s="19" t="str">
        <x:v>89.522%</x:v>
      </x:c>
      <x:c r="G1202" s="19" t="str">
        <x:v>速度/计算</x:v>
      </x:c>
      <x:c r="H1202" s="19" t="str">
        <x:v>D:/Codex/GRL研究/outputs/grid21/GRID21_report.md</x:v>
      </x:c>
    </x:row>
    <x:row r="1203" ht="36" customHeight="1">
      <x:c r="A1203" s="19" t="str">
        <x:v>GRID21</x:v>
      </x:c>
      <x:c r="B1203" s="19" t="str">
        <x:v>GRID21_report.md</x:v>
      </x:c>
      <x:c r="C1203" s="19" t="str">
        <x:v>1. GRID21：保留PPO先验的有界残差修订V1</x:v>
      </x:c>
      <x:c r="D1203" s="19" t="str">
        <x:v>方法=MLP_seed0；K=32</x:v>
      </x:c>
      <x:c r="E1203" s="19" t="str">
        <x:v>交付ρ差</x:v>
      </x:c>
      <x:c r="F1203" s="19" t="str">
        <x:v>0.00146</x:v>
      </x:c>
      <x:c r="G1203" s="19" t="str">
        <x:v>质量/成本</x:v>
      </x:c>
      <x:c r="H1203" s="19" t="str">
        <x:v>D:/Codex/GRL研究/outputs/grid21/GRID21_report.md</x:v>
      </x:c>
    </x:row>
    <x:row r="1204" ht="36" customHeight="1">
      <x:c r="A1204" s="19" t="str">
        <x:v>GRID21</x:v>
      </x:c>
      <x:c r="B1204" s="19" t="str">
        <x:v>GRID21_report.md</x:v>
      </x:c>
      <x:c r="C1204" s="19" t="str">
        <x:v>1. GRID21：保留PPO先验的有界残差修订V1</x:v>
      </x:c>
      <x:c r="D1204" s="19" t="str">
        <x:v>方法=MLP_seed0；K=128</x:v>
      </x:c>
      <x:c r="E1204" s="19" t="str">
        <x:v>K</x:v>
      </x:c>
      <x:c r="F1204" s="19" t="str">
        <x:v>128</x:v>
      </x:c>
      <x:c r="G1204" s="19" t="str">
        <x:v>其他/配置</x:v>
      </x:c>
      <x:c r="H1204" s="19" t="str">
        <x:v>D:/Codex/GRL研究/outputs/grid21/GRID21_report.md</x:v>
      </x:c>
    </x:row>
    <x:row r="1205" ht="36" customHeight="1">
      <x:c r="A1205" s="19" t="str">
        <x:v>GRID21</x:v>
      </x:c>
      <x:c r="B1205" s="19" t="str">
        <x:v>GRID21_report.md</x:v>
      </x:c>
      <x:c r="C1205" s="19" t="str">
        <x:v>1. GRID21：保留PPO先验的有界残差修订V1</x:v>
      </x:c>
      <x:c r="D1205" s="19" t="str">
        <x:v>方法=MLP_seed0；K=128</x:v>
      </x:c>
      <x:c r="E1205" s="19" t="str">
        <x:v>近最佳保留</x:v>
      </x:c>
      <x:c r="F1205" s="19" t="str">
        <x:v>96.429%</x:v>
      </x:c>
      <x:c r="G1205" s="19" t="str">
        <x:v>质量/成本</x:v>
      </x:c>
      <x:c r="H1205" s="19" t="str">
        <x:v>D:/Codex/GRL研究/outputs/grid21/GRID21_report.md</x:v>
      </x:c>
    </x:row>
    <x:row r="1206" ht="36" customHeight="1">
      <x:c r="A1206" s="19" t="str">
        <x:v>GRID21</x:v>
      </x:c>
      <x:c r="B1206" s="19" t="str">
        <x:v>GRID21_report.md</x:v>
      </x:c>
      <x:c r="C1206" s="19" t="str">
        <x:v>1. GRID21：保留PPO先验的有界残差修订V1</x:v>
      </x:c>
      <x:c r="D1206" s="19" t="str">
        <x:v>方法=MLP_seed0；K=128</x:v>
      </x:c>
      <x:c r="E1206" s="19" t="str">
        <x:v>回退</x:v>
      </x:c>
      <x:c r="F1206" s="19" t="str">
        <x:v>8.125%</x:v>
      </x:c>
      <x:c r="G1206" s="19" t="str">
        <x:v>其他/配置</x:v>
      </x:c>
      <x:c r="H1206" s="19" t="str">
        <x:v>D:/Codex/GRL研究/outputs/grid21/GRID21_report.md</x:v>
      </x:c>
    </x:row>
    <x:row r="1207" ht="36" customHeight="1">
      <x:c r="A1207" s="19" t="str">
        <x:v>GRID21</x:v>
      </x:c>
      <x:c r="B1207" s="19" t="str">
        <x:v>GRID21_report.md</x:v>
      </x:c>
      <x:c r="C1207" s="19" t="str">
        <x:v>1. GRID21：保留PPO先验的有界残差修订V1</x:v>
      </x:c>
      <x:c r="D1207" s="19" t="str">
        <x:v>方法=MLP_seed0；K=128</x:v>
      </x:c>
      <x:c r="E1207" s="19" t="str">
        <x:v>唯一公共查询减少</x:v>
      </x:c>
      <x:c r="F1207" s="19" t="str">
        <x:v>79.392%</x:v>
      </x:c>
      <x:c r="G1207" s="19" t="str">
        <x:v>速度/计算</x:v>
      </x:c>
      <x:c r="H1207" s="19" t="str">
        <x:v>D:/Codex/GRL研究/outputs/grid21/GRID21_report.md</x:v>
      </x:c>
    </x:row>
    <x:row r="1208" ht="36" customHeight="1">
      <x:c r="A1208" s="19" t="str">
        <x:v>GRID21</x:v>
      </x:c>
      <x:c r="B1208" s="19" t="str">
        <x:v>GRID21_report.md</x:v>
      </x:c>
      <x:c r="C1208" s="19" t="str">
        <x:v>1. GRID21：保留PPO先验的有界残差修订V1</x:v>
      </x:c>
      <x:c r="D1208" s="19" t="str">
        <x:v>方法=MLP_seed0；K=128</x:v>
      </x:c>
      <x:c r="E1208" s="19" t="str">
        <x:v>交付ρ差</x:v>
      </x:c>
      <x:c r="F1208" s="19" t="str">
        <x:v>0.00085</x:v>
      </x:c>
      <x:c r="G1208" s="19" t="str">
        <x:v>质量/成本</x:v>
      </x:c>
      <x:c r="H1208" s="19" t="str">
        <x:v>D:/Codex/GRL研究/outputs/grid21/GRID21_report.md</x:v>
      </x:c>
    </x:row>
    <x:row r="1209" ht="36" customHeight="1">
      <x:c r="A1209" s="19" t="str">
        <x:v>GRID21</x:v>
      </x:c>
      <x:c r="B1209" s="19" t="str">
        <x:v>GRID21_report.md</x:v>
      </x:c>
      <x:c r="C1209" s="19" t="str">
        <x:v>1. GRID21：保留PPO先验的有界残差修订V1</x:v>
      </x:c>
      <x:c r="D1209" s="19" t="str">
        <x:v>方法=MLP_seed1；K=32</x:v>
      </x:c>
      <x:c r="E1209" s="19" t="str">
        <x:v>K</x:v>
      </x:c>
      <x:c r="F1209" s="19" t="str">
        <x:v>32</x:v>
      </x:c>
      <x:c r="G1209" s="19" t="str">
        <x:v>其他/配置</x:v>
      </x:c>
      <x:c r="H1209" s="19" t="str">
        <x:v>D:/Codex/GRL研究/outputs/grid21/GRID21_report.md</x:v>
      </x:c>
    </x:row>
    <x:row r="1210" ht="36" customHeight="1">
      <x:c r="A1210" s="19" t="str">
        <x:v>GRID21</x:v>
      </x:c>
      <x:c r="B1210" s="19" t="str">
        <x:v>GRID21_report.md</x:v>
      </x:c>
      <x:c r="C1210" s="19" t="str">
        <x:v>1. GRID21：保留PPO先验的有界残差修订V1</x:v>
      </x:c>
      <x:c r="D1210" s="19" t="str">
        <x:v>方法=MLP_seed1；K=32</x:v>
      </x:c>
      <x:c r="E1210" s="19" t="str">
        <x:v>近最佳保留</x:v>
      </x:c>
      <x:c r="F1210" s="19" t="str">
        <x:v>94.156%</x:v>
      </x:c>
      <x:c r="G1210" s="19" t="str">
        <x:v>质量/成本</x:v>
      </x:c>
      <x:c r="H1210" s="19" t="str">
        <x:v>D:/Codex/GRL研究/outputs/grid21/GRID21_report.md</x:v>
      </x:c>
    </x:row>
    <x:row r="1211" ht="36" customHeight="1">
      <x:c r="A1211" s="19" t="str">
        <x:v>GRID21</x:v>
      </x:c>
      <x:c r="B1211" s="19" t="str">
        <x:v>GRID21_report.md</x:v>
      </x:c>
      <x:c r="C1211" s="19" t="str">
        <x:v>1. GRID21：保留PPO先验的有界残差修订V1</x:v>
      </x:c>
      <x:c r="D1211" s="19" t="str">
        <x:v>方法=MLP_seed1；K=32</x:v>
      </x:c>
      <x:c r="E1211" s="19" t="str">
        <x:v>回退</x:v>
      </x:c>
      <x:c r="F1211" s="19" t="str">
        <x:v>8.125%</x:v>
      </x:c>
      <x:c r="G1211" s="19" t="str">
        <x:v>其他/配置</x:v>
      </x:c>
      <x:c r="H1211" s="19" t="str">
        <x:v>D:/Codex/GRL研究/outputs/grid21/GRID21_report.md</x:v>
      </x:c>
    </x:row>
    <x:row r="1212" ht="36" customHeight="1">
      <x:c r="A1212" s="19" t="str">
        <x:v>GRID21</x:v>
      </x:c>
      <x:c r="B1212" s="19" t="str">
        <x:v>GRID21_report.md</x:v>
      </x:c>
      <x:c r="C1212" s="19" t="str">
        <x:v>1. GRID21：保留PPO先验的有界残差修订V1</x:v>
      </x:c>
      <x:c r="D1212" s="19" t="str">
        <x:v>方法=MLP_seed1；K=32</x:v>
      </x:c>
      <x:c r="E1212" s="19" t="str">
        <x:v>唯一公共查询减少</x:v>
      </x:c>
      <x:c r="F1212" s="19" t="str">
        <x:v>89.522%</x:v>
      </x:c>
      <x:c r="G1212" s="19" t="str">
        <x:v>速度/计算</x:v>
      </x:c>
      <x:c r="H1212" s="19" t="str">
        <x:v>D:/Codex/GRL研究/outputs/grid21/GRID21_report.md</x:v>
      </x:c>
    </x:row>
    <x:row r="1213" ht="36" customHeight="1">
      <x:c r="A1213" s="19" t="str">
        <x:v>GRID21</x:v>
      </x:c>
      <x:c r="B1213" s="19" t="str">
        <x:v>GRID21_report.md</x:v>
      </x:c>
      <x:c r="C1213" s="19" t="str">
        <x:v>1. GRID21：保留PPO先验的有界残差修订V1</x:v>
      </x:c>
      <x:c r="D1213" s="19" t="str">
        <x:v>方法=MLP_seed1；K=32</x:v>
      </x:c>
      <x:c r="E1213" s="19" t="str">
        <x:v>交付ρ差</x:v>
      </x:c>
      <x:c r="F1213" s="19" t="str">
        <x:v>0.00104</x:v>
      </x:c>
      <x:c r="G1213" s="19" t="str">
        <x:v>质量/成本</x:v>
      </x:c>
      <x:c r="H1213" s="19" t="str">
        <x:v>D:/Codex/GRL研究/outputs/grid21/GRID21_report.md</x:v>
      </x:c>
    </x:row>
    <x:row r="1214" ht="36" customHeight="1">
      <x:c r="A1214" s="19" t="str">
        <x:v>GRID21</x:v>
      </x:c>
      <x:c r="B1214" s="19" t="str">
        <x:v>GRID21_report.md</x:v>
      </x:c>
      <x:c r="C1214" s="19" t="str">
        <x:v>1. GRID21：保留PPO先验的有界残差修订V1</x:v>
      </x:c>
      <x:c r="D1214" s="19" t="str">
        <x:v>方法=MLP_seed1；K=128</x:v>
      </x:c>
      <x:c r="E1214" s="19" t="str">
        <x:v>K</x:v>
      </x:c>
      <x:c r="F1214" s="19" t="str">
        <x:v>128</x:v>
      </x:c>
      <x:c r="G1214" s="19" t="str">
        <x:v>其他/配置</x:v>
      </x:c>
      <x:c r="H1214" s="19" t="str">
        <x:v>D:/Codex/GRL研究/outputs/grid21/GRID21_report.md</x:v>
      </x:c>
    </x:row>
    <x:row r="1215" ht="36" customHeight="1">
      <x:c r="A1215" s="19" t="str">
        <x:v>GRID21</x:v>
      </x:c>
      <x:c r="B1215" s="19" t="str">
        <x:v>GRID21_report.md</x:v>
      </x:c>
      <x:c r="C1215" s="19" t="str">
        <x:v>1. GRID21：保留PPO先验的有界残差修订V1</x:v>
      </x:c>
      <x:c r="D1215" s="19" t="str">
        <x:v>方法=MLP_seed1；K=128</x:v>
      </x:c>
      <x:c r="E1215" s="19" t="str">
        <x:v>近最佳保留</x:v>
      </x:c>
      <x:c r="F1215" s="19" t="str">
        <x:v>96.429%</x:v>
      </x:c>
      <x:c r="G1215" s="19" t="str">
        <x:v>质量/成本</x:v>
      </x:c>
      <x:c r="H1215" s="19" t="str">
        <x:v>D:/Codex/GRL研究/outputs/grid21/GRID21_report.md</x:v>
      </x:c>
    </x:row>
    <x:row r="1216" ht="36" customHeight="1">
      <x:c r="A1216" s="19" t="str">
        <x:v>GRID21</x:v>
      </x:c>
      <x:c r="B1216" s="19" t="str">
        <x:v>GRID21_report.md</x:v>
      </x:c>
      <x:c r="C1216" s="19" t="str">
        <x:v>1. GRID21：保留PPO先验的有界残差修订V1</x:v>
      </x:c>
      <x:c r="D1216" s="19" t="str">
        <x:v>方法=MLP_seed1；K=128</x:v>
      </x:c>
      <x:c r="E1216" s="19" t="str">
        <x:v>回退</x:v>
      </x:c>
      <x:c r="F1216" s="19" t="str">
        <x:v>8.125%</x:v>
      </x:c>
      <x:c r="G1216" s="19" t="str">
        <x:v>其他/配置</x:v>
      </x:c>
      <x:c r="H1216" s="19" t="str">
        <x:v>D:/Codex/GRL研究/outputs/grid21/GRID21_report.md</x:v>
      </x:c>
    </x:row>
    <x:row r="1217" ht="36" customHeight="1">
      <x:c r="A1217" s="19" t="str">
        <x:v>GRID21</x:v>
      </x:c>
      <x:c r="B1217" s="19" t="str">
        <x:v>GRID21_report.md</x:v>
      </x:c>
      <x:c r="C1217" s="19" t="str">
        <x:v>1. GRID21：保留PPO先验的有界残差修订V1</x:v>
      </x:c>
      <x:c r="D1217" s="19" t="str">
        <x:v>方法=MLP_seed1；K=128</x:v>
      </x:c>
      <x:c r="E1217" s="19" t="str">
        <x:v>唯一公共查询减少</x:v>
      </x:c>
      <x:c r="F1217" s="19" t="str">
        <x:v>79.392%</x:v>
      </x:c>
      <x:c r="G1217" s="19" t="str">
        <x:v>速度/计算</x:v>
      </x:c>
      <x:c r="H1217" s="19" t="str">
        <x:v>D:/Codex/GRL研究/outputs/grid21/GRID21_report.md</x:v>
      </x:c>
    </x:row>
    <x:row r="1218" ht="36" customHeight="1">
      <x:c r="A1218" s="19" t="str">
        <x:v>GRID21</x:v>
      </x:c>
      <x:c r="B1218" s="19" t="str">
        <x:v>GRID21_report.md</x:v>
      </x:c>
      <x:c r="C1218" s="19" t="str">
        <x:v>1. GRID21：保留PPO先验的有界残差修订V1</x:v>
      </x:c>
      <x:c r="D1218" s="19" t="str">
        <x:v>方法=MLP_seed1；K=128</x:v>
      </x:c>
      <x:c r="E1218" s="19" t="str">
        <x:v>交付ρ差</x:v>
      </x:c>
      <x:c r="F1218" s="19" t="str">
        <x:v>0.00091</x:v>
      </x:c>
      <x:c r="G1218" s="19" t="str">
        <x:v>质量/成本</x:v>
      </x:c>
      <x:c r="H1218" s="19" t="str">
        <x:v>D:/Codex/GRL研究/outputs/grid21/GRID21_report.md</x:v>
      </x:c>
    </x:row>
    <x:row r="1219" ht="36" customHeight="1">
      <x:c r="A1219" s="19" t="str">
        <x:v>GRID21</x:v>
      </x:c>
      <x:c r="B1219" s="19" t="str">
        <x:v>GRID21_report.md</x:v>
      </x:c>
      <x:c r="C1219" s="19" t="str">
        <x:v>1. GRID21：保留PPO先验的有界残差修订V1</x:v>
      </x:c>
      <x:c r="D1219" s="19" t="str">
        <x:v>方法=BIAS_seed0；K=32</x:v>
      </x:c>
      <x:c r="E1219" s="19" t="str">
        <x:v>K</x:v>
      </x:c>
      <x:c r="F1219" s="19" t="str">
        <x:v>32</x:v>
      </x:c>
      <x:c r="G1219" s="19" t="str">
        <x:v>其他/配置</x:v>
      </x:c>
      <x:c r="H1219" s="19" t="str">
        <x:v>D:/Codex/GRL研究/outputs/grid21/GRID21_report.md</x:v>
      </x:c>
    </x:row>
    <x:row r="1220" ht="36" customHeight="1">
      <x:c r="A1220" s="19" t="str">
        <x:v>GRID21</x:v>
      </x:c>
      <x:c r="B1220" s="19" t="str">
        <x:v>GRID21_report.md</x:v>
      </x:c>
      <x:c r="C1220" s="19" t="str">
        <x:v>1. GRID21：保留PPO先验的有界残差修订V1</x:v>
      </x:c>
      <x:c r="D1220" s="19" t="str">
        <x:v>方法=BIAS_seed0；K=32</x:v>
      </x:c>
      <x:c r="E1220" s="19" t="str">
        <x:v>近最佳保留</x:v>
      </x:c>
      <x:c r="F1220" s="19" t="str">
        <x:v>90.584%</x:v>
      </x:c>
      <x:c r="G1220" s="19" t="str">
        <x:v>质量/成本</x:v>
      </x:c>
      <x:c r="H1220" s="19" t="str">
        <x:v>D:/Codex/GRL研究/outputs/grid21/GRID21_report.md</x:v>
      </x:c>
    </x:row>
    <x:row r="1221" ht="36" customHeight="1">
      <x:c r="A1221" s="19" t="str">
        <x:v>GRID21</x:v>
      </x:c>
      <x:c r="B1221" s="19" t="str">
        <x:v>GRID21_report.md</x:v>
      </x:c>
      <x:c r="C1221" s="19" t="str">
        <x:v>1. GRID21：保留PPO先验的有界残差修订V1</x:v>
      </x:c>
      <x:c r="D1221" s="19" t="str">
        <x:v>方法=BIAS_seed0；K=32</x:v>
      </x:c>
      <x:c r="E1221" s="19" t="str">
        <x:v>回退</x:v>
      </x:c>
      <x:c r="F1221" s="19" t="str">
        <x:v>11.250%</x:v>
      </x:c>
      <x:c r="G1221" s="19" t="str">
        <x:v>其他/配置</x:v>
      </x:c>
      <x:c r="H1221" s="19" t="str">
        <x:v>D:/Codex/GRL研究/outputs/grid21/GRID21_report.md</x:v>
      </x:c>
    </x:row>
    <x:row r="1222" ht="36" customHeight="1">
      <x:c r="A1222" s="19" t="str">
        <x:v>GRID21</x:v>
      </x:c>
      <x:c r="B1222" s="19" t="str">
        <x:v>GRID21_report.md</x:v>
      </x:c>
      <x:c r="C1222" s="19" t="str">
        <x:v>1. GRID21：保留PPO先验的有界残差修订V1</x:v>
      </x:c>
      <x:c r="D1222" s="19" t="str">
        <x:v>方法=BIAS_seed0；K=32</x:v>
      </x:c>
      <x:c r="E1222" s="19" t="str">
        <x:v>唯一公共查询减少</x:v>
      </x:c>
      <x:c r="F1222" s="19" t="str">
        <x:v>86.494%</x:v>
      </x:c>
      <x:c r="G1222" s="19" t="str">
        <x:v>速度/计算</x:v>
      </x:c>
      <x:c r="H1222" s="19" t="str">
        <x:v>D:/Codex/GRL研究/outputs/grid21/GRID21_report.md</x:v>
      </x:c>
    </x:row>
    <x:row r="1223" ht="36" customHeight="1">
      <x:c r="A1223" s="19" t="str">
        <x:v>GRID21</x:v>
      </x:c>
      <x:c r="B1223" s="19" t="str">
        <x:v>GRID21_report.md</x:v>
      </x:c>
      <x:c r="C1223" s="19" t="str">
        <x:v>1. GRID21：保留PPO先验的有界残差修订V1</x:v>
      </x:c>
      <x:c r="D1223" s="19" t="str">
        <x:v>方法=BIAS_seed0；K=32</x:v>
      </x:c>
      <x:c r="E1223" s="19" t="str">
        <x:v>交付ρ差</x:v>
      </x:c>
      <x:c r="F1223" s="19" t="str">
        <x:v>0.00235</x:v>
      </x:c>
      <x:c r="G1223" s="19" t="str">
        <x:v>质量/成本</x:v>
      </x:c>
      <x:c r="H1223" s="19" t="str">
        <x:v>D:/Codex/GRL研究/outputs/grid21/GRID21_report.md</x:v>
      </x:c>
    </x:row>
    <x:row r="1224" ht="36" customHeight="1">
      <x:c r="A1224" s="19" t="str">
        <x:v>GRID21</x:v>
      </x:c>
      <x:c r="B1224" s="19" t="str">
        <x:v>GRID21_report.md</x:v>
      </x:c>
      <x:c r="C1224" s="19" t="str">
        <x:v>1. GRID21：保留PPO先验的有界残差修订V1</x:v>
      </x:c>
      <x:c r="D1224" s="19" t="str">
        <x:v>方法=BIAS_seed0；K=128</x:v>
      </x:c>
      <x:c r="E1224" s="19" t="str">
        <x:v>K</x:v>
      </x:c>
      <x:c r="F1224" s="19" t="str">
        <x:v>128</x:v>
      </x:c>
      <x:c r="G1224" s="19" t="str">
        <x:v>其他/配置</x:v>
      </x:c>
      <x:c r="H1224" s="19" t="str">
        <x:v>D:/Codex/GRL研究/outputs/grid21/GRID21_report.md</x:v>
      </x:c>
    </x:row>
    <x:row r="1225" ht="36" customHeight="1">
      <x:c r="A1225" s="19" t="str">
        <x:v>GRID21</x:v>
      </x:c>
      <x:c r="B1225" s="19" t="str">
        <x:v>GRID21_report.md</x:v>
      </x:c>
      <x:c r="C1225" s="19" t="str">
        <x:v>1. GRID21：保留PPO先验的有界残差修订V1</x:v>
      </x:c>
      <x:c r="D1225" s="19" t="str">
        <x:v>方法=BIAS_seed0；K=128</x:v>
      </x:c>
      <x:c r="E1225" s="19" t="str">
        <x:v>近最佳保留</x:v>
      </x:c>
      <x:c r="F1225" s="19" t="str">
        <x:v>100.000%</x:v>
      </x:c>
      <x:c r="G1225" s="19" t="str">
        <x:v>质量/成本</x:v>
      </x:c>
      <x:c r="H1225" s="19" t="str">
        <x:v>D:/Codex/GRL研究/outputs/grid21/GRID21_report.md</x:v>
      </x:c>
    </x:row>
    <x:row r="1226" ht="36" customHeight="1">
      <x:c r="A1226" s="19" t="str">
        <x:v>GRID21</x:v>
      </x:c>
      <x:c r="B1226" s="19" t="str">
        <x:v>GRID21_report.md</x:v>
      </x:c>
      <x:c r="C1226" s="19" t="str">
        <x:v>1. GRID21：保留PPO先验的有界残差修订V1</x:v>
      </x:c>
      <x:c r="D1226" s="19" t="str">
        <x:v>方法=BIAS_seed0；K=128</x:v>
      </x:c>
      <x:c r="E1226" s="19" t="str">
        <x:v>回退</x:v>
      </x:c>
      <x:c r="F1226" s="19" t="str">
        <x:v>8.125%</x:v>
      </x:c>
      <x:c r="G1226" s="19" t="str">
        <x:v>其他/配置</x:v>
      </x:c>
      <x:c r="H1226" s="19" t="str">
        <x:v>D:/Codex/GRL研究/outputs/grid21/GRID21_report.md</x:v>
      </x:c>
    </x:row>
    <x:row r="1227" ht="36" customHeight="1">
      <x:c r="A1227" s="19" t="str">
        <x:v>GRID21</x:v>
      </x:c>
      <x:c r="B1227" s="19" t="str">
        <x:v>GRID21_report.md</x:v>
      </x:c>
      <x:c r="C1227" s="19" t="str">
        <x:v>1. GRID21：保留PPO先验的有界残差修订V1</x:v>
      </x:c>
      <x:c r="D1227" s="19" t="str">
        <x:v>方法=BIAS_seed0；K=128</x:v>
      </x:c>
      <x:c r="E1227" s="19" t="str">
        <x:v>唯一公共查询减少</x:v>
      </x:c>
      <x:c r="F1227" s="19" t="str">
        <x:v>79.392%</x:v>
      </x:c>
      <x:c r="G1227" s="19" t="str">
        <x:v>速度/计算</x:v>
      </x:c>
      <x:c r="H1227" s="19" t="str">
        <x:v>D:/Codex/GRL研究/outputs/grid21/GRID21_report.md</x:v>
      </x:c>
    </x:row>
    <x:row r="1228" ht="36" customHeight="1">
      <x:c r="A1228" s="19" t="str">
        <x:v>GRID21</x:v>
      </x:c>
      <x:c r="B1228" s="19" t="str">
        <x:v>GRID21_report.md</x:v>
      </x:c>
      <x:c r="C1228" s="19" t="str">
        <x:v>1. GRID21：保留PPO先验的有界残差修订V1</x:v>
      </x:c>
      <x:c r="D1228" s="19" t="str">
        <x:v>方法=BIAS_seed0；K=128</x:v>
      </x:c>
      <x:c r="E1228" s="19" t="str">
        <x:v>交付ρ差</x:v>
      </x:c>
      <x:c r="F1228" s="19" t="str">
        <x:v>0.00025</x:v>
      </x:c>
      <x:c r="G1228" s="19" t="str">
        <x:v>质量/成本</x:v>
      </x:c>
      <x:c r="H1228" s="19" t="str">
        <x:v>D:/Codex/GRL研究/outputs/grid21/GRID21_report.md</x:v>
      </x:c>
    </x:row>
    <x:row r="1229" ht="36" customHeight="1">
      <x:c r="A1229" s="19" t="str">
        <x:v>GRID21</x:v>
      </x:c>
      <x:c r="B1229" s="19" t="str">
        <x:v>GRID21_report.md</x:v>
      </x:c>
      <x:c r="C1229" s="19" t="str">
        <x:v>1. GRID21：保留PPO先验的有界残差修订V1</x:v>
      </x:c>
      <x:c r="D1229" s="19" t="str">
        <x:v>方法=BIAS_seed1；K=32</x:v>
      </x:c>
      <x:c r="E1229" s="19" t="str">
        <x:v>K</x:v>
      </x:c>
      <x:c r="F1229" s="19" t="str">
        <x:v>32</x:v>
      </x:c>
      <x:c r="G1229" s="19" t="str">
        <x:v>其他/配置</x:v>
      </x:c>
      <x:c r="H1229" s="19" t="str">
        <x:v>D:/Codex/GRL研究/outputs/grid21/GRID21_report.md</x:v>
      </x:c>
    </x:row>
    <x:row r="1230" ht="36" customHeight="1">
      <x:c r="A1230" s="19" t="str">
        <x:v>GRID21</x:v>
      </x:c>
      <x:c r="B1230" s="19" t="str">
        <x:v>GRID21_report.md</x:v>
      </x:c>
      <x:c r="C1230" s="19" t="str">
        <x:v>1. GRID21：保留PPO先验的有界残差修订V1</x:v>
      </x:c>
      <x:c r="D1230" s="19" t="str">
        <x:v>方法=BIAS_seed1；K=32</x:v>
      </x:c>
      <x:c r="E1230" s="19" t="str">
        <x:v>近最佳保留</x:v>
      </x:c>
      <x:c r="F1230" s="19" t="str">
        <x:v>90.584%</x:v>
      </x:c>
      <x:c r="G1230" s="19" t="str">
        <x:v>质量/成本</x:v>
      </x:c>
      <x:c r="H1230" s="19" t="str">
        <x:v>D:/Codex/GRL研究/outputs/grid21/GRID21_report.md</x:v>
      </x:c>
    </x:row>
    <x:row r="1231" ht="36" customHeight="1">
      <x:c r="A1231" s="19" t="str">
        <x:v>GRID21</x:v>
      </x:c>
      <x:c r="B1231" s="19" t="str">
        <x:v>GRID21_report.md</x:v>
      </x:c>
      <x:c r="C1231" s="19" t="str">
        <x:v>1. GRID21：保留PPO先验的有界残差修订V1</x:v>
      </x:c>
      <x:c r="D1231" s="19" t="str">
        <x:v>方法=BIAS_seed1；K=32</x:v>
      </x:c>
      <x:c r="E1231" s="19" t="str">
        <x:v>回退</x:v>
      </x:c>
      <x:c r="F1231" s="19" t="str">
        <x:v>11.250%</x:v>
      </x:c>
      <x:c r="G1231" s="19" t="str">
        <x:v>其他/配置</x:v>
      </x:c>
      <x:c r="H1231" s="19" t="str">
        <x:v>D:/Codex/GRL研究/outputs/grid21/GRID21_report.md</x:v>
      </x:c>
    </x:row>
    <x:row r="1232" ht="36" customHeight="1">
      <x:c r="A1232" s="19" t="str">
        <x:v>GRID21</x:v>
      </x:c>
      <x:c r="B1232" s="19" t="str">
        <x:v>GRID21_report.md</x:v>
      </x:c>
      <x:c r="C1232" s="19" t="str">
        <x:v>1. GRID21：保留PPO先验的有界残差修订V1</x:v>
      </x:c>
      <x:c r="D1232" s="19" t="str">
        <x:v>方法=BIAS_seed1；K=32</x:v>
      </x:c>
      <x:c r="E1232" s="19" t="str">
        <x:v>唯一公共查询减少</x:v>
      </x:c>
      <x:c r="F1232" s="19" t="str">
        <x:v>86.494%</x:v>
      </x:c>
      <x:c r="G1232" s="19" t="str">
        <x:v>速度/计算</x:v>
      </x:c>
      <x:c r="H1232" s="19" t="str">
        <x:v>D:/Codex/GRL研究/outputs/grid21/GRID21_report.md</x:v>
      </x:c>
    </x:row>
    <x:row r="1233" ht="36" customHeight="1">
      <x:c r="A1233" s="19" t="str">
        <x:v>GRID21</x:v>
      </x:c>
      <x:c r="B1233" s="19" t="str">
        <x:v>GRID21_report.md</x:v>
      </x:c>
      <x:c r="C1233" s="19" t="str">
        <x:v>1. GRID21：保留PPO先验的有界残差修订V1</x:v>
      </x:c>
      <x:c r="D1233" s="19" t="str">
        <x:v>方法=BIAS_seed1；K=32</x:v>
      </x:c>
      <x:c r="E1233" s="19" t="str">
        <x:v>交付ρ差</x:v>
      </x:c>
      <x:c r="F1233" s="19" t="str">
        <x:v>0.00235</x:v>
      </x:c>
      <x:c r="G1233" s="19" t="str">
        <x:v>质量/成本</x:v>
      </x:c>
      <x:c r="H1233" s="19" t="str">
        <x:v>D:/Codex/GRL研究/outputs/grid21/GRID21_report.md</x:v>
      </x:c>
    </x:row>
    <x:row r="1234" ht="36" customHeight="1">
      <x:c r="A1234" s="19" t="str">
        <x:v>GRID21</x:v>
      </x:c>
      <x:c r="B1234" s="19" t="str">
        <x:v>GRID21_report.md</x:v>
      </x:c>
      <x:c r="C1234" s="19" t="str">
        <x:v>1. GRID21：保留PPO先验的有界残差修订V1</x:v>
      </x:c>
      <x:c r="D1234" s="19" t="str">
        <x:v>方法=BIAS_seed1；K=128</x:v>
      </x:c>
      <x:c r="E1234" s="19" t="str">
        <x:v>K</x:v>
      </x:c>
      <x:c r="F1234" s="19" t="str">
        <x:v>128</x:v>
      </x:c>
      <x:c r="G1234" s="19" t="str">
        <x:v>其他/配置</x:v>
      </x:c>
      <x:c r="H1234" s="19" t="str">
        <x:v>D:/Codex/GRL研究/outputs/grid21/GRID21_report.md</x:v>
      </x:c>
    </x:row>
    <x:row r="1235" ht="36" customHeight="1">
      <x:c r="A1235" s="19" t="str">
        <x:v>GRID21</x:v>
      </x:c>
      <x:c r="B1235" s="19" t="str">
        <x:v>GRID21_report.md</x:v>
      </x:c>
      <x:c r="C1235" s="19" t="str">
        <x:v>1. GRID21：保留PPO先验的有界残差修订V1</x:v>
      </x:c>
      <x:c r="D1235" s="19" t="str">
        <x:v>方法=BIAS_seed1；K=128</x:v>
      </x:c>
      <x:c r="E1235" s="19" t="str">
        <x:v>近最佳保留</x:v>
      </x:c>
      <x:c r="F1235" s="19" t="str">
        <x:v>100.000%</x:v>
      </x:c>
      <x:c r="G1235" s="19" t="str">
        <x:v>质量/成本</x:v>
      </x:c>
      <x:c r="H1235" s="19" t="str">
        <x:v>D:/Codex/GRL研究/outputs/grid21/GRID21_report.md</x:v>
      </x:c>
    </x:row>
    <x:row r="1236" ht="36" customHeight="1">
      <x:c r="A1236" s="19" t="str">
        <x:v>GRID21</x:v>
      </x:c>
      <x:c r="B1236" s="19" t="str">
        <x:v>GRID21_report.md</x:v>
      </x:c>
      <x:c r="C1236" s="19" t="str">
        <x:v>1. GRID21：保留PPO先验的有界残差修订V1</x:v>
      </x:c>
      <x:c r="D1236" s="19" t="str">
        <x:v>方法=BIAS_seed1；K=128</x:v>
      </x:c>
      <x:c r="E1236" s="19" t="str">
        <x:v>回退</x:v>
      </x:c>
      <x:c r="F1236" s="19" t="str">
        <x:v>8.125%</x:v>
      </x:c>
      <x:c r="G1236" s="19" t="str">
        <x:v>其他/配置</x:v>
      </x:c>
      <x:c r="H1236" s="19" t="str">
        <x:v>D:/Codex/GRL研究/outputs/grid21/GRID21_report.md</x:v>
      </x:c>
    </x:row>
    <x:row r="1237" ht="36" customHeight="1">
      <x:c r="A1237" s="19" t="str">
        <x:v>GRID21</x:v>
      </x:c>
      <x:c r="B1237" s="19" t="str">
        <x:v>GRID21_report.md</x:v>
      </x:c>
      <x:c r="C1237" s="19" t="str">
        <x:v>1. GRID21：保留PPO先验的有界残差修订V1</x:v>
      </x:c>
      <x:c r="D1237" s="19" t="str">
        <x:v>方法=BIAS_seed1；K=128</x:v>
      </x:c>
      <x:c r="E1237" s="19" t="str">
        <x:v>唯一公共查询减少</x:v>
      </x:c>
      <x:c r="F1237" s="19" t="str">
        <x:v>79.392%</x:v>
      </x:c>
      <x:c r="G1237" s="19" t="str">
        <x:v>速度/计算</x:v>
      </x:c>
      <x:c r="H1237" s="19" t="str">
        <x:v>D:/Codex/GRL研究/outputs/grid21/GRID21_report.md</x:v>
      </x:c>
    </x:row>
    <x:row r="1238" ht="36" customHeight="1">
      <x:c r="A1238" s="19" t="str">
        <x:v>GRID21</x:v>
      </x:c>
      <x:c r="B1238" s="19" t="str">
        <x:v>GRID21_report.md</x:v>
      </x:c>
      <x:c r="C1238" s="19" t="str">
        <x:v>1. GRID21：保留PPO先验的有界残差修订V1</x:v>
      </x:c>
      <x:c r="D1238" s="19" t="str">
        <x:v>方法=BIAS_seed1；K=128</x:v>
      </x:c>
      <x:c r="E1238" s="19" t="str">
        <x:v>交付ρ差</x:v>
      </x:c>
      <x:c r="F1238" s="19" t="str">
        <x:v>0.00025</x:v>
      </x:c>
      <x:c r="G1238" s="19" t="str">
        <x:v>质量/成本</x:v>
      </x:c>
      <x:c r="H1238" s="19" t="str">
        <x:v>D:/Codex/GRL研究/outputs/grid21/GRID21_report.md</x:v>
      </x:c>
    </x:row>
    <x:row r="1239" ht="36" customHeight="1">
      <x:c r="A1239" s="19" t="str">
        <x:v>GRID21</x:v>
      </x:c>
      <x:c r="B1239" s="19" t="str">
        <x:v>GRID21_report.md</x:v>
      </x:c>
      <x:c r="C1239" s="19" t="str">
        <x:v>1. GRID21：保留PPO先验的有界残差修订V1</x:v>
      </x:c>
      <x:c r="D1239" s="19" t="str">
        <x:v>方法=FREQUENCY；K=32</x:v>
      </x:c>
      <x:c r="E1239" s="19" t="str">
        <x:v>K</x:v>
      </x:c>
      <x:c r="F1239" s="19" t="str">
        <x:v>32</x:v>
      </x:c>
      <x:c r="G1239" s="19" t="str">
        <x:v>其他/配置</x:v>
      </x:c>
      <x:c r="H1239" s="19" t="str">
        <x:v>D:/Codex/GRL研究/outputs/grid21/GRID21_report.md</x:v>
      </x:c>
    </x:row>
    <x:row r="1240" ht="36" customHeight="1">
      <x:c r="A1240" s="19" t="str">
        <x:v>GRID21</x:v>
      </x:c>
      <x:c r="B1240" s="19" t="str">
        <x:v>GRID21_report.md</x:v>
      </x:c>
      <x:c r="C1240" s="19" t="str">
        <x:v>1. GRID21：保留PPO先验的有界残差修订V1</x:v>
      </x:c>
      <x:c r="D1240" s="19" t="str">
        <x:v>方法=FREQUENCY；K=32</x:v>
      </x:c>
      <x:c r="E1240" s="19" t="str">
        <x:v>近最佳保留</x:v>
      </x:c>
      <x:c r="F1240" s="19" t="str">
        <x:v>55.114%</x:v>
      </x:c>
      <x:c r="G1240" s="19" t="str">
        <x:v>质量/成本</x:v>
      </x:c>
      <x:c r="H1240" s="19" t="str">
        <x:v>D:/Codex/GRL研究/outputs/grid21/GRID21_report.md</x:v>
      </x:c>
    </x:row>
    <x:row r="1241" ht="36" customHeight="1">
      <x:c r="A1241" s="19" t="str">
        <x:v>GRID21</x:v>
      </x:c>
      <x:c r="B1241" s="19" t="str">
        <x:v>GRID21_report.md</x:v>
      </x:c>
      <x:c r="C1241" s="19" t="str">
        <x:v>1. GRID21：保留PPO先验的有界残差修订V1</x:v>
      </x:c>
      <x:c r="D1241" s="19" t="str">
        <x:v>方法=FREQUENCY；K=32</x:v>
      </x:c>
      <x:c r="E1241" s="19" t="str">
        <x:v>回退</x:v>
      </x:c>
      <x:c r="F1241" s="19" t="str">
        <x:v>12.670%</x:v>
      </x:c>
      <x:c r="G1241" s="19" t="str">
        <x:v>其他/配置</x:v>
      </x:c>
      <x:c r="H1241" s="19" t="str">
        <x:v>D:/Codex/GRL研究/outputs/grid21/GRID21_report.md</x:v>
      </x:c>
    </x:row>
    <x:row r="1242" ht="36" customHeight="1">
      <x:c r="A1242" s="19" t="str">
        <x:v>GRID21</x:v>
      </x:c>
      <x:c r="B1242" s="19" t="str">
        <x:v>GRID21_report.md</x:v>
      </x:c>
      <x:c r="C1242" s="19" t="str">
        <x:v>1. GRID21：保留PPO先验的有界残差修订V1</x:v>
      </x:c>
      <x:c r="D1242" s="19" t="str">
        <x:v>方法=FREQUENCY；K=32</x:v>
      </x:c>
      <x:c r="E1242" s="19" t="str">
        <x:v>唯一公共查询减少</x:v>
      </x:c>
      <x:c r="F1242" s="19" t="str">
        <x:v>84.993%</x:v>
      </x:c>
      <x:c r="G1242" s="19" t="str">
        <x:v>速度/计算</x:v>
      </x:c>
      <x:c r="H1242" s="19" t="str">
        <x:v>D:/Codex/GRL研究/outputs/grid21/GRID21_report.md</x:v>
      </x:c>
    </x:row>
    <x:row r="1243" ht="36" customHeight="1">
      <x:c r="A1243" s="19" t="str">
        <x:v>GRID21</x:v>
      </x:c>
      <x:c r="B1243" s="19" t="str">
        <x:v>GRID21_report.md</x:v>
      </x:c>
      <x:c r="C1243" s="19" t="str">
        <x:v>1. GRID21：保留PPO先验的有界残差修订V1</x:v>
      </x:c>
      <x:c r="D1243" s="19" t="str">
        <x:v>方法=FREQUENCY；K=32</x:v>
      </x:c>
      <x:c r="E1243" s="19" t="str">
        <x:v>交付ρ差</x:v>
      </x:c>
      <x:c r="F1243" s="19" t="str">
        <x:v>0.01243</x:v>
      </x:c>
      <x:c r="G1243" s="19" t="str">
        <x:v>质量/成本</x:v>
      </x:c>
      <x:c r="H1243" s="19" t="str">
        <x:v>D:/Codex/GRL研究/outputs/grid21/GRID21_report.md</x:v>
      </x:c>
    </x:row>
    <x:row r="1244" ht="36" customHeight="1">
      <x:c r="A1244" s="19" t="str">
        <x:v>GRID21</x:v>
      </x:c>
      <x:c r="B1244" s="19" t="str">
        <x:v>GRID21_report.md</x:v>
      </x:c>
      <x:c r="C1244" s="19" t="str">
        <x:v>1. GRID21：保留PPO先验的有界残差修订V1</x:v>
      </x:c>
      <x:c r="D1244" s="19" t="str">
        <x:v>方法=FREQUENCY；K=128</x:v>
      </x:c>
      <x:c r="E1244" s="19" t="str">
        <x:v>K</x:v>
      </x:c>
      <x:c r="F1244" s="19" t="str">
        <x:v>128</x:v>
      </x:c>
      <x:c r="G1244" s="19" t="str">
        <x:v>其他/配置</x:v>
      </x:c>
      <x:c r="H1244" s="19" t="str">
        <x:v>D:/Codex/GRL研究/outputs/grid21/GRID21_report.md</x:v>
      </x:c>
    </x:row>
    <x:row r="1245" ht="36" customHeight="1">
      <x:c r="A1245" s="19" t="str">
        <x:v>GRID21</x:v>
      </x:c>
      <x:c r="B1245" s="19" t="str">
        <x:v>GRID21_report.md</x:v>
      </x:c>
      <x:c r="C1245" s="19" t="str">
        <x:v>1. GRID21：保留PPO先验的有界残差修订V1</x:v>
      </x:c>
      <x:c r="D1245" s="19" t="str">
        <x:v>方法=FREQUENCY；K=128</x:v>
      </x:c>
      <x:c r="E1245" s="19" t="str">
        <x:v>近最佳保留</x:v>
      </x:c>
      <x:c r="F1245" s="19" t="str">
        <x:v>95.455%</x:v>
      </x:c>
      <x:c r="G1245" s="19" t="str">
        <x:v>质量/成本</x:v>
      </x:c>
      <x:c r="H1245" s="19" t="str">
        <x:v>D:/Codex/GRL研究/outputs/grid21/GRID21_report.md</x:v>
      </x:c>
    </x:row>
    <x:row r="1246" ht="36" customHeight="1">
      <x:c r="A1246" s="19" t="str">
        <x:v>GRID21</x:v>
      </x:c>
      <x:c r="B1246" s="19" t="str">
        <x:v>GRID21_report.md</x:v>
      </x:c>
      <x:c r="C1246" s="19" t="str">
        <x:v>1. GRID21：保留PPO先验的有界残差修订V1</x:v>
      </x:c>
      <x:c r="D1246" s="19" t="str">
        <x:v>方法=FREQUENCY；K=128</x:v>
      </x:c>
      <x:c r="E1246" s="19" t="str">
        <x:v>回退</x:v>
      </x:c>
      <x:c r="F1246" s="19" t="str">
        <x:v>8.125%</x:v>
      </x:c>
      <x:c r="G1246" s="19" t="str">
        <x:v>其他/配置</x:v>
      </x:c>
      <x:c r="H1246" s="19" t="str">
        <x:v>D:/Codex/GRL研究/outputs/grid21/GRID21_report.md</x:v>
      </x:c>
    </x:row>
    <x:row r="1247" ht="36" customHeight="1">
      <x:c r="A1247" s="19" t="str">
        <x:v>GRID21</x:v>
      </x:c>
      <x:c r="B1247" s="19" t="str">
        <x:v>GRID21_report.md</x:v>
      </x:c>
      <x:c r="C1247" s="19" t="str">
        <x:v>1. GRID21：保留PPO先验的有界残差修订V1</x:v>
      </x:c>
      <x:c r="D1247" s="19" t="str">
        <x:v>方法=FREQUENCY；K=128</x:v>
      </x:c>
      <x:c r="E1247" s="19" t="str">
        <x:v>唯一公共查询减少</x:v>
      </x:c>
      <x:c r="F1247" s="19" t="str">
        <x:v>79.392%</x:v>
      </x:c>
      <x:c r="G1247" s="19" t="str">
        <x:v>速度/计算</x:v>
      </x:c>
      <x:c r="H1247" s="19" t="str">
        <x:v>D:/Codex/GRL研究/outputs/grid21/GRID21_report.md</x:v>
      </x:c>
    </x:row>
    <x:row r="1248" ht="36" customHeight="1">
      <x:c r="A1248" s="19" t="str">
        <x:v>GRID21</x:v>
      </x:c>
      <x:c r="B1248" s="19" t="str">
        <x:v>GRID21_report.md</x:v>
      </x:c>
      <x:c r="C1248" s="19" t="str">
        <x:v>1. GRID21：保留PPO先验的有界残差修订V1</x:v>
      </x:c>
      <x:c r="D1248" s="19" t="str">
        <x:v>方法=FREQUENCY；K=128</x:v>
      </x:c>
      <x:c r="E1248" s="19" t="str">
        <x:v>交付ρ差</x:v>
      </x:c>
      <x:c r="F1248" s="19" t="str">
        <x:v>0.00147</x:v>
      </x:c>
      <x:c r="G1248" s="19" t="str">
        <x:v>质量/成本</x:v>
      </x:c>
      <x:c r="H1248" s="19" t="str">
        <x:v>D:/Codex/GRL研究/outputs/grid21/GRID21_report.md</x:v>
      </x:c>
    </x:row>
    <x:row r="1249" ht="36" customHeight="1">
      <x:c r="A1249" s="19" t="str">
        <x:v>GRID21</x:v>
      </x:c>
      <x:c r="B1249" s="19" t="str">
        <x:v>GRID21_report.md</x:v>
      </x:c>
      <x:c r="C1249" s="19" t="str">
        <x:v>1. GRID21：保留PPO先验的有界残差修订V1</x:v>
      </x:c>
      <x:c r="D1249" s="19" t="str">
        <x:v>方法=RIDGE；K=32</x:v>
      </x:c>
      <x:c r="E1249" s="19" t="str">
        <x:v>K</x:v>
      </x:c>
      <x:c r="F1249" s="19" t="str">
        <x:v>32</x:v>
      </x:c>
      <x:c r="G1249" s="19" t="str">
        <x:v>其他/配置</x:v>
      </x:c>
      <x:c r="H1249" s="19" t="str">
        <x:v>D:/Codex/GRL研究/outputs/grid21/GRID21_report.md</x:v>
      </x:c>
    </x:row>
    <x:row r="1250" ht="36" customHeight="1">
      <x:c r="A1250" s="19" t="str">
        <x:v>GRID21</x:v>
      </x:c>
      <x:c r="B1250" s="19" t="str">
        <x:v>GRID21_report.md</x:v>
      </x:c>
      <x:c r="C1250" s="19" t="str">
        <x:v>1. GRID21：保留PPO先验的有界残差修订V1</x:v>
      </x:c>
      <x:c r="D1250" s="19" t="str">
        <x:v>方法=RIDGE；K=32</x:v>
      </x:c>
      <x:c r="E1250" s="19" t="str">
        <x:v>近最佳保留</x:v>
      </x:c>
      <x:c r="F1250" s="19" t="str">
        <x:v>69.318%</x:v>
      </x:c>
      <x:c r="G1250" s="19" t="str">
        <x:v>质量/成本</x:v>
      </x:c>
      <x:c r="H1250" s="19" t="str">
        <x:v>D:/Codex/GRL研究/outputs/grid21/GRID21_report.md</x:v>
      </x:c>
    </x:row>
    <x:row r="1251" ht="36" customHeight="1">
      <x:c r="A1251" s="19" t="str">
        <x:v>GRID21</x:v>
      </x:c>
      <x:c r="B1251" s="19" t="str">
        <x:v>GRID21_report.md</x:v>
      </x:c>
      <x:c r="C1251" s="19" t="str">
        <x:v>1. GRID21：保留PPO先验的有界残差修订V1</x:v>
      </x:c>
      <x:c r="D1251" s="19" t="str">
        <x:v>方法=RIDGE；K=32</x:v>
      </x:c>
      <x:c r="E1251" s="19" t="str">
        <x:v>回退</x:v>
      </x:c>
      <x:c r="F1251" s="19" t="str">
        <x:v>14.943%</x:v>
      </x:c>
      <x:c r="G1251" s="19" t="str">
        <x:v>其他/配置</x:v>
      </x:c>
      <x:c r="H1251" s="19" t="str">
        <x:v>D:/Codex/GRL研究/outputs/grid21/GRID21_report.md</x:v>
      </x:c>
    </x:row>
    <x:row r="1252" ht="36" customHeight="1">
      <x:c r="A1252" s="19" t="str">
        <x:v>GRID21</x:v>
      </x:c>
      <x:c r="B1252" s="19" t="str">
        <x:v>GRID21_report.md</x:v>
      </x:c>
      <x:c r="C1252" s="19" t="str">
        <x:v>1. GRID21：保留PPO先验的有界残差修订V1</x:v>
      </x:c>
      <x:c r="D1252" s="19" t="str">
        <x:v>方法=RIDGE；K=32</x:v>
      </x:c>
      <x:c r="E1252" s="19" t="str">
        <x:v>唯一公共查询减少</x:v>
      </x:c>
      <x:c r="F1252" s="19" t="str">
        <x:v>82.861%</x:v>
      </x:c>
      <x:c r="G1252" s="19" t="str">
        <x:v>速度/计算</x:v>
      </x:c>
      <x:c r="H1252" s="19" t="str">
        <x:v>D:/Codex/GRL研究/outputs/grid21/GRID21_report.md</x:v>
      </x:c>
    </x:row>
    <x:row r="1253" ht="36" customHeight="1">
      <x:c r="A1253" s="19" t="str">
        <x:v>GRID21</x:v>
      </x:c>
      <x:c r="B1253" s="19" t="str">
        <x:v>GRID21_report.md</x:v>
      </x:c>
      <x:c r="C1253" s="19" t="str">
        <x:v>1. GRID21：保留PPO先验的有界残差修订V1</x:v>
      </x:c>
      <x:c r="D1253" s="19" t="str">
        <x:v>方法=RIDGE；K=32</x:v>
      </x:c>
      <x:c r="E1253" s="19" t="str">
        <x:v>交付ρ差</x:v>
      </x:c>
      <x:c r="F1253" s="19" t="str">
        <x:v>0.01048</x:v>
      </x:c>
      <x:c r="G1253" s="19" t="str">
        <x:v>质量/成本</x:v>
      </x:c>
      <x:c r="H1253" s="19" t="str">
        <x:v>D:/Codex/GRL研究/outputs/grid21/GRID21_report.md</x:v>
      </x:c>
    </x:row>
    <x:row r="1254" ht="36" customHeight="1">
      <x:c r="A1254" s="19" t="str">
        <x:v>GRID21</x:v>
      </x:c>
      <x:c r="B1254" s="19" t="str">
        <x:v>GRID21_report.md</x:v>
      </x:c>
      <x:c r="C1254" s="19" t="str">
        <x:v>1. GRID21：保留PPO先验的有界残差修订V1</x:v>
      </x:c>
      <x:c r="D1254" s="19" t="str">
        <x:v>方法=RIDGE；K=128</x:v>
      </x:c>
      <x:c r="E1254" s="19" t="str">
        <x:v>K</x:v>
      </x:c>
      <x:c r="F1254" s="19" t="str">
        <x:v>128</x:v>
      </x:c>
      <x:c r="G1254" s="19" t="str">
        <x:v>其他/配置</x:v>
      </x:c>
      <x:c r="H1254" s="19" t="str">
        <x:v>D:/Codex/GRL研究/outputs/grid21/GRID21_report.md</x:v>
      </x:c>
    </x:row>
    <x:row r="1255" ht="36" customHeight="1">
      <x:c r="A1255" s="19" t="str">
        <x:v>GRID21</x:v>
      </x:c>
      <x:c r="B1255" s="19" t="str">
        <x:v>GRID21_report.md</x:v>
      </x:c>
      <x:c r="C1255" s="19" t="str">
        <x:v>1. GRID21：保留PPO先验的有界残差修订V1</x:v>
      </x:c>
      <x:c r="D1255" s="19" t="str">
        <x:v>方法=RIDGE；K=128</x:v>
      </x:c>
      <x:c r="E1255" s="19" t="str">
        <x:v>近最佳保留</x:v>
      </x:c>
      <x:c r="F1255" s="19" t="str">
        <x:v>95.455%</x:v>
      </x:c>
      <x:c r="G1255" s="19" t="str">
        <x:v>质量/成本</x:v>
      </x:c>
      <x:c r="H1255" s="19" t="str">
        <x:v>D:/Codex/GRL研究/outputs/grid21/GRID21_report.md</x:v>
      </x:c>
    </x:row>
    <x:row r="1256" ht="36" customHeight="1">
      <x:c r="A1256" s="19" t="str">
        <x:v>GRID21</x:v>
      </x:c>
      <x:c r="B1256" s="19" t="str">
        <x:v>GRID21_report.md</x:v>
      </x:c>
      <x:c r="C1256" s="19" t="str">
        <x:v>1. GRID21：保留PPO先验的有界残差修订V1</x:v>
      </x:c>
      <x:c r="D1256" s="19" t="str">
        <x:v>方法=RIDGE；K=128</x:v>
      </x:c>
      <x:c r="E1256" s="19" t="str">
        <x:v>回退</x:v>
      </x:c>
      <x:c r="F1256" s="19" t="str">
        <x:v>8.125%</x:v>
      </x:c>
      <x:c r="G1256" s="19" t="str">
        <x:v>其他/配置</x:v>
      </x:c>
      <x:c r="H1256" s="19" t="str">
        <x:v>D:/Codex/GRL研究/outputs/grid21/GRID21_report.md</x:v>
      </x:c>
    </x:row>
    <x:row r="1257" ht="36" customHeight="1">
      <x:c r="A1257" s="19" t="str">
        <x:v>GRID21</x:v>
      </x:c>
      <x:c r="B1257" s="19" t="str">
        <x:v>GRID21_report.md</x:v>
      </x:c>
      <x:c r="C1257" s="19" t="str">
        <x:v>1. GRID21：保留PPO先验的有界残差修订V1</x:v>
      </x:c>
      <x:c r="D1257" s="19" t="str">
        <x:v>方法=RIDGE；K=128</x:v>
      </x:c>
      <x:c r="E1257" s="19" t="str">
        <x:v>唯一公共查询减少</x:v>
      </x:c>
      <x:c r="F1257" s="19" t="str">
        <x:v>79.392%</x:v>
      </x:c>
      <x:c r="G1257" s="19" t="str">
        <x:v>速度/计算</x:v>
      </x:c>
      <x:c r="H1257" s="19" t="str">
        <x:v>D:/Codex/GRL研究/outputs/grid21/GRID21_report.md</x:v>
      </x:c>
    </x:row>
    <x:row r="1258" ht="36" customHeight="1">
      <x:c r="A1258" s="19" t="str">
        <x:v>GRID21</x:v>
      </x:c>
      <x:c r="B1258" s="19" t="str">
        <x:v>GRID21_report.md</x:v>
      </x:c>
      <x:c r="C1258" s="19" t="str">
        <x:v>1. GRID21：保留PPO先验的有界残差修订V1</x:v>
      </x:c>
      <x:c r="D1258" s="19" t="str">
        <x:v>方法=RIDGE；K=128</x:v>
      </x:c>
      <x:c r="E1258" s="19" t="str">
        <x:v>交付ρ差</x:v>
      </x:c>
      <x:c r="F1258" s="19" t="str">
        <x:v>0.00179</x:v>
      </x:c>
      <x:c r="G1258" s="19" t="str">
        <x:v>质量/成本</x:v>
      </x:c>
      <x:c r="H1258" s="19" t="str">
        <x:v>D:/Codex/GRL研究/outputs/grid21/GRID21_report.md</x:v>
      </x:c>
    </x:row>
    <x:row r="1259" ht="36" customHeight="1">
      <x:c r="A1259" s="19" t="str">
        <x:v>GRID21</x:v>
      </x:c>
      <x:c r="B1259" s="19" t="str">
        <x:v>GRID21_report.md</x:v>
      </x:c>
      <x:c r="C1259" s="19" t="str">
        <x:v>1. GRID21：保留PPO先验的有界残差修订V1</x:v>
      </x:c>
      <x:c r="D1259" s="19" t="str">
        <x:v>方法=OLDNN；K=32</x:v>
      </x:c>
      <x:c r="E1259" s="19" t="str">
        <x:v>K</x:v>
      </x:c>
      <x:c r="F1259" s="19" t="str">
        <x:v>32</x:v>
      </x:c>
      <x:c r="G1259" s="19" t="str">
        <x:v>其他/配置</x:v>
      </x:c>
      <x:c r="H1259" s="19" t="str">
        <x:v>D:/Codex/GRL研究/outputs/grid21/GRID21_report.md</x:v>
      </x:c>
    </x:row>
    <x:row r="1260" ht="36" customHeight="1">
      <x:c r="A1260" s="19" t="str">
        <x:v>GRID21</x:v>
      </x:c>
      <x:c r="B1260" s="19" t="str">
        <x:v>GRID21_report.md</x:v>
      </x:c>
      <x:c r="C1260" s="19" t="str">
        <x:v>1. GRID21：保留PPO先验的有界残差修订V1</x:v>
      </x:c>
      <x:c r="D1260" s="19" t="str">
        <x:v>方法=OLDNN；K=32</x:v>
      </x:c>
      <x:c r="E1260" s="19" t="str">
        <x:v>近最佳保留</x:v>
      </x:c>
      <x:c r="F1260" s="19" t="str">
        <x:v>90.584%</x:v>
      </x:c>
      <x:c r="G1260" s="19" t="str">
        <x:v>质量/成本</x:v>
      </x:c>
      <x:c r="H1260" s="19" t="str">
        <x:v>D:/Codex/GRL研究/outputs/grid21/GRID21_report.md</x:v>
      </x:c>
    </x:row>
    <x:row r="1261" ht="36" customHeight="1">
      <x:c r="A1261" s="19" t="str">
        <x:v>GRID21</x:v>
      </x:c>
      <x:c r="B1261" s="19" t="str">
        <x:v>GRID21_report.md</x:v>
      </x:c>
      <x:c r="C1261" s="19" t="str">
        <x:v>1. GRID21：保留PPO先验的有界残差修订V1</x:v>
      </x:c>
      <x:c r="D1261" s="19" t="str">
        <x:v>方法=OLDNN；K=32</x:v>
      </x:c>
      <x:c r="E1261" s="19" t="str">
        <x:v>回退</x:v>
      </x:c>
      <x:c r="F1261" s="19" t="str">
        <x:v>11.250%</x:v>
      </x:c>
      <x:c r="G1261" s="19" t="str">
        <x:v>其他/配置</x:v>
      </x:c>
      <x:c r="H1261" s="19" t="str">
        <x:v>D:/Codex/GRL研究/outputs/grid21/GRID21_report.md</x:v>
      </x:c>
    </x:row>
    <x:row r="1262" ht="36" customHeight="1">
      <x:c r="A1262" s="19" t="str">
        <x:v>GRID21</x:v>
      </x:c>
      <x:c r="B1262" s="19" t="str">
        <x:v>GRID21_report.md</x:v>
      </x:c>
      <x:c r="C1262" s="19" t="str">
        <x:v>1. GRID21：保留PPO先验的有界残差修订V1</x:v>
      </x:c>
      <x:c r="D1262" s="19" t="str">
        <x:v>方法=OLDNN；K=32</x:v>
      </x:c>
      <x:c r="E1262" s="19" t="str">
        <x:v>唯一公共查询减少</x:v>
      </x:c>
      <x:c r="F1262" s="19" t="str">
        <x:v>86.494%</x:v>
      </x:c>
      <x:c r="G1262" s="19" t="str">
        <x:v>速度/计算</x:v>
      </x:c>
      <x:c r="H1262" s="19" t="str">
        <x:v>D:/Codex/GRL研究/outputs/grid21/GRID21_report.md</x:v>
      </x:c>
    </x:row>
    <x:row r="1263" ht="36" customHeight="1">
      <x:c r="A1263" s="19" t="str">
        <x:v>GRID21</x:v>
      </x:c>
      <x:c r="B1263" s="19" t="str">
        <x:v>GRID21_report.md</x:v>
      </x:c>
      <x:c r="C1263" s="19" t="str">
        <x:v>1. GRID21：保留PPO先验的有界残差修订V1</x:v>
      </x:c>
      <x:c r="D1263" s="19" t="str">
        <x:v>方法=OLDNN；K=32</x:v>
      </x:c>
      <x:c r="E1263" s="19" t="str">
        <x:v>交付ρ差</x:v>
      </x:c>
      <x:c r="F1263" s="19" t="str">
        <x:v>0.00235</x:v>
      </x:c>
      <x:c r="G1263" s="19" t="str">
        <x:v>质量/成本</x:v>
      </x:c>
      <x:c r="H1263" s="19" t="str">
        <x:v>D:/Codex/GRL研究/outputs/grid21/GRID21_report.md</x:v>
      </x:c>
    </x:row>
    <x:row r="1264" ht="36" customHeight="1">
      <x:c r="A1264" s="19" t="str">
        <x:v>GRID21</x:v>
      </x:c>
      <x:c r="B1264" s="19" t="str">
        <x:v>GRID21_report.md</x:v>
      </x:c>
      <x:c r="C1264" s="19" t="str">
        <x:v>1. GRID21：保留PPO先验的有界残差修订V1</x:v>
      </x:c>
      <x:c r="D1264" s="19" t="str">
        <x:v>方法=OLDNN；K=128</x:v>
      </x:c>
      <x:c r="E1264" s="19" t="str">
        <x:v>K</x:v>
      </x:c>
      <x:c r="F1264" s="19" t="str">
        <x:v>128</x:v>
      </x:c>
      <x:c r="G1264" s="19" t="str">
        <x:v>其他/配置</x:v>
      </x:c>
      <x:c r="H1264" s="19" t="str">
        <x:v>D:/Codex/GRL研究/outputs/grid21/GRID21_report.md</x:v>
      </x:c>
    </x:row>
    <x:row r="1265" ht="36" customHeight="1">
      <x:c r="A1265" s="19" t="str">
        <x:v>GRID21</x:v>
      </x:c>
      <x:c r="B1265" s="19" t="str">
        <x:v>GRID21_report.md</x:v>
      </x:c>
      <x:c r="C1265" s="19" t="str">
        <x:v>1. GRID21：保留PPO先验的有界残差修订V1</x:v>
      </x:c>
      <x:c r="D1265" s="19" t="str">
        <x:v>方法=OLDNN；K=128</x:v>
      </x:c>
      <x:c r="E1265" s="19" t="str">
        <x:v>近最佳保留</x:v>
      </x:c>
      <x:c r="F1265" s="19" t="str">
        <x:v>92.857%</x:v>
      </x:c>
      <x:c r="G1265" s="19" t="str">
        <x:v>质量/成本</x:v>
      </x:c>
      <x:c r="H1265" s="19" t="str">
        <x:v>D:/Codex/GRL研究/outputs/grid21/GRID21_report.md</x:v>
      </x:c>
    </x:row>
    <x:row r="1266" ht="36" customHeight="1">
      <x:c r="A1266" s="19" t="str">
        <x:v>GRID21</x:v>
      </x:c>
      <x:c r="B1266" s="19" t="str">
        <x:v>GRID21_report.md</x:v>
      </x:c>
      <x:c r="C1266" s="19" t="str">
        <x:v>1. GRID21：保留PPO先验的有界残差修订V1</x:v>
      </x:c>
      <x:c r="D1266" s="19" t="str">
        <x:v>方法=OLDNN；K=128</x:v>
      </x:c>
      <x:c r="E1266" s="19" t="str">
        <x:v>回退</x:v>
      </x:c>
      <x:c r="F1266" s="19" t="str">
        <x:v>11.250%</x:v>
      </x:c>
      <x:c r="G1266" s="19" t="str">
        <x:v>其他/配置</x:v>
      </x:c>
      <x:c r="H1266" s="19" t="str">
        <x:v>D:/Codex/GRL研究/outputs/grid21/GRID21_report.md</x:v>
      </x:c>
    </x:row>
    <x:row r="1267" ht="36" customHeight="1">
      <x:c r="A1267" s="19" t="str">
        <x:v>GRID21</x:v>
      </x:c>
      <x:c r="B1267" s="19" t="str">
        <x:v>GRID21_report.md</x:v>
      </x:c>
      <x:c r="C1267" s="19" t="str">
        <x:v>1. GRID21：保留PPO先验的有界残差修订V1</x:v>
      </x:c>
      <x:c r="D1267" s="19" t="str">
        <x:v>方法=OLDNN；K=128</x:v>
      </x:c>
      <x:c r="E1267" s="19" t="str">
        <x:v>唯一公共查询减少</x:v>
      </x:c>
      <x:c r="F1267" s="19" t="str">
        <x:v>76.697%</x:v>
      </x:c>
      <x:c r="G1267" s="19" t="str">
        <x:v>速度/计算</x:v>
      </x:c>
      <x:c r="H1267" s="19" t="str">
        <x:v>D:/Codex/GRL研究/outputs/grid21/GRID21_report.md</x:v>
      </x:c>
    </x:row>
    <x:row r="1268" ht="36" customHeight="1">
      <x:c r="A1268" s="19" t="str">
        <x:v>GRID21</x:v>
      </x:c>
      <x:c r="B1268" s="19" t="str">
        <x:v>GRID21_report.md</x:v>
      </x:c>
      <x:c r="C1268" s="19" t="str">
        <x:v>1. GRID21：保留PPO先验的有界残差修订V1</x:v>
      </x:c>
      <x:c r="D1268" s="19" t="str">
        <x:v>方法=OLDNN；K=128</x:v>
      </x:c>
      <x:c r="E1268" s="19" t="str">
        <x:v>交付ρ差</x:v>
      </x:c>
      <x:c r="F1268" s="19" t="str">
        <x:v>0.00182</x:v>
      </x:c>
      <x:c r="G1268" s="19" t="str">
        <x:v>质量/成本</x:v>
      </x:c>
      <x:c r="H1268" s="19" t="str">
        <x:v>D:/Codex/GRL研究/outputs/grid21/GRID21_report.md</x:v>
      </x:c>
    </x:row>
    <x:row r="1269" ht="36" customHeight="1">
      <x:c r="A1269" s="19" t="str">
        <x:v>GRID21</x:v>
      </x:c>
      <x:c r="B1269" s="19" t="str">
        <x:v>GRID21_report.md</x:v>
      </x:c>
      <x:c r="C1269" s="19" t="str">
        <x:v>1. GRID21：保留PPO先验的有界残差修订V1</x:v>
      </x:c>
      <x:c r="D1269" s="19" t="str">
        <x:v>方法=LOCAL；K=32</x:v>
      </x:c>
      <x:c r="E1269" s="19" t="str">
        <x:v>K</x:v>
      </x:c>
      <x:c r="F1269" s="19" t="str">
        <x:v>32</x:v>
      </x:c>
      <x:c r="G1269" s="19" t="str">
        <x:v>其他/配置</x:v>
      </x:c>
      <x:c r="H1269" s="19" t="str">
        <x:v>D:/Codex/GRL研究/outputs/grid21/GRID21_report.md</x:v>
      </x:c>
    </x:row>
    <x:row r="1270" ht="36" customHeight="1">
      <x:c r="A1270" s="19" t="str">
        <x:v>GRID21</x:v>
      </x:c>
      <x:c r="B1270" s="19" t="str">
        <x:v>GRID21_report.md</x:v>
      </x:c>
      <x:c r="C1270" s="19" t="str">
        <x:v>1. GRID21：保留PPO先验的有界残差修订V1</x:v>
      </x:c>
      <x:c r="D1270" s="19" t="str">
        <x:v>方法=LOCAL；K=32</x:v>
      </x:c>
      <x:c r="E1270" s="19" t="str">
        <x:v>近最佳保留</x:v>
      </x:c>
      <x:c r="F1270" s="19" t="str">
        <x:v>56.088%</x:v>
      </x:c>
      <x:c r="G1270" s="19" t="str">
        <x:v>质量/成本</x:v>
      </x:c>
      <x:c r="H1270" s="19" t="str">
        <x:v>D:/Codex/GRL研究/outputs/grid21/GRID21_report.md</x:v>
      </x:c>
    </x:row>
    <x:row r="1271" ht="36" customHeight="1">
      <x:c r="A1271" s="19" t="str">
        <x:v>GRID21</x:v>
      </x:c>
      <x:c r="B1271" s="19" t="str">
        <x:v>GRID21_report.md</x:v>
      </x:c>
      <x:c r="C1271" s="19" t="str">
        <x:v>1. GRID21：保留PPO先验的有界残差修订V1</x:v>
      </x:c>
      <x:c r="D1271" s="19" t="str">
        <x:v>方法=LOCAL；K=32</x:v>
      </x:c>
      <x:c r="E1271" s="19" t="str">
        <x:v>回退</x:v>
      </x:c>
      <x:c r="F1271" s="19" t="str">
        <x:v>8.125%</x:v>
      </x:c>
      <x:c r="G1271" s="19" t="str">
        <x:v>其他/配置</x:v>
      </x:c>
      <x:c r="H1271" s="19" t="str">
        <x:v>D:/Codex/GRL研究/outputs/grid21/GRID21_report.md</x:v>
      </x:c>
    </x:row>
    <x:row r="1272" ht="36" customHeight="1">
      <x:c r="A1272" s="19" t="str">
        <x:v>GRID21</x:v>
      </x:c>
      <x:c r="B1272" s="19" t="str">
        <x:v>GRID21_report.md</x:v>
      </x:c>
      <x:c r="C1272" s="19" t="str">
        <x:v>1. GRID21：保留PPO先验的有界残差修订V1</x:v>
      </x:c>
      <x:c r="D1272" s="19" t="str">
        <x:v>方法=LOCAL；K=32</x:v>
      </x:c>
      <x:c r="E1272" s="19" t="str">
        <x:v>唯一公共查询减少</x:v>
      </x:c>
      <x:c r="F1272" s="19" t="str">
        <x:v>89.522%</x:v>
      </x:c>
      <x:c r="G1272" s="19" t="str">
        <x:v>速度/计算</x:v>
      </x:c>
      <x:c r="H1272" s="19" t="str">
        <x:v>D:/Codex/GRL研究/outputs/grid21/GRID21_report.md</x:v>
      </x:c>
    </x:row>
    <x:row r="1273" ht="36" customHeight="1">
      <x:c r="A1273" s="19" t="str">
        <x:v>GRID21</x:v>
      </x:c>
      <x:c r="B1273" s="19" t="str">
        <x:v>GRID21_report.md</x:v>
      </x:c>
      <x:c r="C1273" s="19" t="str">
        <x:v>1. GRID21：保留PPO先验的有界残差修订V1</x:v>
      </x:c>
      <x:c r="D1273" s="19" t="str">
        <x:v>方法=LOCAL；K=32</x:v>
      </x:c>
      <x:c r="E1273" s="19" t="str">
        <x:v>交付ρ差</x:v>
      </x:c>
      <x:c r="F1273" s="19" t="str">
        <x:v>0.01307</x:v>
      </x:c>
      <x:c r="G1273" s="19" t="str">
        <x:v>质量/成本</x:v>
      </x:c>
      <x:c r="H1273" s="19" t="str">
        <x:v>D:/Codex/GRL研究/outputs/grid21/GRID21_report.md</x:v>
      </x:c>
    </x:row>
    <x:row r="1274" ht="36" customHeight="1">
      <x:c r="A1274" s="19" t="str">
        <x:v>GRID21</x:v>
      </x:c>
      <x:c r="B1274" s="19" t="str">
        <x:v>GRID21_report.md</x:v>
      </x:c>
      <x:c r="C1274" s="19" t="str">
        <x:v>1. GRID21：保留PPO先验的有界残差修订V1</x:v>
      </x:c>
      <x:c r="D1274" s="19" t="str">
        <x:v>方法=LOCAL；K=128</x:v>
      </x:c>
      <x:c r="E1274" s="19" t="str">
        <x:v>K</x:v>
      </x:c>
      <x:c r="F1274" s="19" t="str">
        <x:v>128</x:v>
      </x:c>
      <x:c r="G1274" s="19" t="str">
        <x:v>其他/配置</x:v>
      </x:c>
      <x:c r="H1274" s="19" t="str">
        <x:v>D:/Codex/GRL研究/outputs/grid21/GRID21_report.md</x:v>
      </x:c>
    </x:row>
    <x:row r="1275" ht="36" customHeight="1">
      <x:c r="A1275" s="19" t="str">
        <x:v>GRID21</x:v>
      </x:c>
      <x:c r="B1275" s="19" t="str">
        <x:v>GRID21_report.md</x:v>
      </x:c>
      <x:c r="C1275" s="19" t="str">
        <x:v>1. GRID21：保留PPO先验的有界残差修订V1</x:v>
      </x:c>
      <x:c r="D1275" s="19" t="str">
        <x:v>方法=LOCAL；K=128</x:v>
      </x:c>
      <x:c r="E1275" s="19" t="str">
        <x:v>近最佳保留</x:v>
      </x:c>
      <x:c r="F1275" s="19" t="str">
        <x:v>78.977%</x:v>
      </x:c>
      <x:c r="G1275" s="19" t="str">
        <x:v>质量/成本</x:v>
      </x:c>
      <x:c r="H1275" s="19" t="str">
        <x:v>D:/Codex/GRL研究/outputs/grid21/GRID21_report.md</x:v>
      </x:c>
    </x:row>
    <x:row r="1276" ht="36" customHeight="1">
      <x:c r="A1276" s="19" t="str">
        <x:v>GRID21</x:v>
      </x:c>
      <x:c r="B1276" s="19" t="str">
        <x:v>GRID21_report.md</x:v>
      </x:c>
      <x:c r="C1276" s="19" t="str">
        <x:v>1. GRID21：保留PPO先验的有界残差修订V1</x:v>
      </x:c>
      <x:c r="D1276" s="19" t="str">
        <x:v>方法=LOCAL；K=128</x:v>
      </x:c>
      <x:c r="E1276" s="19" t="str">
        <x:v>回退</x:v>
      </x:c>
      <x:c r="F1276" s="19" t="str">
        <x:v>8.125%</x:v>
      </x:c>
      <x:c r="G1276" s="19" t="str">
        <x:v>其他/配置</x:v>
      </x:c>
      <x:c r="H1276" s="19" t="str">
        <x:v>D:/Codex/GRL研究/outputs/grid21/GRID21_report.md</x:v>
      </x:c>
    </x:row>
    <x:row r="1277" ht="36" customHeight="1">
      <x:c r="A1277" s="19" t="str">
        <x:v>GRID21</x:v>
      </x:c>
      <x:c r="B1277" s="19" t="str">
        <x:v>GRID21_report.md</x:v>
      </x:c>
      <x:c r="C1277" s="19" t="str">
        <x:v>1. GRID21：保留PPO先验的有界残差修订V1</x:v>
      </x:c>
      <x:c r="D1277" s="19" t="str">
        <x:v>方法=LOCAL；K=128</x:v>
      </x:c>
      <x:c r="E1277" s="19" t="str">
        <x:v>唯一公共查询减少</x:v>
      </x:c>
      <x:c r="F1277" s="19" t="str">
        <x:v>79.392%</x:v>
      </x:c>
      <x:c r="G1277" s="19" t="str">
        <x:v>速度/计算</x:v>
      </x:c>
      <x:c r="H1277" s="19" t="str">
        <x:v>D:/Codex/GRL研究/outputs/grid21/GRID21_report.md</x:v>
      </x:c>
    </x:row>
    <x:row r="1278" ht="36" customHeight="1">
      <x:c r="A1278" s="19" t="str">
        <x:v>GRID21</x:v>
      </x:c>
      <x:c r="B1278" s="19" t="str">
        <x:v>GRID21_report.md</x:v>
      </x:c>
      <x:c r="C1278" s="19" t="str">
        <x:v>1. GRID21：保留PPO先验的有界残差修订V1</x:v>
      </x:c>
      <x:c r="D1278" s="19" t="str">
        <x:v>方法=LOCAL；K=128</x:v>
      </x:c>
      <x:c r="E1278" s="19" t="str">
        <x:v>交付ρ差</x:v>
      </x:c>
      <x:c r="F1278" s="19" t="str">
        <x:v>0.00536</x:v>
      </x:c>
      <x:c r="G1278" s="19" t="str">
        <x:v>质量/成本</x:v>
      </x:c>
      <x:c r="H1278" s="19" t="str">
        <x:v>D:/Codex/GRL研究/outputs/grid21/GRID21_report.md</x:v>
      </x:c>
    </x:row>
    <x:row r="1279" ht="36" customHeight="1">
      <x:c r="A1279" s="19" t="str">
        <x:v>GRID21</x:v>
      </x:c>
      <x:c r="B1279" s="19" t="str">
        <x:v>GRID21_report.md</x:v>
      </x:c>
      <x:c r="C1279" s="19" t="str">
        <x:v>1. GRID21：保留PPO先验的有界残差修订V1</x:v>
      </x:c>
      <x:c r="D1279" s="19" t="str">
        <x:v>方法=PREFIX；K=32</x:v>
      </x:c>
      <x:c r="E1279" s="19" t="str">
        <x:v>K</x:v>
      </x:c>
      <x:c r="F1279" s="19" t="str">
        <x:v>32</x:v>
      </x:c>
      <x:c r="G1279" s="19" t="str">
        <x:v>其他/配置</x:v>
      </x:c>
      <x:c r="H1279" s="19" t="str">
        <x:v>D:/Codex/GRL研究/outputs/grid21/GRID21_report.md</x:v>
      </x:c>
    </x:row>
    <x:row r="1280" ht="36" customHeight="1">
      <x:c r="A1280" s="19" t="str">
        <x:v>GRID21</x:v>
      </x:c>
      <x:c r="B1280" s="19" t="str">
        <x:v>GRID21_report.md</x:v>
      </x:c>
      <x:c r="C1280" s="19" t="str">
        <x:v>1. GRID21：保留PPO先验的有界残差修订V1</x:v>
      </x:c>
      <x:c r="D1280" s="19" t="str">
        <x:v>方法=PREFIX；K=32</x:v>
      </x:c>
      <x:c r="E1280" s="19" t="str">
        <x:v>近最佳保留</x:v>
      </x:c>
      <x:c r="F1280" s="19" t="str">
        <x:v>76.136%</x:v>
      </x:c>
      <x:c r="G1280" s="19" t="str">
        <x:v>质量/成本</x:v>
      </x:c>
      <x:c r="H1280" s="19" t="str">
        <x:v>D:/Codex/GRL研究/outputs/grid21/GRID21_report.md</x:v>
      </x:c>
    </x:row>
    <x:row r="1281" ht="36" customHeight="1">
      <x:c r="A1281" s="19" t="str">
        <x:v>GRID21</x:v>
      </x:c>
      <x:c r="B1281" s="19" t="str">
        <x:v>GRID21_report.md</x:v>
      </x:c>
      <x:c r="C1281" s="19" t="str">
        <x:v>1. GRID21：保留PPO先验的有界残差修订V1</x:v>
      </x:c>
      <x:c r="D1281" s="19" t="str">
        <x:v>方法=PREFIX；K=32</x:v>
      </x:c>
      <x:c r="E1281" s="19" t="str">
        <x:v>回退</x:v>
      </x:c>
      <x:c r="F1281" s="19" t="str">
        <x:v>10.398%</x:v>
      </x:c>
      <x:c r="G1281" s="19" t="str">
        <x:v>其他/配置</x:v>
      </x:c>
      <x:c r="H1281" s="19" t="str">
        <x:v>D:/Codex/GRL研究/outputs/grid21/GRID21_report.md</x:v>
      </x:c>
    </x:row>
    <x:row r="1282" ht="36" customHeight="1">
      <x:c r="A1282" s="19" t="str">
        <x:v>GRID21</x:v>
      </x:c>
      <x:c r="B1282" s="19" t="str">
        <x:v>GRID21_report.md</x:v>
      </x:c>
      <x:c r="C1282" s="19" t="str">
        <x:v>1. GRID21：保留PPO先验的有界残差修订V1</x:v>
      </x:c>
      <x:c r="D1282" s="19" t="str">
        <x:v>方法=PREFIX；K=32</x:v>
      </x:c>
      <x:c r="E1282" s="19" t="str">
        <x:v>唯一公共查询减少</x:v>
      </x:c>
      <x:c r="F1282" s="19" t="str">
        <x:v>87.233%</x:v>
      </x:c>
      <x:c r="G1282" s="19" t="str">
        <x:v>速度/计算</x:v>
      </x:c>
      <x:c r="H1282" s="19" t="str">
        <x:v>D:/Codex/GRL研究/outputs/grid21/GRID21_report.md</x:v>
      </x:c>
    </x:row>
    <x:row r="1283" ht="36" customHeight="1">
      <x:c r="A1283" s="19" t="str">
        <x:v>GRID21</x:v>
      </x:c>
      <x:c r="B1283" s="19" t="str">
        <x:v>GRID21_report.md</x:v>
      </x:c>
      <x:c r="C1283" s="19" t="str">
        <x:v>1. GRID21：保留PPO先验的有界残差修订V1</x:v>
      </x:c>
      <x:c r="D1283" s="19" t="str">
        <x:v>方法=PREFIX；K=32</x:v>
      </x:c>
      <x:c r="E1283" s="19" t="str">
        <x:v>交付ρ差</x:v>
      </x:c>
      <x:c r="F1283" s="19" t="str">
        <x:v>0.00663</x:v>
      </x:c>
      <x:c r="G1283" s="19" t="str">
        <x:v>质量/成本</x:v>
      </x:c>
      <x:c r="H1283" s="19" t="str">
        <x:v>D:/Codex/GRL研究/outputs/grid21/GRID21_report.md</x:v>
      </x:c>
    </x:row>
    <x:row r="1284" ht="36" customHeight="1">
      <x:c r="A1284" s="19" t="str">
        <x:v>GRID21</x:v>
      </x:c>
      <x:c r="B1284" s="19" t="str">
        <x:v>GRID21_report.md</x:v>
      </x:c>
      <x:c r="C1284" s="19" t="str">
        <x:v>1. GRID21：保留PPO先验的有界残差修订V1</x:v>
      </x:c>
      <x:c r="D1284" s="19" t="str">
        <x:v>方法=PREFIX；K=128</x:v>
      </x:c>
      <x:c r="E1284" s="19" t="str">
        <x:v>K</x:v>
      </x:c>
      <x:c r="F1284" s="19" t="str">
        <x:v>128</x:v>
      </x:c>
      <x:c r="G1284" s="19" t="str">
        <x:v>其他/配置</x:v>
      </x:c>
      <x:c r="H1284" s="19" t="str">
        <x:v>D:/Codex/GRL研究/outputs/grid21/GRID21_report.md</x:v>
      </x:c>
    </x:row>
    <x:row r="1285" ht="36" customHeight="1">
      <x:c r="A1285" s="19" t="str">
        <x:v>GRID21</x:v>
      </x:c>
      <x:c r="B1285" s="19" t="str">
        <x:v>GRID21_report.md</x:v>
      </x:c>
      <x:c r="C1285" s="19" t="str">
        <x:v>1. GRID21：保留PPO先验的有界残差修订V1</x:v>
      </x:c>
      <x:c r="D1285" s="19" t="str">
        <x:v>方法=PREFIX；K=128</x:v>
      </x:c>
      <x:c r="E1285" s="19" t="str">
        <x:v>近最佳保留</x:v>
      </x:c>
      <x:c r="F1285" s="19" t="str">
        <x:v>93.182%</x:v>
      </x:c>
      <x:c r="G1285" s="19" t="str">
        <x:v>质量/成本</x:v>
      </x:c>
      <x:c r="H1285" s="19" t="str">
        <x:v>D:/Codex/GRL研究/outputs/grid21/GRID21_report.md</x:v>
      </x:c>
    </x:row>
    <x:row r="1286" ht="36" customHeight="1">
      <x:c r="A1286" s="19" t="str">
        <x:v>GRID21</x:v>
      </x:c>
      <x:c r="B1286" s="19" t="str">
        <x:v>GRID21_report.md</x:v>
      </x:c>
      <x:c r="C1286" s="19" t="str">
        <x:v>1. GRID21：保留PPO先验的有界残差修订V1</x:v>
      </x:c>
      <x:c r="D1286" s="19" t="str">
        <x:v>方法=PREFIX；K=128</x:v>
      </x:c>
      <x:c r="E1286" s="19" t="str">
        <x:v>回退</x:v>
      </x:c>
      <x:c r="F1286" s="19" t="str">
        <x:v>8.125%</x:v>
      </x:c>
      <x:c r="G1286" s="19" t="str">
        <x:v>其他/配置</x:v>
      </x:c>
      <x:c r="H1286" s="19" t="str">
        <x:v>D:/Codex/GRL研究/outputs/grid21/GRID21_report.md</x:v>
      </x:c>
    </x:row>
    <x:row r="1287" ht="36" customHeight="1">
      <x:c r="A1287" s="19" t="str">
        <x:v>GRID21</x:v>
      </x:c>
      <x:c r="B1287" s="19" t="str">
        <x:v>GRID21_report.md</x:v>
      </x:c>
      <x:c r="C1287" s="19" t="str">
        <x:v>1. GRID21：保留PPO先验的有界残差修订V1</x:v>
      </x:c>
      <x:c r="D1287" s="19" t="str">
        <x:v>方法=PREFIX；K=128</x:v>
      </x:c>
      <x:c r="E1287" s="19" t="str">
        <x:v>唯一公共查询减少</x:v>
      </x:c>
      <x:c r="F1287" s="19" t="str">
        <x:v>79.392%</x:v>
      </x:c>
      <x:c r="G1287" s="19" t="str">
        <x:v>速度/计算</x:v>
      </x:c>
      <x:c r="H1287" s="19" t="str">
        <x:v>D:/Codex/GRL研究/outputs/grid21/GRID21_report.md</x:v>
      </x:c>
    </x:row>
    <x:row r="1288" ht="36" customHeight="1">
      <x:c r="A1288" s="19" t="str">
        <x:v>GRID21</x:v>
      </x:c>
      <x:c r="B1288" s="19" t="str">
        <x:v>GRID21_report.md</x:v>
      </x:c>
      <x:c r="C1288" s="19" t="str">
        <x:v>1. GRID21：保留PPO先验的有界残差修订V1</x:v>
      </x:c>
      <x:c r="D1288" s="19" t="str">
        <x:v>方法=PREFIX；K=128</x:v>
      </x:c>
      <x:c r="E1288" s="19" t="str">
        <x:v>交付ρ差</x:v>
      </x:c>
      <x:c r="F1288" s="19" t="str">
        <x:v>0.00247</x:v>
      </x:c>
      <x:c r="G1288" s="19" t="str">
        <x:v>质量/成本</x:v>
      </x:c>
      <x:c r="H1288" s="19" t="str">
        <x:v>D:/Codex/GRL研究/outputs/grid21/GRID21_report.md</x:v>
      </x:c>
    </x:row>
    <x:row r="1289" ht="36" customHeight="1">
      <x:c r="A1289" s="19" t="str">
        <x:v>GRID21</x:v>
      </x:c>
      <x:c r="B1289" s="19" t="str">
        <x:v>GRID21_report.md</x:v>
      </x:c>
      <x:c r="C1289" s="19" t="str">
        <x:v>1. GRID21：保留PPO先验的有界残差修订V1</x:v>
      </x:c>
      <x:c r="D1289" s="19" t="str">
        <x:v>方法=RANDOM；K=32</x:v>
      </x:c>
      <x:c r="E1289" s="19" t="str">
        <x:v>K</x:v>
      </x:c>
      <x:c r="F1289" s="19" t="str">
        <x:v>32</x:v>
      </x:c>
      <x:c r="G1289" s="19" t="str">
        <x:v>其他/配置</x:v>
      </x:c>
      <x:c r="H1289" s="19" t="str">
        <x:v>D:/Codex/GRL研究/outputs/grid21/GRID21_report.md</x:v>
      </x:c>
    </x:row>
    <x:row r="1290" ht="36" customHeight="1">
      <x:c r="A1290" s="19" t="str">
        <x:v>GRID21</x:v>
      </x:c>
      <x:c r="B1290" s="19" t="str">
        <x:v>GRID21_report.md</x:v>
      </x:c>
      <x:c r="C1290" s="19" t="str">
        <x:v>1. GRID21：保留PPO先验的有界残差修订V1</x:v>
      </x:c>
      <x:c r="D1290" s="19" t="str">
        <x:v>方法=RANDOM；K=32</x:v>
      </x:c>
      <x:c r="E1290" s="19" t="str">
        <x:v>近最佳保留</x:v>
      </x:c>
      <x:c r="F1290" s="19" t="str">
        <x:v>47.403%</x:v>
      </x:c>
      <x:c r="G1290" s="19" t="str">
        <x:v>质量/成本</x:v>
      </x:c>
      <x:c r="H1290" s="19" t="str">
        <x:v>D:/Codex/GRL研究/outputs/grid21/GRID21_report.md</x:v>
      </x:c>
    </x:row>
    <x:row r="1291" ht="36" customHeight="1">
      <x:c r="A1291" s="19" t="str">
        <x:v>GRID21</x:v>
      </x:c>
      <x:c r="B1291" s="19" t="str">
        <x:v>GRID21_report.md</x:v>
      </x:c>
      <x:c r="C1291" s="19" t="str">
        <x:v>1. GRID21：保留PPO先验的有界残差修订V1</x:v>
      </x:c>
      <x:c r="D1291" s="19" t="str">
        <x:v>方法=RANDOM；K=32</x:v>
      </x:c>
      <x:c r="E1291" s="19" t="str">
        <x:v>回退</x:v>
      </x:c>
      <x:c r="F1291" s="19" t="str">
        <x:v>10.398%</x:v>
      </x:c>
      <x:c r="G1291" s="19" t="str">
        <x:v>其他/配置</x:v>
      </x:c>
      <x:c r="H1291" s="19" t="str">
        <x:v>D:/Codex/GRL研究/outputs/grid21/GRID21_report.md</x:v>
      </x:c>
    </x:row>
    <x:row r="1292" ht="36" customHeight="1">
      <x:c r="A1292" s="19" t="str">
        <x:v>GRID21</x:v>
      </x:c>
      <x:c r="B1292" s="19" t="str">
        <x:v>GRID21_report.md</x:v>
      </x:c>
      <x:c r="C1292" s="19" t="str">
        <x:v>1. GRID21：保留PPO先验的有界残差修订V1</x:v>
      </x:c>
      <x:c r="D1292" s="19" t="str">
        <x:v>方法=RANDOM；K=32</x:v>
      </x:c>
      <x:c r="E1292" s="19" t="str">
        <x:v>唯一公共查询减少</x:v>
      </x:c>
      <x:c r="F1292" s="19" t="str">
        <x:v>87.233%</x:v>
      </x:c>
      <x:c r="G1292" s="19" t="str">
        <x:v>速度/计算</x:v>
      </x:c>
      <x:c r="H1292" s="19" t="str">
        <x:v>D:/Codex/GRL研究/outputs/grid21/GRID21_report.md</x:v>
      </x:c>
    </x:row>
    <x:row r="1293" ht="36" customHeight="1">
      <x:c r="A1293" s="19" t="str">
        <x:v>GRID21</x:v>
      </x:c>
      <x:c r="B1293" s="19" t="str">
        <x:v>GRID21_report.md</x:v>
      </x:c>
      <x:c r="C1293" s="19" t="str">
        <x:v>1. GRID21：保留PPO先验的有界残差修订V1</x:v>
      </x:c>
      <x:c r="D1293" s="19" t="str">
        <x:v>方法=RANDOM；K=32</x:v>
      </x:c>
      <x:c r="E1293" s="19" t="str">
        <x:v>交付ρ差</x:v>
      </x:c>
      <x:c r="F1293" s="19" t="str">
        <x:v>0.02348</x:v>
      </x:c>
      <x:c r="G1293" s="19" t="str">
        <x:v>质量/成本</x:v>
      </x:c>
      <x:c r="H1293" s="19" t="str">
        <x:v>D:/Codex/GRL研究/outputs/grid21/GRID21_report.md</x:v>
      </x:c>
    </x:row>
    <x:row r="1294" ht="36" customHeight="1">
      <x:c r="A1294" s="19" t="str">
        <x:v>GRID21</x:v>
      </x:c>
      <x:c r="B1294" s="19" t="str">
        <x:v>GRID21_report.md</x:v>
      </x:c>
      <x:c r="C1294" s="19" t="str">
        <x:v>1. GRID21：保留PPO先验的有界残差修订V1</x:v>
      </x:c>
      <x:c r="D1294" s="19" t="str">
        <x:v>方法=RANDOM；K=128</x:v>
      </x:c>
      <x:c r="E1294" s="19" t="str">
        <x:v>K</x:v>
      </x:c>
      <x:c r="F1294" s="19" t="str">
        <x:v>128</x:v>
      </x:c>
      <x:c r="G1294" s="19" t="str">
        <x:v>其他/配置</x:v>
      </x:c>
      <x:c r="H1294" s="19" t="str">
        <x:v>D:/Codex/GRL研究/outputs/grid21/GRID21_report.md</x:v>
      </x:c>
    </x:row>
    <x:row r="1295" ht="36" customHeight="1">
      <x:c r="A1295" s="19" t="str">
        <x:v>GRID21</x:v>
      </x:c>
      <x:c r="B1295" s="19" t="str">
        <x:v>GRID21_report.md</x:v>
      </x:c>
      <x:c r="C1295" s="19" t="str">
        <x:v>1. GRID21：保留PPO先验的有界残差修订V1</x:v>
      </x:c>
      <x:c r="D1295" s="19" t="str">
        <x:v>方法=RANDOM；K=128</x:v>
      </x:c>
      <x:c r="E1295" s="19" t="str">
        <x:v>近最佳保留</x:v>
      </x:c>
      <x:c r="F1295" s="19" t="str">
        <x:v>61.039%</x:v>
      </x:c>
      <x:c r="G1295" s="19" t="str">
        <x:v>质量/成本</x:v>
      </x:c>
      <x:c r="H1295" s="19" t="str">
        <x:v>D:/Codex/GRL研究/outputs/grid21/GRID21_report.md</x:v>
      </x:c>
    </x:row>
    <x:row r="1296" ht="36" customHeight="1">
      <x:c r="A1296" s="19" t="str">
        <x:v>GRID21</x:v>
      </x:c>
      <x:c r="B1296" s="19" t="str">
        <x:v>GRID21_report.md</x:v>
      </x:c>
      <x:c r="C1296" s="19" t="str">
        <x:v>1. GRID21：保留PPO先验的有界残差修订V1</x:v>
      </x:c>
      <x:c r="D1296" s="19" t="str">
        <x:v>方法=RANDOM；K=128</x:v>
      </x:c>
      <x:c r="E1296" s="19" t="str">
        <x:v>回退</x:v>
      </x:c>
      <x:c r="F1296" s="19" t="str">
        <x:v>8.125%</x:v>
      </x:c>
      <x:c r="G1296" s="19" t="str">
        <x:v>其他/配置</x:v>
      </x:c>
      <x:c r="H1296" s="19" t="str">
        <x:v>D:/Codex/GRL研究/outputs/grid21/GRID21_report.md</x:v>
      </x:c>
    </x:row>
    <x:row r="1297" ht="36" customHeight="1">
      <x:c r="A1297" s="19" t="str">
        <x:v>GRID21</x:v>
      </x:c>
      <x:c r="B1297" s="19" t="str">
        <x:v>GRID21_report.md</x:v>
      </x:c>
      <x:c r="C1297" s="19" t="str">
        <x:v>1. GRID21：保留PPO先验的有界残差修订V1</x:v>
      </x:c>
      <x:c r="D1297" s="19" t="str">
        <x:v>方法=RANDOM；K=128</x:v>
      </x:c>
      <x:c r="E1297" s="19" t="str">
        <x:v>唯一公共查询减少</x:v>
      </x:c>
      <x:c r="F1297" s="19" t="str">
        <x:v>79.392%</x:v>
      </x:c>
      <x:c r="G1297" s="19" t="str">
        <x:v>速度/计算</x:v>
      </x:c>
      <x:c r="H1297" s="19" t="str">
        <x:v>D:/Codex/GRL研究/outputs/grid21/GRID21_report.md</x:v>
      </x:c>
    </x:row>
    <x:row r="1298" ht="36" customHeight="1">
      <x:c r="A1298" s="19" t="str">
        <x:v>GRID21</x:v>
      </x:c>
      <x:c r="B1298" s="19" t="str">
        <x:v>GRID21_report.md</x:v>
      </x:c>
      <x:c r="C1298" s="19" t="str">
        <x:v>1. GRID21：保留PPO先验的有界残差修订V1</x:v>
      </x:c>
      <x:c r="D1298" s="19" t="str">
        <x:v>方法=RANDOM；K=128</x:v>
      </x:c>
      <x:c r="E1298" s="19" t="str">
        <x:v>交付ρ差</x:v>
      </x:c>
      <x:c r="F1298" s="19" t="str">
        <x:v>0.01743</x:v>
      </x:c>
      <x:c r="G1298" s="19" t="str">
        <x:v>质量/成本</x:v>
      </x:c>
      <x:c r="H1298" s="19" t="str">
        <x:v>D:/Codex/GRL研究/outputs/grid21/GRID21_report.md</x:v>
      </x:c>
    </x:row>
    <x:row r="1299" ht="36" customHeight="1">
      <x:c r="A1299" s="19" t="str">
        <x:v>GRID21</x:v>
      </x:c>
      <x:c r="B1299" s="19" t="str">
        <x:v>GRID21_report.md</x:v>
      </x:c>
      <x:c r="C1299" s="19" t="str">
        <x:v>1. GRID21：保留PPO先验的有界残差修订V1</x:v>
      </x:c>
      <x:c r="D1299" s="19" t="str">
        <x:v>方法=PRIOR_ONLY；K=32</x:v>
      </x:c>
      <x:c r="E1299" s="19" t="str">
        <x:v>K</x:v>
      </x:c>
      <x:c r="F1299" s="19" t="str">
        <x:v>32</x:v>
      </x:c>
      <x:c r="G1299" s="19" t="str">
        <x:v>其他/配置</x:v>
      </x:c>
      <x:c r="H1299" s="19" t="str">
        <x:v>D:/Codex/GRL研究/outputs/grid21/GRID21_report.md</x:v>
      </x:c>
    </x:row>
    <x:row r="1300" ht="36" customHeight="1">
      <x:c r="A1300" s="19" t="str">
        <x:v>GRID21</x:v>
      </x:c>
      <x:c r="B1300" s="19" t="str">
        <x:v>GRID21_report.md</x:v>
      </x:c>
      <x:c r="C1300" s="19" t="str">
        <x:v>1. GRID21：保留PPO先验的有界残差修订V1</x:v>
      </x:c>
      <x:c r="D1300" s="19" t="str">
        <x:v>方法=PRIOR_ONLY；K=32</x:v>
      </x:c>
      <x:c r="E1300" s="19" t="str">
        <x:v>近最佳保留</x:v>
      </x:c>
      <x:c r="F1300" s="19" t="str">
        <x:v>90.584%</x:v>
      </x:c>
      <x:c r="G1300" s="19" t="str">
        <x:v>质量/成本</x:v>
      </x:c>
      <x:c r="H1300" s="19" t="str">
        <x:v>D:/Codex/GRL研究/outputs/grid21/GRID21_report.md</x:v>
      </x:c>
    </x:row>
    <x:row r="1301" ht="36" customHeight="1">
      <x:c r="A1301" s="19" t="str">
        <x:v>GRID21</x:v>
      </x:c>
      <x:c r="B1301" s="19" t="str">
        <x:v>GRID21_report.md</x:v>
      </x:c>
      <x:c r="C1301" s="19" t="str">
        <x:v>1. GRID21：保留PPO先验的有界残差修订V1</x:v>
      </x:c>
      <x:c r="D1301" s="19" t="str">
        <x:v>方法=PRIOR_ONLY；K=32</x:v>
      </x:c>
      <x:c r="E1301" s="19" t="str">
        <x:v>回退</x:v>
      </x:c>
      <x:c r="F1301" s="19" t="str">
        <x:v>11.250%</x:v>
      </x:c>
      <x:c r="G1301" s="19" t="str">
        <x:v>其他/配置</x:v>
      </x:c>
      <x:c r="H1301" s="19" t="str">
        <x:v>D:/Codex/GRL研究/outputs/grid21/GRID21_report.md</x:v>
      </x:c>
    </x:row>
    <x:row r="1302" ht="36" customHeight="1">
      <x:c r="A1302" s="19" t="str">
        <x:v>GRID21</x:v>
      </x:c>
      <x:c r="B1302" s="19" t="str">
        <x:v>GRID21_report.md</x:v>
      </x:c>
      <x:c r="C1302" s="19" t="str">
        <x:v>1. GRID21：保留PPO先验的有界残差修订V1</x:v>
      </x:c>
      <x:c r="D1302" s="19" t="str">
        <x:v>方法=PRIOR_ONLY；K=32</x:v>
      </x:c>
      <x:c r="E1302" s="19" t="str">
        <x:v>唯一公共查询减少</x:v>
      </x:c>
      <x:c r="F1302" s="19" t="str">
        <x:v>86.494%</x:v>
      </x:c>
      <x:c r="G1302" s="19" t="str">
        <x:v>速度/计算</x:v>
      </x:c>
      <x:c r="H1302" s="19" t="str">
        <x:v>D:/Codex/GRL研究/outputs/grid21/GRID21_report.md</x:v>
      </x:c>
    </x:row>
    <x:row r="1303" ht="36" customHeight="1">
      <x:c r="A1303" s="19" t="str">
        <x:v>GRID21</x:v>
      </x:c>
      <x:c r="B1303" s="19" t="str">
        <x:v>GRID21_report.md</x:v>
      </x:c>
      <x:c r="C1303" s="19" t="str">
        <x:v>1. GRID21：保留PPO先验的有界残差修订V1</x:v>
      </x:c>
      <x:c r="D1303" s="19" t="str">
        <x:v>方法=PRIOR_ONLY；K=32</x:v>
      </x:c>
      <x:c r="E1303" s="19" t="str">
        <x:v>交付ρ差</x:v>
      </x:c>
      <x:c r="F1303" s="19" t="str">
        <x:v>0.00235</x:v>
      </x:c>
      <x:c r="G1303" s="19" t="str">
        <x:v>质量/成本</x:v>
      </x:c>
      <x:c r="H1303" s="19" t="str">
        <x:v>D:/Codex/GRL研究/outputs/grid21/GRID21_report.md</x:v>
      </x:c>
    </x:row>
    <x:row r="1304" ht="36" customHeight="1">
      <x:c r="A1304" s="19" t="str">
        <x:v>GRID21</x:v>
      </x:c>
      <x:c r="B1304" s="19" t="str">
        <x:v>GRID21_report.md</x:v>
      </x:c>
      <x:c r="C1304" s="19" t="str">
        <x:v>1. GRID21：保留PPO先验的有界残差修订V1</x:v>
      </x:c>
      <x:c r="D1304" s="19" t="str">
        <x:v>方法=PRIOR_ONLY；K=128</x:v>
      </x:c>
      <x:c r="E1304" s="19" t="str">
        <x:v>K</x:v>
      </x:c>
      <x:c r="F1304" s="19" t="str">
        <x:v>128</x:v>
      </x:c>
      <x:c r="G1304" s="19" t="str">
        <x:v>其他/配置</x:v>
      </x:c>
      <x:c r="H1304" s="19" t="str">
        <x:v>D:/Codex/GRL研究/outputs/grid21/GRID21_report.md</x:v>
      </x:c>
    </x:row>
    <x:row r="1305" ht="36" customHeight="1">
      <x:c r="A1305" s="19" t="str">
        <x:v>GRID21</x:v>
      </x:c>
      <x:c r="B1305" s="19" t="str">
        <x:v>GRID21_report.md</x:v>
      </x:c>
      <x:c r="C1305" s="19" t="str">
        <x:v>1. GRID21：保留PPO先验的有界残差修订V1</x:v>
      </x:c>
      <x:c r="D1305" s="19" t="str">
        <x:v>方法=PRIOR_ONLY；K=128</x:v>
      </x:c>
      <x:c r="E1305" s="19" t="str">
        <x:v>近最佳保留</x:v>
      </x:c>
      <x:c r="F1305" s="19" t="str">
        <x:v>92.857%</x:v>
      </x:c>
      <x:c r="G1305" s="19" t="str">
        <x:v>质量/成本</x:v>
      </x:c>
      <x:c r="H1305" s="19" t="str">
        <x:v>D:/Codex/GRL研究/outputs/grid21/GRID21_report.md</x:v>
      </x:c>
    </x:row>
    <x:row r="1306" ht="36" customHeight="1">
      <x:c r="A1306" s="19" t="str">
        <x:v>GRID21</x:v>
      </x:c>
      <x:c r="B1306" s="19" t="str">
        <x:v>GRID21_report.md</x:v>
      </x:c>
      <x:c r="C1306" s="19" t="str">
        <x:v>1. GRID21：保留PPO先验的有界残差修订V1</x:v>
      </x:c>
      <x:c r="D1306" s="19" t="str">
        <x:v>方法=PRIOR_ONLY；K=128</x:v>
      </x:c>
      <x:c r="E1306" s="19" t="str">
        <x:v>回退</x:v>
      </x:c>
      <x:c r="F1306" s="19" t="str">
        <x:v>11.250%</x:v>
      </x:c>
      <x:c r="G1306" s="19" t="str">
        <x:v>其他/配置</x:v>
      </x:c>
      <x:c r="H1306" s="19" t="str">
        <x:v>D:/Codex/GRL研究/outputs/grid21/GRID21_report.md</x:v>
      </x:c>
    </x:row>
    <x:row r="1307" ht="36" customHeight="1">
      <x:c r="A1307" s="19" t="str">
        <x:v>GRID21</x:v>
      </x:c>
      <x:c r="B1307" s="19" t="str">
        <x:v>GRID21_report.md</x:v>
      </x:c>
      <x:c r="C1307" s="19" t="str">
        <x:v>1. GRID21：保留PPO先验的有界残差修订V1</x:v>
      </x:c>
      <x:c r="D1307" s="19" t="str">
        <x:v>方法=PRIOR_ONLY；K=128</x:v>
      </x:c>
      <x:c r="E1307" s="19" t="str">
        <x:v>唯一公共查询减少</x:v>
      </x:c>
      <x:c r="F1307" s="19" t="str">
        <x:v>76.697%</x:v>
      </x:c>
      <x:c r="G1307" s="19" t="str">
        <x:v>速度/计算</x:v>
      </x:c>
      <x:c r="H1307" s="19" t="str">
        <x:v>D:/Codex/GRL研究/outputs/grid21/GRID21_report.md</x:v>
      </x:c>
    </x:row>
    <x:row r="1308" ht="36" customHeight="1">
      <x:c r="A1308" s="19" t="str">
        <x:v>GRID21</x:v>
      </x:c>
      <x:c r="B1308" s="19" t="str">
        <x:v>GRID21_report.md</x:v>
      </x:c>
      <x:c r="C1308" s="19" t="str">
        <x:v>1. GRID21：保留PPO先验的有界残差修订V1</x:v>
      </x:c>
      <x:c r="D1308" s="19" t="str">
        <x:v>方法=PRIOR_ONLY；K=128</x:v>
      </x:c>
      <x:c r="E1308" s="19" t="str">
        <x:v>交付ρ差</x:v>
      </x:c>
      <x:c r="F1308" s="19" t="str">
        <x:v>0.00182</x:v>
      </x:c>
      <x:c r="G1308" s="19" t="str">
        <x:v>质量/成本</x:v>
      </x:c>
      <x:c r="H1308" s="19" t="str">
        <x:v>D:/Codex/GRL研究/outputs/grid21/GRID21_report.md</x:v>
      </x:c>
    </x:row>
    <x:row r="1309" ht="36" customHeight="1">
      <x:c r="A1309" s="19" t="str">
        <x:v>GRID22</x:v>
      </x:c>
      <x:c r="B1309" s="19" t="str">
        <x:v>GRID22_report.md</x:v>
      </x:c>
      <x:c r="C1309" s="19" t="str">
        <x:v>1. GRID22：PPO先验残差GNN的整周闭环开发比较</x:v>
      </x:c>
      <x:c r="D1309" s="19" t="str">
        <x:v>方法=OLDNN32；完成周=3/4</x:v>
      </x:c>
      <x:c r="E1309" s="19" t="str">
        <x:v>完成周</x:v>
      </x:c>
      <x:c r="F1309" s="19" t="str">
        <x:v>3/4</x:v>
      </x:c>
      <x:c r="G1309" s="19" t="str">
        <x:v>质量/成本</x:v>
      </x:c>
      <x:c r="H1309" s="19" t="str">
        <x:v>D:/Codex/GRL研究/outputs/grid22/GRID22_report.md</x:v>
      </x:c>
    </x:row>
    <x:row r="1310" ht="36" customHeight="1">
      <x:c r="A1310" s="19" t="str">
        <x:v>GRID22</x:v>
      </x:c>
      <x:c r="B1310" s="19" t="str">
        <x:v>GRID22_report.md</x:v>
      </x:c>
      <x:c r="C1310" s="19" t="str">
        <x:v>1. GRID22：PPO先验残差GNN的整周闭环开发比较</x:v>
      </x:c>
      <x:c r="D1310" s="19" t="str">
        <x:v>方法=OLDNN32；完成周=3/4</x:v>
      </x:c>
      <x:c r="E1310" s="19" t="str">
        <x:v>对完整搜索共同完成周</x:v>
      </x:c>
      <x:c r="F1310" s="19" t="str">
        <x:v>3</x:v>
      </x:c>
      <x:c r="G1310" s="19" t="str">
        <x:v>质量/成本</x:v>
      </x:c>
      <x:c r="H1310" s="19" t="str">
        <x:v>D:/Codex/GRL研究/outputs/grid22/GRID22_report.md</x:v>
      </x:c>
    </x:row>
    <x:row r="1311" ht="36" customHeight="1">
      <x:c r="A1311" s="19" t="str">
        <x:v>GRID22</x:v>
      </x:c>
      <x:c r="B1311" s="19" t="str">
        <x:v>GRID22_report.md</x:v>
      </x:c>
      <x:c r="C1311" s="19" t="str">
        <x:v>1. GRID22：PPO先验残差GNN的整周闭环开发比较</x:v>
      </x:c>
      <x:c r="D1311" s="19" t="str">
        <x:v>方法=OLDNN32；完成周=3/4</x:v>
      </x:c>
      <x:c r="E1311" s="19" t="str">
        <x:v>成本平均改善</x:v>
      </x:c>
      <x:c r="F1311" s="19" t="str">
        <x:v>-1.598%</x:v>
      </x:c>
      <x:c r="G1311" s="19" t="str">
        <x:v>质量/成本</x:v>
      </x:c>
      <x:c r="H1311" s="19" t="str">
        <x:v>D:/Codex/GRL研究/outputs/grid22/GRID22_report.md</x:v>
      </x:c>
    </x:row>
    <x:row r="1312" ht="36" customHeight="1">
      <x:c r="A1312" s="19" t="str">
        <x:v>GRID22</x:v>
      </x:c>
      <x:c r="B1312" s="19" t="str">
        <x:v>GRID22_report.md</x:v>
      </x:c>
      <x:c r="C1312" s="19" t="str">
        <x:v>1. GRID22：PPO先验残差GNN的整周闭环开发比较</x:v>
      </x:c>
      <x:c r="D1312" s="19" t="str">
        <x:v>方法=OLDNN32；完成周=3/4</x:v>
      </x:c>
      <x:c r="E1312" s="19" t="str">
        <x:v>控制时间平均减少</x:v>
      </x:c>
      <x:c r="F1312" s="19" t="str">
        <x:v>6.587%</x:v>
      </x:c>
      <x:c r="G1312" s="19" t="str">
        <x:v>速度/计算</x:v>
      </x:c>
      <x:c r="H1312" s="19" t="str">
        <x:v>D:/Codex/GRL研究/outputs/grid22/GRID22_report.md</x:v>
      </x:c>
    </x:row>
    <x:row r="1313" ht="36" customHeight="1">
      <x:c r="A1313" s="19" t="str">
        <x:v>GRID22</x:v>
      </x:c>
      <x:c r="B1313" s="19" t="str">
        <x:v>GRID22_report.md</x:v>
      </x:c>
      <x:c r="C1313" s="19" t="str">
        <x:v>1. GRID22：PPO先验残差GNN的整周闭环开发比较</x:v>
      </x:c>
      <x:c r="D1313" s="19" t="str">
        <x:v>方法=OLDNN32；完成周=3/4</x:v>
      </x:c>
      <x:c r="E1313" s="19" t="str">
        <x:v>搜索查询平均减少</x:v>
      </x:c>
      <x:c r="F1313" s="19" t="str">
        <x:v>88.059%</x:v>
      </x:c>
      <x:c r="G1313" s="19" t="str">
        <x:v>速度/计算</x:v>
      </x:c>
      <x:c r="H1313" s="19" t="str">
        <x:v>D:/Codex/GRL研究/outputs/grid22/GRID22_report.md</x:v>
      </x:c>
    </x:row>
    <x:row r="1314" ht="36" customHeight="1">
      <x:c r="A1314" s="19" t="str">
        <x:v>GRID22</x:v>
      </x:c>
      <x:c r="B1314" s="19" t="str">
        <x:v>GRID22_report.md</x:v>
      </x:c>
      <x:c r="C1314" s="19" t="str">
        <x:v>1. GRID22：PPO先验残差GNN的整周闭环开发比较</x:v>
      </x:c>
      <x:c r="D1314" s="19" t="str">
        <x:v>方法=OLDNN32；完成周=3/4</x:v>
      </x:c>
      <x:c r="E1314" s="19" t="str">
        <x:v>丢失完整周</x:v>
      </x:c>
      <x:c r="F1314" s="19" t="str">
        <x:v>无</x:v>
      </x:c>
      <x:c r="G1314" s="19" t="str">
        <x:v>质量/成本</x:v>
      </x:c>
      <x:c r="H1314" s="19" t="str">
        <x:v>D:/Codex/GRL研究/outputs/grid22/GRID22_report.md</x:v>
      </x:c>
    </x:row>
    <x:row r="1315" ht="36" customHeight="1">
      <x:c r="A1315" s="19" t="str">
        <x:v>GRID22</x:v>
      </x:c>
      <x:c r="B1315" s="19" t="str">
        <x:v>GRID22_report.md</x:v>
      </x:c>
      <x:c r="C1315" s="19" t="str">
        <x:v>1. GRID22：PPO先验残差GNN的整周闭环开发比较</x:v>
      </x:c>
      <x:c r="D1315" s="19" t="str">
        <x:v>方法=OLDNN32；完成周=3/4</x:v>
      </x:c>
      <x:c r="E1315" s="19" t="str">
        <x:v>辅助角色筛查</x:v>
      </x:c>
      <x:c r="F1315" s="19" t="str">
        <x:v>False</x:v>
      </x:c>
      <x:c r="G1315" s="19" t="str">
        <x:v>其他/配置</x:v>
      </x:c>
      <x:c r="H1315" s="19" t="str">
        <x:v>D:/Codex/GRL研究/outputs/grid22/GRID22_report.md</x:v>
      </x:c>
    </x:row>
    <x:row r="1316" ht="36" customHeight="1">
      <x:c r="A1316" s="19" t="str">
        <x:v>GRID22</x:v>
      </x:c>
      <x:c r="B1316" s="19" t="str">
        <x:v>GRID22_report.md</x:v>
      </x:c>
      <x:c r="C1316" s="19" t="str">
        <x:v>1. GRID22：PPO先验残差GNN的整周闭环开发比较</x:v>
      </x:c>
      <x:c r="D1316" s="19" t="str">
        <x:v>方法=OLDNN128；完成周=3/4</x:v>
      </x:c>
      <x:c r="E1316" s="19" t="str">
        <x:v>完成周</x:v>
      </x:c>
      <x:c r="F1316" s="19" t="str">
        <x:v>3/4</x:v>
      </x:c>
      <x:c r="G1316" s="19" t="str">
        <x:v>质量/成本</x:v>
      </x:c>
      <x:c r="H1316" s="19" t="str">
        <x:v>D:/Codex/GRL研究/outputs/grid22/GRID22_report.md</x:v>
      </x:c>
    </x:row>
    <x:row r="1317" ht="36" customHeight="1">
      <x:c r="A1317" s="19" t="str">
        <x:v>GRID22</x:v>
      </x:c>
      <x:c r="B1317" s="19" t="str">
        <x:v>GRID22_report.md</x:v>
      </x:c>
      <x:c r="C1317" s="19" t="str">
        <x:v>1. GRID22：PPO先验残差GNN的整周闭环开发比较</x:v>
      </x:c>
      <x:c r="D1317" s="19" t="str">
        <x:v>方法=OLDNN128；完成周=3/4</x:v>
      </x:c>
      <x:c r="E1317" s="19" t="str">
        <x:v>对完整搜索共同完成周</x:v>
      </x:c>
      <x:c r="F1317" s="19" t="str">
        <x:v>3</x:v>
      </x:c>
      <x:c r="G1317" s="19" t="str">
        <x:v>质量/成本</x:v>
      </x:c>
      <x:c r="H1317" s="19" t="str">
        <x:v>D:/Codex/GRL研究/outputs/grid22/GRID22_report.md</x:v>
      </x:c>
    </x:row>
    <x:row r="1318" ht="36" customHeight="1">
      <x:c r="A1318" s="19" t="str">
        <x:v>GRID22</x:v>
      </x:c>
      <x:c r="B1318" s="19" t="str">
        <x:v>GRID22_report.md</x:v>
      </x:c>
      <x:c r="C1318" s="19" t="str">
        <x:v>1. GRID22：PPO先验残差GNN的整周闭环开发比较</x:v>
      </x:c>
      <x:c r="D1318" s="19" t="str">
        <x:v>方法=OLDNN128；完成周=3/4</x:v>
      </x:c>
      <x:c r="E1318" s="19" t="str">
        <x:v>成本平均改善</x:v>
      </x:c>
      <x:c r="F1318" s="19" t="str">
        <x:v>-2.966%</x:v>
      </x:c>
      <x:c r="G1318" s="19" t="str">
        <x:v>质量/成本</x:v>
      </x:c>
      <x:c r="H1318" s="19" t="str">
        <x:v>D:/Codex/GRL研究/outputs/grid22/GRID22_report.md</x:v>
      </x:c>
    </x:row>
    <x:row r="1319" ht="36" customHeight="1">
      <x:c r="A1319" s="19" t="str">
        <x:v>GRID22</x:v>
      </x:c>
      <x:c r="B1319" s="19" t="str">
        <x:v>GRID22_report.md</x:v>
      </x:c>
      <x:c r="C1319" s="19" t="str">
        <x:v>1. GRID22：PPO先验残差GNN的整周闭环开发比较</x:v>
      </x:c>
      <x:c r="D1319" s="19" t="str">
        <x:v>方法=OLDNN128；完成周=3/4</x:v>
      </x:c>
      <x:c r="E1319" s="19" t="str">
        <x:v>控制时间平均减少</x:v>
      </x:c>
      <x:c r="F1319" s="19" t="str">
        <x:v>3.819%</x:v>
      </x:c>
      <x:c r="G1319" s="19" t="str">
        <x:v>速度/计算</x:v>
      </x:c>
      <x:c r="H1319" s="19" t="str">
        <x:v>D:/Codex/GRL研究/outputs/grid22/GRID22_report.md</x:v>
      </x:c>
    </x:row>
    <x:row r="1320" ht="36" customHeight="1">
      <x:c r="A1320" s="19" t="str">
        <x:v>GRID22</x:v>
      </x:c>
      <x:c r="B1320" s="19" t="str">
        <x:v>GRID22_report.md</x:v>
      </x:c>
      <x:c r="C1320" s="19" t="str">
        <x:v>1. GRID22：PPO先验残差GNN的整周闭环开发比较</x:v>
      </x:c>
      <x:c r="D1320" s="19" t="str">
        <x:v>方法=OLDNN128；完成周=3/4</x:v>
      </x:c>
      <x:c r="E1320" s="19" t="str">
        <x:v>搜索查询平均减少</x:v>
      </x:c>
      <x:c r="F1320" s="19" t="str">
        <x:v>77.752%</x:v>
      </x:c>
      <x:c r="G1320" s="19" t="str">
        <x:v>速度/计算</x:v>
      </x:c>
      <x:c r="H1320" s="19" t="str">
        <x:v>D:/Codex/GRL研究/outputs/grid22/GRID22_report.md</x:v>
      </x:c>
    </x:row>
    <x:row r="1321" ht="36" customHeight="1">
      <x:c r="A1321" s="19" t="str">
        <x:v>GRID22</x:v>
      </x:c>
      <x:c r="B1321" s="19" t="str">
        <x:v>GRID22_report.md</x:v>
      </x:c>
      <x:c r="C1321" s="19" t="str">
        <x:v>1. GRID22：PPO先验残差GNN的整周闭环开发比较</x:v>
      </x:c>
      <x:c r="D1321" s="19" t="str">
        <x:v>方法=OLDNN128；完成周=3/4</x:v>
      </x:c>
      <x:c r="E1321" s="19" t="str">
        <x:v>丢失完整周</x:v>
      </x:c>
      <x:c r="F1321" s="19" t="str">
        <x:v>无</x:v>
      </x:c>
      <x:c r="G1321" s="19" t="str">
        <x:v>质量/成本</x:v>
      </x:c>
      <x:c r="H1321" s="19" t="str">
        <x:v>D:/Codex/GRL研究/outputs/grid22/GRID22_report.md</x:v>
      </x:c>
    </x:row>
    <x:row r="1322" ht="36" customHeight="1">
      <x:c r="A1322" s="19" t="str">
        <x:v>GRID22</x:v>
      </x:c>
      <x:c r="B1322" s="19" t="str">
        <x:v>GRID22_report.md</x:v>
      </x:c>
      <x:c r="C1322" s="19" t="str">
        <x:v>1. GRID22：PPO先验残差GNN的整周闭环开发比较</x:v>
      </x:c>
      <x:c r="D1322" s="19" t="str">
        <x:v>方法=OLDNN128；完成周=3/4</x:v>
      </x:c>
      <x:c r="E1322" s="19" t="str">
        <x:v>辅助角色筛查</x:v>
      </x:c>
      <x:c r="F1322" s="19" t="str">
        <x:v>False</x:v>
      </x:c>
      <x:c r="G1322" s="19" t="str">
        <x:v>其他/配置</x:v>
      </x:c>
      <x:c r="H1322" s="19" t="str">
        <x:v>D:/Codex/GRL研究/outputs/grid22/GRID22_report.md</x:v>
      </x:c>
    </x:row>
    <x:row r="1323" ht="36" customHeight="1">
      <x:c r="A1323" s="19" t="str">
        <x:v>GRID22</x:v>
      </x:c>
      <x:c r="B1323" s="19" t="str">
        <x:v>GRID22_report.md</x:v>
      </x:c>
      <x:c r="C1323" s="19" t="str">
        <x:v>1. GRID22：PPO先验残差GNN的整周闭环开发比较</x:v>
      </x:c>
      <x:c r="D1323" s="19" t="str">
        <x:v>方法=GNN0_32；完成周=3/4</x:v>
      </x:c>
      <x:c r="E1323" s="19" t="str">
        <x:v>完成周</x:v>
      </x:c>
      <x:c r="F1323" s="19" t="str">
        <x:v>3/4</x:v>
      </x:c>
      <x:c r="G1323" s="19" t="str">
        <x:v>质量/成本</x:v>
      </x:c>
      <x:c r="H1323" s="19" t="str">
        <x:v>D:/Codex/GRL研究/outputs/grid22/GRID22_report.md</x:v>
      </x:c>
    </x:row>
    <x:row r="1324" ht="36" customHeight="1">
      <x:c r="A1324" s="19" t="str">
        <x:v>GRID22</x:v>
      </x:c>
      <x:c r="B1324" s="19" t="str">
        <x:v>GRID22_report.md</x:v>
      </x:c>
      <x:c r="C1324" s="19" t="str">
        <x:v>1. GRID22：PPO先验残差GNN的整周闭环开发比较</x:v>
      </x:c>
      <x:c r="D1324" s="19" t="str">
        <x:v>方法=GNN0_32；完成周=3/4</x:v>
      </x:c>
      <x:c r="E1324" s="19" t="str">
        <x:v>对完整搜索共同完成周</x:v>
      </x:c>
      <x:c r="F1324" s="19" t="str">
        <x:v>3</x:v>
      </x:c>
      <x:c r="G1324" s="19" t="str">
        <x:v>质量/成本</x:v>
      </x:c>
      <x:c r="H1324" s="19" t="str">
        <x:v>D:/Codex/GRL研究/outputs/grid22/GRID22_report.md</x:v>
      </x:c>
    </x:row>
    <x:row r="1325" ht="36" customHeight="1">
      <x:c r="A1325" s="19" t="str">
        <x:v>GRID22</x:v>
      </x:c>
      <x:c r="B1325" s="19" t="str">
        <x:v>GRID22_report.md</x:v>
      </x:c>
      <x:c r="C1325" s="19" t="str">
        <x:v>1. GRID22：PPO先验残差GNN的整周闭环开发比较</x:v>
      </x:c>
      <x:c r="D1325" s="19" t="str">
        <x:v>方法=GNN0_32；完成周=3/4</x:v>
      </x:c>
      <x:c r="E1325" s="19" t="str">
        <x:v>成本平均改善</x:v>
      </x:c>
      <x:c r="F1325" s="19" t="str">
        <x:v>-0.555%</x:v>
      </x:c>
      <x:c r="G1325" s="19" t="str">
        <x:v>质量/成本</x:v>
      </x:c>
      <x:c r="H1325" s="19" t="str">
        <x:v>D:/Codex/GRL研究/outputs/grid22/GRID22_report.md</x:v>
      </x:c>
    </x:row>
    <x:row r="1326" ht="36" customHeight="1">
      <x:c r="A1326" s="19" t="str">
        <x:v>GRID22</x:v>
      </x:c>
      <x:c r="B1326" s="19" t="str">
        <x:v>GRID22_report.md</x:v>
      </x:c>
      <x:c r="C1326" s="19" t="str">
        <x:v>1. GRID22：PPO先验残差GNN的整周闭环开发比较</x:v>
      </x:c>
      <x:c r="D1326" s="19" t="str">
        <x:v>方法=GNN0_32；完成周=3/4</x:v>
      </x:c>
      <x:c r="E1326" s="19" t="str">
        <x:v>控制时间平均减少</x:v>
      </x:c>
      <x:c r="F1326" s="19" t="str">
        <x:v>7.035%</x:v>
      </x:c>
      <x:c r="G1326" s="19" t="str">
        <x:v>速度/计算</x:v>
      </x:c>
      <x:c r="H1326" s="19" t="str">
        <x:v>D:/Codex/GRL研究/outputs/grid22/GRID22_report.md</x:v>
      </x:c>
    </x:row>
    <x:row r="1327" ht="36" customHeight="1">
      <x:c r="A1327" s="19" t="str">
        <x:v>GRID22</x:v>
      </x:c>
      <x:c r="B1327" s="19" t="str">
        <x:v>GRID22_report.md</x:v>
      </x:c>
      <x:c r="C1327" s="19" t="str">
        <x:v>1. GRID22：PPO先验残差GNN的整周闭环开发比较</x:v>
      </x:c>
      <x:c r="D1327" s="19" t="str">
        <x:v>方法=GNN0_32；完成周=3/4</x:v>
      </x:c>
      <x:c r="E1327" s="19" t="str">
        <x:v>搜索查询平均减少</x:v>
      </x:c>
      <x:c r="F1327" s="19" t="str">
        <x:v>92.096%</x:v>
      </x:c>
      <x:c r="G1327" s="19" t="str">
        <x:v>速度/计算</x:v>
      </x:c>
      <x:c r="H1327" s="19" t="str">
        <x:v>D:/Codex/GRL研究/outputs/grid22/GRID22_report.md</x:v>
      </x:c>
    </x:row>
    <x:row r="1328" ht="36" customHeight="1">
      <x:c r="A1328" s="19" t="str">
        <x:v>GRID22</x:v>
      </x:c>
      <x:c r="B1328" s="19" t="str">
        <x:v>GRID22_report.md</x:v>
      </x:c>
      <x:c r="C1328" s="19" t="str">
        <x:v>1. GRID22：PPO先验残差GNN的整周闭环开发比较</x:v>
      </x:c>
      <x:c r="D1328" s="19" t="str">
        <x:v>方法=GNN0_32；完成周=3/4</x:v>
      </x:c>
      <x:c r="E1328" s="19" t="str">
        <x:v>丢失完整周</x:v>
      </x:c>
      <x:c r="F1328" s="19" t="str">
        <x:v>无</x:v>
      </x:c>
      <x:c r="G1328" s="19" t="str">
        <x:v>质量/成本</x:v>
      </x:c>
      <x:c r="H1328" s="19" t="str">
        <x:v>D:/Codex/GRL研究/outputs/grid22/GRID22_report.md</x:v>
      </x:c>
    </x:row>
    <x:row r="1329" ht="36" customHeight="1">
      <x:c r="A1329" s="19" t="str">
        <x:v>GRID22</x:v>
      </x:c>
      <x:c r="B1329" s="19" t="str">
        <x:v>GRID22_report.md</x:v>
      </x:c>
      <x:c r="C1329" s="19" t="str">
        <x:v>1. GRID22：PPO先验残差GNN的整周闭环开发比较</x:v>
      </x:c>
      <x:c r="D1329" s="19" t="str">
        <x:v>方法=GNN0_32；完成周=3/4</x:v>
      </x:c>
      <x:c r="E1329" s="19" t="str">
        <x:v>辅助角色筛查</x:v>
      </x:c>
      <x:c r="F1329" s="19" t="str">
        <x:v>False</x:v>
      </x:c>
      <x:c r="G1329" s="19" t="str">
        <x:v>其他/配置</x:v>
      </x:c>
      <x:c r="H1329" s="19" t="str">
        <x:v>D:/Codex/GRL研究/outputs/grid22/GRID22_report.md</x:v>
      </x:c>
    </x:row>
    <x:row r="1330" ht="36" customHeight="1">
      <x:c r="A1330" s="19" t="str">
        <x:v>GRID22</x:v>
      </x:c>
      <x:c r="B1330" s="19" t="str">
        <x:v>GRID22_report.md</x:v>
      </x:c>
      <x:c r="C1330" s="19" t="str">
        <x:v>1. GRID22：PPO先验残差GNN的整周闭环开发比较</x:v>
      </x:c>
      <x:c r="D1330" s="19" t="str">
        <x:v>方法=GNN1_32；完成周=2/4</x:v>
      </x:c>
      <x:c r="E1330" s="19" t="str">
        <x:v>完成周</x:v>
      </x:c>
      <x:c r="F1330" s="19" t="str">
        <x:v>2/4</x:v>
      </x:c>
      <x:c r="G1330" s="19" t="str">
        <x:v>质量/成本</x:v>
      </x:c>
      <x:c r="H1330" s="19" t="str">
        <x:v>D:/Codex/GRL研究/outputs/grid22/GRID22_report.md</x:v>
      </x:c>
    </x:row>
    <x:row r="1331" ht="36" customHeight="1">
      <x:c r="A1331" s="19" t="str">
        <x:v>GRID22</x:v>
      </x:c>
      <x:c r="B1331" s="19" t="str">
        <x:v>GRID22_report.md</x:v>
      </x:c>
      <x:c r="C1331" s="19" t="str">
        <x:v>1. GRID22：PPO先验残差GNN的整周闭环开发比较</x:v>
      </x:c>
      <x:c r="D1331" s="19" t="str">
        <x:v>方法=GNN1_32；完成周=2/4</x:v>
      </x:c>
      <x:c r="E1331" s="19" t="str">
        <x:v>对完整搜索共同完成周</x:v>
      </x:c>
      <x:c r="F1331" s="19" t="str">
        <x:v>2</x:v>
      </x:c>
      <x:c r="G1331" s="19" t="str">
        <x:v>质量/成本</x:v>
      </x:c>
      <x:c r="H1331" s="19" t="str">
        <x:v>D:/Codex/GRL研究/outputs/grid22/GRID22_report.md</x:v>
      </x:c>
    </x:row>
    <x:row r="1332" ht="36" customHeight="1">
      <x:c r="A1332" s="19" t="str">
        <x:v>GRID22</x:v>
      </x:c>
      <x:c r="B1332" s="19" t="str">
        <x:v>GRID22_report.md</x:v>
      </x:c>
      <x:c r="C1332" s="19" t="str">
        <x:v>1. GRID22：PPO先验残差GNN的整周闭环开发比较</x:v>
      </x:c>
      <x:c r="D1332" s="19" t="str">
        <x:v>方法=GNN1_32；完成周=2/4</x:v>
      </x:c>
      <x:c r="E1332" s="19" t="str">
        <x:v>成本平均改善</x:v>
      </x:c>
      <x:c r="F1332" s="19" t="str">
        <x:v>-1.147%</x:v>
      </x:c>
      <x:c r="G1332" s="19" t="str">
        <x:v>质量/成本</x:v>
      </x:c>
      <x:c r="H1332" s="19" t="str">
        <x:v>D:/Codex/GRL研究/outputs/grid22/GRID22_report.md</x:v>
      </x:c>
    </x:row>
    <x:row r="1333" ht="36" customHeight="1">
      <x:c r="A1333" s="19" t="str">
        <x:v>GRID22</x:v>
      </x:c>
      <x:c r="B1333" s="19" t="str">
        <x:v>GRID22_report.md</x:v>
      </x:c>
      <x:c r="C1333" s="19" t="str">
        <x:v>1. GRID22：PPO先验残差GNN的整周闭环开发比较</x:v>
      </x:c>
      <x:c r="D1333" s="19" t="str">
        <x:v>方法=GNN1_32；完成周=2/4</x:v>
      </x:c>
      <x:c r="E1333" s="19" t="str">
        <x:v>控制时间平均减少</x:v>
      </x:c>
      <x:c r="F1333" s="19" t="str">
        <x:v>6.636%</x:v>
      </x:c>
      <x:c r="G1333" s="19" t="str">
        <x:v>速度/计算</x:v>
      </x:c>
      <x:c r="H1333" s="19" t="str">
        <x:v>D:/Codex/GRL研究/outputs/grid22/GRID22_report.md</x:v>
      </x:c>
    </x:row>
    <x:row r="1334" ht="36" customHeight="1">
      <x:c r="A1334" s="19" t="str">
        <x:v>GRID22</x:v>
      </x:c>
      <x:c r="B1334" s="19" t="str">
        <x:v>GRID22_report.md</x:v>
      </x:c>
      <x:c r="C1334" s="19" t="str">
        <x:v>1. GRID22：PPO先验残差GNN的整周闭环开发比较</x:v>
      </x:c>
      <x:c r="D1334" s="19" t="str">
        <x:v>方法=GNN1_32；完成周=2/4</x:v>
      </x:c>
      <x:c r="E1334" s="19" t="str">
        <x:v>搜索查询平均减少</x:v>
      </x:c>
      <x:c r="F1334" s="19" t="str">
        <x:v>96.401%</x:v>
      </x:c>
      <x:c r="G1334" s="19" t="str">
        <x:v>速度/计算</x:v>
      </x:c>
      <x:c r="H1334" s="19" t="str">
        <x:v>D:/Codex/GRL研究/outputs/grid22/GRID22_report.md</x:v>
      </x:c>
    </x:row>
    <x:row r="1335" ht="36" customHeight="1">
      <x:c r="A1335" s="19" t="str">
        <x:v>GRID22</x:v>
      </x:c>
      <x:c r="B1335" s="19" t="str">
        <x:v>GRID22_report.md</x:v>
      </x:c>
      <x:c r="C1335" s="19" t="str">
        <x:v>1. GRID22：PPO先验残差GNN的整周闭环开发比较</x:v>
      </x:c>
      <x:c r="D1335" s="19" t="str">
        <x:v>方法=GNN1_32；完成周=2/4</x:v>
      </x:c>
      <x:c r="E1335" s="19" t="str">
        <x:v>丢失完整周</x:v>
      </x:c>
      <x:c r="F1335" s="19" t="str">
        <x:v>2035-09-03_4</x:v>
      </x:c>
      <x:c r="G1335" s="19" t="str">
        <x:v>质量/成本</x:v>
      </x:c>
      <x:c r="H1335" s="19" t="str">
        <x:v>D:/Codex/GRL研究/outputs/grid22/GRID22_report.md</x:v>
      </x:c>
    </x:row>
    <x:row r="1336" ht="36" customHeight="1">
      <x:c r="A1336" s="19" t="str">
        <x:v>GRID22</x:v>
      </x:c>
      <x:c r="B1336" s="19" t="str">
        <x:v>GRID22_report.md</x:v>
      </x:c>
      <x:c r="C1336" s="19" t="str">
        <x:v>1. GRID22：PPO先验残差GNN的整周闭环开发比较</x:v>
      </x:c>
      <x:c r="D1336" s="19" t="str">
        <x:v>方法=GNN1_32；完成周=2/4</x:v>
      </x:c>
      <x:c r="E1336" s="19" t="str">
        <x:v>辅助角色筛查</x:v>
      </x:c>
      <x:c r="F1336" s="19" t="str">
        <x:v>False</x:v>
      </x:c>
      <x:c r="G1336" s="19" t="str">
        <x:v>其他/配置</x:v>
      </x:c>
      <x:c r="H1336" s="19" t="str">
        <x:v>D:/Codex/GRL研究/outputs/grid22/GRID22_report.md</x:v>
      </x:c>
    </x:row>
    <x:row r="1337" ht="36" customHeight="1">
      <x:c r="A1337" s="19" t="str">
        <x:v>GRID22</x:v>
      </x:c>
      <x:c r="B1337" s="19" t="str">
        <x:v>GRID22_report.md</x:v>
      </x:c>
      <x:c r="C1337" s="19" t="str">
        <x:v>1. GRID22：PPO先验残差GNN的整周闭环开发比较</x:v>
      </x:c>
      <x:c r="D1337" s="19" t="str">
        <x:v>方法=MLP0_32；完成周=3/4</x:v>
      </x:c>
      <x:c r="E1337" s="19" t="str">
        <x:v>完成周</x:v>
      </x:c>
      <x:c r="F1337" s="19" t="str">
        <x:v>3/4</x:v>
      </x:c>
      <x:c r="G1337" s="19" t="str">
        <x:v>质量/成本</x:v>
      </x:c>
      <x:c r="H1337" s="19" t="str">
        <x:v>D:/Codex/GRL研究/outputs/grid22/GRID22_report.md</x:v>
      </x:c>
    </x:row>
    <x:row r="1338" ht="36" customHeight="1">
      <x:c r="A1338" s="19" t="str">
        <x:v>GRID22</x:v>
      </x:c>
      <x:c r="B1338" s="19" t="str">
        <x:v>GRID22_report.md</x:v>
      </x:c>
      <x:c r="C1338" s="19" t="str">
        <x:v>1. GRID22：PPO先验残差GNN的整周闭环开发比较</x:v>
      </x:c>
      <x:c r="D1338" s="19" t="str">
        <x:v>方法=MLP0_32；完成周=3/4</x:v>
      </x:c>
      <x:c r="E1338" s="19" t="str">
        <x:v>对完整搜索共同完成周</x:v>
      </x:c>
      <x:c r="F1338" s="19" t="str">
        <x:v>3</x:v>
      </x:c>
      <x:c r="G1338" s="19" t="str">
        <x:v>质量/成本</x:v>
      </x:c>
      <x:c r="H1338" s="19" t="str">
        <x:v>D:/Codex/GRL研究/outputs/grid22/GRID22_report.md</x:v>
      </x:c>
    </x:row>
    <x:row r="1339" ht="36" customHeight="1">
      <x:c r="A1339" s="19" t="str">
        <x:v>GRID22</x:v>
      </x:c>
      <x:c r="B1339" s="19" t="str">
        <x:v>GRID22_report.md</x:v>
      </x:c>
      <x:c r="C1339" s="19" t="str">
        <x:v>1. GRID22：PPO先验残差GNN的整周闭环开发比较</x:v>
      </x:c>
      <x:c r="D1339" s="19" t="str">
        <x:v>方法=MLP0_32；完成周=3/4</x:v>
      </x:c>
      <x:c r="E1339" s="19" t="str">
        <x:v>成本平均改善</x:v>
      </x:c>
      <x:c r="F1339" s="19" t="str">
        <x:v>-3.584%</x:v>
      </x:c>
      <x:c r="G1339" s="19" t="str">
        <x:v>质量/成本</x:v>
      </x:c>
      <x:c r="H1339" s="19" t="str">
        <x:v>D:/Codex/GRL研究/outputs/grid22/GRID22_report.md</x:v>
      </x:c>
    </x:row>
    <x:row r="1340" ht="36" customHeight="1">
      <x:c r="A1340" s="19" t="str">
        <x:v>GRID22</x:v>
      </x:c>
      <x:c r="B1340" s="19" t="str">
        <x:v>GRID22_report.md</x:v>
      </x:c>
      <x:c r="C1340" s="19" t="str">
        <x:v>1. GRID22：PPO先验残差GNN的整周闭环开发比较</x:v>
      </x:c>
      <x:c r="D1340" s="19" t="str">
        <x:v>方法=MLP0_32；完成周=3/4</x:v>
      </x:c>
      <x:c r="E1340" s="19" t="str">
        <x:v>控制时间平均减少</x:v>
      </x:c>
      <x:c r="F1340" s="19" t="str">
        <x:v>4.988%</x:v>
      </x:c>
      <x:c r="G1340" s="19" t="str">
        <x:v>速度/计算</x:v>
      </x:c>
      <x:c r="H1340" s="19" t="str">
        <x:v>D:/Codex/GRL研究/outputs/grid22/GRID22_report.md</x:v>
      </x:c>
    </x:row>
    <x:row r="1341" ht="36" customHeight="1">
      <x:c r="A1341" s="19" t="str">
        <x:v>GRID22</x:v>
      </x:c>
      <x:c r="B1341" s="19" t="str">
        <x:v>GRID22_report.md</x:v>
      </x:c>
      <x:c r="C1341" s="19" t="str">
        <x:v>1. GRID22：PPO先验残差GNN的整周闭环开发比较</x:v>
      </x:c>
      <x:c r="D1341" s="19" t="str">
        <x:v>方法=MLP0_32；完成周=3/4</x:v>
      </x:c>
      <x:c r="E1341" s="19" t="str">
        <x:v>搜索查询平均减少</x:v>
      </x:c>
      <x:c r="F1341" s="19" t="str">
        <x:v>91.985%</x:v>
      </x:c>
      <x:c r="G1341" s="19" t="str">
        <x:v>速度/计算</x:v>
      </x:c>
      <x:c r="H1341" s="19" t="str">
        <x:v>D:/Codex/GRL研究/outputs/grid22/GRID22_report.md</x:v>
      </x:c>
    </x:row>
    <x:row r="1342" ht="36" customHeight="1">
      <x:c r="A1342" s="19" t="str">
        <x:v>GRID22</x:v>
      </x:c>
      <x:c r="B1342" s="19" t="str">
        <x:v>GRID22_report.md</x:v>
      </x:c>
      <x:c r="C1342" s="19" t="str">
        <x:v>1. GRID22：PPO先验残差GNN的整周闭环开发比较</x:v>
      </x:c>
      <x:c r="D1342" s="19" t="str">
        <x:v>方法=MLP0_32；完成周=3/4</x:v>
      </x:c>
      <x:c r="E1342" s="19" t="str">
        <x:v>丢失完整周</x:v>
      </x:c>
      <x:c r="F1342" s="19" t="str">
        <x:v>无</x:v>
      </x:c>
      <x:c r="G1342" s="19" t="str">
        <x:v>质量/成本</x:v>
      </x:c>
      <x:c r="H1342" s="19" t="str">
        <x:v>D:/Codex/GRL研究/outputs/grid22/GRID22_report.md</x:v>
      </x:c>
    </x:row>
    <x:row r="1343" ht="36" customHeight="1">
      <x:c r="A1343" s="19" t="str">
        <x:v>GRID22</x:v>
      </x:c>
      <x:c r="B1343" s="19" t="str">
        <x:v>GRID22_report.md</x:v>
      </x:c>
      <x:c r="C1343" s="19" t="str">
        <x:v>1. GRID22：PPO先验残差GNN的整周闭环开发比较</x:v>
      </x:c>
      <x:c r="D1343" s="19" t="str">
        <x:v>方法=MLP0_32；完成周=3/4</x:v>
      </x:c>
      <x:c r="E1343" s="19" t="str">
        <x:v>辅助角色筛查</x:v>
      </x:c>
      <x:c r="F1343" s="19" t="str">
        <x:v>False</x:v>
      </x:c>
      <x:c r="G1343" s="19" t="str">
        <x:v>其他/配置</x:v>
      </x:c>
      <x:c r="H1343" s="19" t="str">
        <x:v>D:/Codex/GRL研究/outputs/grid22/GRID22_report.md</x:v>
      </x:c>
    </x:row>
    <x:row r="1344" ht="36" customHeight="1">
      <x:c r="A1344" s="19" t="str">
        <x:v>GRID22</x:v>
      </x:c>
      <x:c r="B1344" s="19" t="str">
        <x:v>GRID22_report.md</x:v>
      </x:c>
      <x:c r="C1344" s="19" t="str">
        <x:v>1. GRID22：PPO先验残差GNN的整周闭环开发比较</x:v>
      </x:c>
      <x:c r="D1344" s="19" t="str">
        <x:v>方法=BIAS0_32；完成周=3/4</x:v>
      </x:c>
      <x:c r="E1344" s="19" t="str">
        <x:v>完成周</x:v>
      </x:c>
      <x:c r="F1344" s="19" t="str">
        <x:v>3/4</x:v>
      </x:c>
      <x:c r="G1344" s="19" t="str">
        <x:v>质量/成本</x:v>
      </x:c>
      <x:c r="H1344" s="19" t="str">
        <x:v>D:/Codex/GRL研究/outputs/grid22/GRID22_report.md</x:v>
      </x:c>
    </x:row>
    <x:row r="1345" ht="36" customHeight="1">
      <x:c r="A1345" s="19" t="str">
        <x:v>GRID22</x:v>
      </x:c>
      <x:c r="B1345" s="19" t="str">
        <x:v>GRID22_report.md</x:v>
      </x:c>
      <x:c r="C1345" s="19" t="str">
        <x:v>1. GRID22：PPO先验残差GNN的整周闭环开发比较</x:v>
      </x:c>
      <x:c r="D1345" s="19" t="str">
        <x:v>方法=BIAS0_32；完成周=3/4</x:v>
      </x:c>
      <x:c r="E1345" s="19" t="str">
        <x:v>对完整搜索共同完成周</x:v>
      </x:c>
      <x:c r="F1345" s="19" t="str">
        <x:v>3</x:v>
      </x:c>
      <x:c r="G1345" s="19" t="str">
        <x:v>质量/成本</x:v>
      </x:c>
      <x:c r="H1345" s="19" t="str">
        <x:v>D:/Codex/GRL研究/outputs/grid22/GRID22_report.md</x:v>
      </x:c>
    </x:row>
    <x:row r="1346" ht="36" customHeight="1">
      <x:c r="A1346" s="19" t="str">
        <x:v>GRID22</x:v>
      </x:c>
      <x:c r="B1346" s="19" t="str">
        <x:v>GRID22_report.md</x:v>
      </x:c>
      <x:c r="C1346" s="19" t="str">
        <x:v>1. GRID22：PPO先验残差GNN的整周闭环开发比较</x:v>
      </x:c>
      <x:c r="D1346" s="19" t="str">
        <x:v>方法=BIAS0_32；完成周=3/4</x:v>
      </x:c>
      <x:c r="E1346" s="19" t="str">
        <x:v>成本平均改善</x:v>
      </x:c>
      <x:c r="F1346" s="19" t="str">
        <x:v>-1.574%</x:v>
      </x:c>
      <x:c r="G1346" s="19" t="str">
        <x:v>质量/成本</x:v>
      </x:c>
      <x:c r="H1346" s="19" t="str">
        <x:v>D:/Codex/GRL研究/outputs/grid22/GRID22_report.md</x:v>
      </x:c>
    </x:row>
    <x:row r="1347" ht="36" customHeight="1">
      <x:c r="A1347" s="19" t="str">
        <x:v>GRID22</x:v>
      </x:c>
      <x:c r="B1347" s="19" t="str">
        <x:v>GRID22_report.md</x:v>
      </x:c>
      <x:c r="C1347" s="19" t="str">
        <x:v>1. GRID22：PPO先验残差GNN的整周闭环开发比较</x:v>
      </x:c>
      <x:c r="D1347" s="19" t="str">
        <x:v>方法=BIAS0_32；完成周=3/4</x:v>
      </x:c>
      <x:c r="E1347" s="19" t="str">
        <x:v>控制时间平均减少</x:v>
      </x:c>
      <x:c r="F1347" s="19" t="str">
        <x:v>5.126%</x:v>
      </x:c>
      <x:c r="G1347" s="19" t="str">
        <x:v>速度/计算</x:v>
      </x:c>
      <x:c r="H1347" s="19" t="str">
        <x:v>D:/Codex/GRL研究/outputs/grid22/GRID22_report.md</x:v>
      </x:c>
    </x:row>
    <x:row r="1348" ht="36" customHeight="1">
      <x:c r="A1348" s="19" t="str">
        <x:v>GRID22</x:v>
      </x:c>
      <x:c r="B1348" s="19" t="str">
        <x:v>GRID22_report.md</x:v>
      </x:c>
      <x:c r="C1348" s="19" t="str">
        <x:v>1. GRID22：PPO先验残差GNN的整周闭环开发比较</x:v>
      </x:c>
      <x:c r="D1348" s="19" t="str">
        <x:v>方法=BIAS0_32；完成周=3/4</x:v>
      </x:c>
      <x:c r="E1348" s="19" t="str">
        <x:v>搜索查询平均减少</x:v>
      </x:c>
      <x:c r="F1348" s="19" t="str">
        <x:v>88.059%</x:v>
      </x:c>
      <x:c r="G1348" s="19" t="str">
        <x:v>速度/计算</x:v>
      </x:c>
      <x:c r="H1348" s="19" t="str">
        <x:v>D:/Codex/GRL研究/outputs/grid22/GRID22_report.md</x:v>
      </x:c>
    </x:row>
    <x:row r="1349" ht="36" customHeight="1">
      <x:c r="A1349" s="19" t="str">
        <x:v>GRID22</x:v>
      </x:c>
      <x:c r="B1349" s="19" t="str">
        <x:v>GRID22_report.md</x:v>
      </x:c>
      <x:c r="C1349" s="19" t="str">
        <x:v>1. GRID22：PPO先验残差GNN的整周闭环开发比较</x:v>
      </x:c>
      <x:c r="D1349" s="19" t="str">
        <x:v>方法=BIAS0_32；完成周=3/4</x:v>
      </x:c>
      <x:c r="E1349" s="19" t="str">
        <x:v>丢失完整周</x:v>
      </x:c>
      <x:c r="F1349" s="19" t="str">
        <x:v>无</x:v>
      </x:c>
      <x:c r="G1349" s="19" t="str">
        <x:v>质量/成本</x:v>
      </x:c>
      <x:c r="H1349" s="19" t="str">
        <x:v>D:/Codex/GRL研究/outputs/grid22/GRID22_report.md</x:v>
      </x:c>
    </x:row>
    <x:row r="1350" ht="36" customHeight="1">
      <x:c r="A1350" s="19" t="str">
        <x:v>GRID22</x:v>
      </x:c>
      <x:c r="B1350" s="19" t="str">
        <x:v>GRID22_report.md</x:v>
      </x:c>
      <x:c r="C1350" s="19" t="str">
        <x:v>1. GRID22：PPO先验残差GNN的整周闭环开发比较</x:v>
      </x:c>
      <x:c r="D1350" s="19" t="str">
        <x:v>方法=BIAS0_32；完成周=3/4</x:v>
      </x:c>
      <x:c r="E1350" s="19" t="str">
        <x:v>辅助角色筛查</x:v>
      </x:c>
      <x:c r="F1350" s="19" t="str">
        <x:v>False</x:v>
      </x:c>
      <x:c r="G1350" s="19" t="str">
        <x:v>其他/配置</x:v>
      </x:c>
      <x:c r="H1350" s="19" t="str">
        <x:v>D:/Codex/GRL研究/outputs/grid22/GRID22_report.md</x:v>
      </x:c>
    </x:row>
    <x:row r="1351" ht="36" customHeight="1">
      <x:c r="A1351" s="19" t="str">
        <x:v>GRID22</x:v>
      </x:c>
      <x:c r="B1351" s="19" t="str">
        <x:v>GRID22_report.md</x:v>
      </x:c>
      <x:c r="C1351" s="19" t="str">
        <x:v>2. GRID22：PPO先验残差GNN的整周闭环开发比较</x:v>
      </x:c>
      <x:c r="D1351" s="19" t="str">
        <x:v>两GNN种子平均对照=OLDNN32；共同完成周=2</x:v>
      </x:c>
      <x:c r="E1351" s="19" t="str">
        <x:v>共同完成周</x:v>
      </x:c>
      <x:c r="F1351" s="19" t="str">
        <x:v>2</x:v>
      </x:c>
      <x:c r="G1351" s="19" t="str">
        <x:v>质量/成本</x:v>
      </x:c>
      <x:c r="H1351" s="19" t="str">
        <x:v>D:/Codex/GRL研究/outputs/grid22/GRID22_report.md</x:v>
      </x:c>
    </x:row>
    <x:row r="1352" ht="36" customHeight="1">
      <x:c r="A1352" s="19" t="str">
        <x:v>GRID22</x:v>
      </x:c>
      <x:c r="B1352" s="19" t="str">
        <x:v>GRID22_report.md</x:v>
      </x:c>
      <x:c r="C1352" s="19" t="str">
        <x:v>2. GRID22：PPO先验残差GNN的整周闭环开发比较</x:v>
      </x:c>
      <x:c r="D1352" s="19" t="str">
        <x:v>两GNN种子平均对照=OLDNN32；共同完成周=2</x:v>
      </x:c>
      <x:c r="E1352" s="19" t="str">
        <x:v>平均成本改善</x:v>
      </x:c>
      <x:c r="F1352" s="19" t="str">
        <x:v>0.256%</x:v>
      </x:c>
      <x:c r="G1352" s="19" t="str">
        <x:v>质量/成本</x:v>
      </x:c>
      <x:c r="H1352" s="19" t="str">
        <x:v>D:/Codex/GRL研究/outputs/grid22/GRID22_report.md</x:v>
      </x:c>
    </x:row>
    <x:row r="1353" ht="36" customHeight="1">
      <x:c r="A1353" s="19" t="str">
        <x:v>GRID22</x:v>
      </x:c>
      <x:c r="B1353" s="19" t="str">
        <x:v>GRID22_report.md</x:v>
      </x:c>
      <x:c r="C1353" s="19" t="str">
        <x:v>2. GRID22：PPO先验残差GNN的整周闭环开发比较</x:v>
      </x:c>
      <x:c r="D1353" s="19" t="str">
        <x:v>两GNN种子平均对照=OLDNN32；共同完成周=2</x:v>
      </x:c>
      <x:c r="E1353" s="19" t="str">
        <x:v>图增量筛查</x:v>
      </x:c>
      <x:c r="F1353" s="19" t="str">
        <x:v>False</x:v>
      </x:c>
      <x:c r="G1353" s="19" t="str">
        <x:v>其他/配置</x:v>
      </x:c>
      <x:c r="H1353" s="19" t="str">
        <x:v>D:/Codex/GRL研究/outputs/grid22/GRID22_report.md</x:v>
      </x:c>
    </x:row>
    <x:row r="1354" ht="36" customHeight="1">
      <x:c r="A1354" s="19" t="str">
        <x:v>GRID22</x:v>
      </x:c>
      <x:c r="B1354" s="19" t="str">
        <x:v>GRID22_report.md</x:v>
      </x:c>
      <x:c r="C1354" s="19" t="str">
        <x:v>2. GRID22：PPO先验残差GNN的整周闭环开发比较</x:v>
      </x:c>
      <x:c r="D1354" s="19" t="str">
        <x:v>两GNN种子平均对照=OLDNN128；共同完成周=2</x:v>
      </x:c>
      <x:c r="E1354" s="19" t="str">
        <x:v>共同完成周</x:v>
      </x:c>
      <x:c r="F1354" s="19" t="str">
        <x:v>2</x:v>
      </x:c>
      <x:c r="G1354" s="19" t="str">
        <x:v>质量/成本</x:v>
      </x:c>
      <x:c r="H1354" s="19" t="str">
        <x:v>D:/Codex/GRL研究/outputs/grid22/GRID22_report.md</x:v>
      </x:c>
    </x:row>
    <x:row r="1355" ht="36" customHeight="1">
      <x:c r="A1355" s="19" t="str">
        <x:v>GRID22</x:v>
      </x:c>
      <x:c r="B1355" s="19" t="str">
        <x:v>GRID22_report.md</x:v>
      </x:c>
      <x:c r="C1355" s="19" t="str">
        <x:v>2. GRID22：PPO先验残差GNN的整周闭环开发比较</x:v>
      </x:c>
      <x:c r="D1355" s="19" t="str">
        <x:v>两GNN种子平均对照=OLDNN128；共同完成周=2</x:v>
      </x:c>
      <x:c r="E1355" s="19" t="str">
        <x:v>平均成本改善</x:v>
      </x:c>
      <x:c r="F1355" s="19" t="str">
        <x:v>2.673%</x:v>
      </x:c>
      <x:c r="G1355" s="19" t="str">
        <x:v>质量/成本</x:v>
      </x:c>
      <x:c r="H1355" s="19" t="str">
        <x:v>D:/Codex/GRL研究/outputs/grid22/GRID22_report.md</x:v>
      </x:c>
    </x:row>
    <x:row r="1356" ht="36" customHeight="1">
      <x:c r="A1356" s="19" t="str">
        <x:v>GRID22</x:v>
      </x:c>
      <x:c r="B1356" s="19" t="str">
        <x:v>GRID22_report.md</x:v>
      </x:c>
      <x:c r="C1356" s="19" t="str">
        <x:v>2. GRID22：PPO先验残差GNN的整周闭环开发比较</x:v>
      </x:c>
      <x:c r="D1356" s="19" t="str">
        <x:v>两GNN种子平均对照=OLDNN128；共同完成周=2</x:v>
      </x:c>
      <x:c r="E1356" s="19" t="str">
        <x:v>图增量筛查</x:v>
      </x:c>
      <x:c r="F1356" s="19" t="str">
        <x:v>False</x:v>
      </x:c>
      <x:c r="G1356" s="19" t="str">
        <x:v>其他/配置</x:v>
      </x:c>
      <x:c r="H1356" s="19" t="str">
        <x:v>D:/Codex/GRL研究/outputs/grid22/GRID22_report.md</x:v>
      </x:c>
    </x:row>
    <x:row r="1357" ht="36" customHeight="1">
      <x:c r="A1357" s="19" t="str">
        <x:v>GRID22</x:v>
      </x:c>
      <x:c r="B1357" s="19" t="str">
        <x:v>GRID22_report.md</x:v>
      </x:c>
      <x:c r="C1357" s="19" t="str">
        <x:v>2. GRID22：PPO先验残差GNN的整周闭环开发比较</x:v>
      </x:c>
      <x:c r="D1357" s="19" t="str">
        <x:v>两GNN种子平均对照=MLP0_32；共同完成周=2</x:v>
      </x:c>
      <x:c r="E1357" s="19" t="str">
        <x:v>共同完成周</x:v>
      </x:c>
      <x:c r="F1357" s="19" t="str">
        <x:v>2</x:v>
      </x:c>
      <x:c r="G1357" s="19" t="str">
        <x:v>质量/成本</x:v>
      </x:c>
      <x:c r="H1357" s="19" t="str">
        <x:v>D:/Codex/GRL研究/outputs/grid22/GRID22_report.md</x:v>
      </x:c>
    </x:row>
    <x:row r="1358" ht="36" customHeight="1">
      <x:c r="A1358" s="19" t="str">
        <x:v>GRID22</x:v>
      </x:c>
      <x:c r="B1358" s="19" t="str">
        <x:v>GRID22_report.md</x:v>
      </x:c>
      <x:c r="C1358" s="19" t="str">
        <x:v>2. GRID22：PPO先验残差GNN的整周闭环开发比较</x:v>
      </x:c>
      <x:c r="D1358" s="19" t="str">
        <x:v>两GNN种子平均对照=MLP0_32；共同完成周=2</x:v>
      </x:c>
      <x:c r="E1358" s="19" t="str">
        <x:v>平均成本改善</x:v>
      </x:c>
      <x:c r="F1358" s="19" t="str">
        <x:v>3.374%</x:v>
      </x:c>
      <x:c r="G1358" s="19" t="str">
        <x:v>质量/成本</x:v>
      </x:c>
      <x:c r="H1358" s="19" t="str">
        <x:v>D:/Codex/GRL研究/outputs/grid22/GRID22_report.md</x:v>
      </x:c>
    </x:row>
    <x:row r="1359" ht="36" customHeight="1">
      <x:c r="A1359" s="19" t="str">
        <x:v>GRID22</x:v>
      </x:c>
      <x:c r="B1359" s="19" t="str">
        <x:v>GRID22_report.md</x:v>
      </x:c>
      <x:c r="C1359" s="19" t="str">
        <x:v>2. GRID22：PPO先验残差GNN的整周闭环开发比较</x:v>
      </x:c>
      <x:c r="D1359" s="19" t="str">
        <x:v>两GNN种子平均对照=MLP0_32；共同完成周=2</x:v>
      </x:c>
      <x:c r="E1359" s="19" t="str">
        <x:v>图增量筛查</x:v>
      </x:c>
      <x:c r="F1359" s="19" t="str">
        <x:v>False</x:v>
      </x:c>
      <x:c r="G1359" s="19" t="str">
        <x:v>其他/配置</x:v>
      </x:c>
      <x:c r="H1359" s="19" t="str">
        <x:v>D:/Codex/GRL研究/outputs/grid22/GRID22_report.md</x:v>
      </x:c>
    </x:row>
    <x:row r="1360" ht="36" customHeight="1">
      <x:c r="A1360" s="19" t="str">
        <x:v>GRID22</x:v>
      </x:c>
      <x:c r="B1360" s="19" t="str">
        <x:v>GRID22_report.md</x:v>
      </x:c>
      <x:c r="C1360" s="19" t="str">
        <x:v>2. GRID22：PPO先验残差GNN的整周闭环开发比较</x:v>
      </x:c>
      <x:c r="D1360" s="19" t="str">
        <x:v>两GNN种子平均对照=BIAS0_32；共同完成周=2</x:v>
      </x:c>
      <x:c r="E1360" s="19" t="str">
        <x:v>共同完成周</x:v>
      </x:c>
      <x:c r="F1360" s="19" t="str">
        <x:v>2</x:v>
      </x:c>
      <x:c r="G1360" s="19" t="str">
        <x:v>质量/成本</x:v>
      </x:c>
      <x:c r="H1360" s="19" t="str">
        <x:v>D:/Codex/GRL研究/outputs/grid22/GRID22_report.md</x:v>
      </x:c>
    </x:row>
    <x:row r="1361" ht="36" customHeight="1">
      <x:c r="A1361" s="19" t="str">
        <x:v>GRID22</x:v>
      </x:c>
      <x:c r="B1361" s="19" t="str">
        <x:v>GRID22_report.md</x:v>
      </x:c>
      <x:c r="C1361" s="19" t="str">
        <x:v>2. GRID22：PPO先验残差GNN的整周闭环开发比较</x:v>
      </x:c>
      <x:c r="D1361" s="19" t="str">
        <x:v>两GNN种子平均对照=BIAS0_32；共同完成周=2</x:v>
      </x:c>
      <x:c r="E1361" s="19" t="str">
        <x:v>平均成本改善</x:v>
      </x:c>
      <x:c r="F1361" s="19" t="str">
        <x:v>0.221%</x:v>
      </x:c>
      <x:c r="G1361" s="19" t="str">
        <x:v>质量/成本</x:v>
      </x:c>
      <x:c r="H1361" s="19" t="str">
        <x:v>D:/Codex/GRL研究/outputs/grid22/GRID22_report.md</x:v>
      </x:c>
    </x:row>
    <x:row r="1362" ht="36" customHeight="1">
      <x:c r="A1362" s="19" t="str">
        <x:v>GRID22</x:v>
      </x:c>
      <x:c r="B1362" s="19" t="str">
        <x:v>GRID22_report.md</x:v>
      </x:c>
      <x:c r="C1362" s="19" t="str">
        <x:v>2. GRID22：PPO先验残差GNN的整周闭环开发比较</x:v>
      </x:c>
      <x:c r="D1362" s="19" t="str">
        <x:v>两GNN种子平均对照=BIAS0_32；共同完成周=2</x:v>
      </x:c>
      <x:c r="E1362" s="19" t="str">
        <x:v>图增量筛查</x:v>
      </x:c>
      <x:c r="F1362" s="19" t="str">
        <x:v>False</x:v>
      </x:c>
      <x:c r="G1362" s="19" t="str">
        <x:v>其他/配置</x:v>
      </x:c>
      <x:c r="H1362" s="19" t="str">
        <x:v>D:/Codex/GRL研究/outputs/grid22/GRID22_report.md</x:v>
      </x:c>
    </x:row>
    <x:row r="1363" ht="36" customHeight="1">
      <x:c r="A1363" s="19" t="str">
        <x:v>GRID23</x:v>
      </x:c>
      <x:c r="B1363" s="19" t="str">
        <x:v>GRID23_report.md</x:v>
      </x:c>
      <x:c r="C1363" s="19" t="str">
        <x:v>1. GRID23：共同精确破并列与128候选的闭环修订</x:v>
      </x:c>
      <x:c r="D1363" s="19" t="str">
        <x:v>方法=OLDNN128；完成周=3/4</x:v>
      </x:c>
      <x:c r="E1363" s="19" t="str">
        <x:v>完成周</x:v>
      </x:c>
      <x:c r="F1363" s="19" t="str">
        <x:v>3/4</x:v>
      </x:c>
      <x:c r="G1363" s="19" t="str">
        <x:v>质量/成本</x:v>
      </x:c>
      <x:c r="H1363" s="19" t="str">
        <x:v>D:/Codex/GRL研究/outputs/grid23/GRID23_report.md</x:v>
      </x:c>
    </x:row>
    <x:row r="1364" ht="36" customHeight="1">
      <x:c r="A1364" s="19" t="str">
        <x:v>GRID23</x:v>
      </x:c>
      <x:c r="B1364" s="19" t="str">
        <x:v>GRID23_report.md</x:v>
      </x:c>
      <x:c r="C1364" s="19" t="str">
        <x:v>1. GRID23：共同精确破并列与128候选的闭环修订</x:v>
      </x:c>
      <x:c r="D1364" s="19" t="str">
        <x:v>方法=OLDNN128；完成周=3/4</x:v>
      </x:c>
      <x:c r="E1364" s="19" t="str">
        <x:v>对完整搜索共同完成周</x:v>
      </x:c>
      <x:c r="F1364" s="19" t="str">
        <x:v>3</x:v>
      </x:c>
      <x:c r="G1364" s="19" t="str">
        <x:v>质量/成本</x:v>
      </x:c>
      <x:c r="H1364" s="19" t="str">
        <x:v>D:/Codex/GRL研究/outputs/grid23/GRID23_report.md</x:v>
      </x:c>
    </x:row>
    <x:row r="1365" ht="36" customHeight="1">
      <x:c r="A1365" s="19" t="str">
        <x:v>GRID23</x:v>
      </x:c>
      <x:c r="B1365" s="19" t="str">
        <x:v>GRID23_report.md</x:v>
      </x:c>
      <x:c r="C1365" s="19" t="str">
        <x:v>1. GRID23：共同精确破并列与128候选的闭环修订</x:v>
      </x:c>
      <x:c r="D1365" s="19" t="str">
        <x:v>方法=OLDNN128；完成周=3/4</x:v>
      </x:c>
      <x:c r="E1365" s="19" t="str">
        <x:v>成本平均改善</x:v>
      </x:c>
      <x:c r="F1365" s="19" t="str">
        <x:v>-2.905%</x:v>
      </x:c>
      <x:c r="G1365" s="19" t="str">
        <x:v>质量/成本</x:v>
      </x:c>
      <x:c r="H1365" s="19" t="str">
        <x:v>D:/Codex/GRL研究/outputs/grid23/GRID23_report.md</x:v>
      </x:c>
    </x:row>
    <x:row r="1366" ht="36" customHeight="1">
      <x:c r="A1366" s="19" t="str">
        <x:v>GRID23</x:v>
      </x:c>
      <x:c r="B1366" s="19" t="str">
        <x:v>GRID23_report.md</x:v>
      </x:c>
      <x:c r="C1366" s="19" t="str">
        <x:v>1. GRID23：共同精确破并列与128候选的闭环修订</x:v>
      </x:c>
      <x:c r="D1366" s="19" t="str">
        <x:v>方法=OLDNN128；完成周=3/4</x:v>
      </x:c>
      <x:c r="E1366" s="19" t="str">
        <x:v>控制时间平均减少</x:v>
      </x:c>
      <x:c r="F1366" s="19" t="str">
        <x:v>14.692%</x:v>
      </x:c>
      <x:c r="G1366" s="19" t="str">
        <x:v>速度/计算</x:v>
      </x:c>
      <x:c r="H1366" s="19" t="str">
        <x:v>D:/Codex/GRL研究/outputs/grid23/GRID23_report.md</x:v>
      </x:c>
    </x:row>
    <x:row r="1367" ht="36" customHeight="1">
      <x:c r="A1367" s="19" t="str">
        <x:v>GRID23</x:v>
      </x:c>
      <x:c r="B1367" s="19" t="str">
        <x:v>GRID23_report.md</x:v>
      </x:c>
      <x:c r="C1367" s="19" t="str">
        <x:v>1. GRID23：共同精确破并列与128候选的闭环修订</x:v>
      </x:c>
      <x:c r="D1367" s="19" t="str">
        <x:v>方法=OLDNN128；完成周=3/4</x:v>
      </x:c>
      <x:c r="E1367" s="19" t="str">
        <x:v>搜索查询平均减少</x:v>
      </x:c>
      <x:c r="F1367" s="19" t="str">
        <x:v>78.344%</x:v>
      </x:c>
      <x:c r="G1367" s="19" t="str">
        <x:v>速度/计算</x:v>
      </x:c>
      <x:c r="H1367" s="19" t="str">
        <x:v>D:/Codex/GRL研究/outputs/grid23/GRID23_report.md</x:v>
      </x:c>
    </x:row>
    <x:row r="1368" ht="36" customHeight="1">
      <x:c r="A1368" s="19" t="str">
        <x:v>GRID23</x:v>
      </x:c>
      <x:c r="B1368" s="19" t="str">
        <x:v>GRID23_report.md</x:v>
      </x:c>
      <x:c r="C1368" s="19" t="str">
        <x:v>1. GRID23：共同精确破并列与128候选的闭环修订</x:v>
      </x:c>
      <x:c r="D1368" s="19" t="str">
        <x:v>方法=OLDNN128；完成周=3/4</x:v>
      </x:c>
      <x:c r="E1368" s="19" t="str">
        <x:v>丢失完整周</x:v>
      </x:c>
      <x:c r="F1368" s="19" t="str">
        <x:v>无</x:v>
      </x:c>
      <x:c r="G1368" s="19" t="str">
        <x:v>质量/成本</x:v>
      </x:c>
      <x:c r="H1368" s="19" t="str">
        <x:v>D:/Codex/GRL研究/outputs/grid23/GRID23_report.md</x:v>
      </x:c>
    </x:row>
    <x:row r="1369" ht="36" customHeight="1">
      <x:c r="A1369" s="19" t="str">
        <x:v>GRID23</x:v>
      </x:c>
      <x:c r="B1369" s="19" t="str">
        <x:v>GRID23_report.md</x:v>
      </x:c>
      <x:c r="C1369" s="19" t="str">
        <x:v>1. GRID23：共同精确破并列与128候选的闭环修订</x:v>
      </x:c>
      <x:c r="D1369" s="19" t="str">
        <x:v>方法=OLDNN128；完成周=3/4</x:v>
      </x:c>
      <x:c r="E1369" s="19" t="str">
        <x:v>辅助角色筛查</x:v>
      </x:c>
      <x:c r="F1369" s="19" t="str">
        <x:v>False</x:v>
      </x:c>
      <x:c r="G1369" s="19" t="str">
        <x:v>其他/配置</x:v>
      </x:c>
      <x:c r="H1369" s="19" t="str">
        <x:v>D:/Codex/GRL研究/outputs/grid23/GRID23_report.md</x:v>
      </x:c>
    </x:row>
    <x:row r="1370" ht="36" customHeight="1">
      <x:c r="A1370" s="19" t="str">
        <x:v>GRID23</x:v>
      </x:c>
      <x:c r="B1370" s="19" t="str">
        <x:v>GRID23_report.md</x:v>
      </x:c>
      <x:c r="C1370" s="19" t="str">
        <x:v>1. GRID23：共同精确破并列与128候选的闭环修订</x:v>
      </x:c>
      <x:c r="D1370" s="19" t="str">
        <x:v>方法=GNN0_128；完成周=3/4</x:v>
      </x:c>
      <x:c r="E1370" s="19" t="str">
        <x:v>完成周</x:v>
      </x:c>
      <x:c r="F1370" s="19" t="str">
        <x:v>3/4</x:v>
      </x:c>
      <x:c r="G1370" s="19" t="str">
        <x:v>质量/成本</x:v>
      </x:c>
      <x:c r="H1370" s="19" t="str">
        <x:v>D:/Codex/GRL研究/outputs/grid23/GRID23_report.md</x:v>
      </x:c>
    </x:row>
    <x:row r="1371" ht="36" customHeight="1">
      <x:c r="A1371" s="19" t="str">
        <x:v>GRID23</x:v>
      </x:c>
      <x:c r="B1371" s="19" t="str">
        <x:v>GRID23_report.md</x:v>
      </x:c>
      <x:c r="C1371" s="19" t="str">
        <x:v>1. GRID23：共同精确破并列与128候选的闭环修订</x:v>
      </x:c>
      <x:c r="D1371" s="19" t="str">
        <x:v>方法=GNN0_128；完成周=3/4</x:v>
      </x:c>
      <x:c r="E1371" s="19" t="str">
        <x:v>对完整搜索共同完成周</x:v>
      </x:c>
      <x:c r="F1371" s="19" t="str">
        <x:v>3</x:v>
      </x:c>
      <x:c r="G1371" s="19" t="str">
        <x:v>质量/成本</x:v>
      </x:c>
      <x:c r="H1371" s="19" t="str">
        <x:v>D:/Codex/GRL研究/outputs/grid23/GRID23_report.md</x:v>
      </x:c>
    </x:row>
    <x:row r="1372" ht="36" customHeight="1">
      <x:c r="A1372" s="19" t="str">
        <x:v>GRID23</x:v>
      </x:c>
      <x:c r="B1372" s="19" t="str">
        <x:v>GRID23_report.md</x:v>
      </x:c>
      <x:c r="C1372" s="19" t="str">
        <x:v>1. GRID23：共同精确破并列与128候选的闭环修订</x:v>
      </x:c>
      <x:c r="D1372" s="19" t="str">
        <x:v>方法=GNN0_128；完成周=3/4</x:v>
      </x:c>
      <x:c r="E1372" s="19" t="str">
        <x:v>成本平均改善</x:v>
      </x:c>
      <x:c r="F1372" s="19" t="str">
        <x:v>-2.691%</x:v>
      </x:c>
      <x:c r="G1372" s="19" t="str">
        <x:v>质量/成本</x:v>
      </x:c>
      <x:c r="H1372" s="19" t="str">
        <x:v>D:/Codex/GRL研究/outputs/grid23/GRID23_report.md</x:v>
      </x:c>
    </x:row>
    <x:row r="1373" ht="36" customHeight="1">
      <x:c r="A1373" s="19" t="str">
        <x:v>GRID23</x:v>
      </x:c>
      <x:c r="B1373" s="19" t="str">
        <x:v>GRID23_report.md</x:v>
      </x:c>
      <x:c r="C1373" s="19" t="str">
        <x:v>1. GRID23：共同精确破并列与128候选的闭环修订</x:v>
      </x:c>
      <x:c r="D1373" s="19" t="str">
        <x:v>方法=GNN0_128；完成周=3/4</x:v>
      </x:c>
      <x:c r="E1373" s="19" t="str">
        <x:v>控制时间平均减少</x:v>
      </x:c>
      <x:c r="F1373" s="19" t="str">
        <x:v>14.370%</x:v>
      </x:c>
      <x:c r="G1373" s="19" t="str">
        <x:v>速度/计算</x:v>
      </x:c>
      <x:c r="H1373" s="19" t="str">
        <x:v>D:/Codex/GRL研究/outputs/grid23/GRID23_report.md</x:v>
      </x:c>
    </x:row>
    <x:row r="1374" ht="36" customHeight="1">
      <x:c r="A1374" s="19" t="str">
        <x:v>GRID23</x:v>
      </x:c>
      <x:c r="B1374" s="19" t="str">
        <x:v>GRID23_report.md</x:v>
      </x:c>
      <x:c r="C1374" s="19" t="str">
        <x:v>1. GRID23：共同精确破并列与128候选的闭环修订</x:v>
      </x:c>
      <x:c r="D1374" s="19" t="str">
        <x:v>方法=GNN0_128；完成周=3/4</x:v>
      </x:c>
      <x:c r="E1374" s="19" t="str">
        <x:v>搜索查询平均减少</x:v>
      </x:c>
      <x:c r="F1374" s="19" t="str">
        <x:v>82.530%</x:v>
      </x:c>
      <x:c r="G1374" s="19" t="str">
        <x:v>速度/计算</x:v>
      </x:c>
      <x:c r="H1374" s="19" t="str">
        <x:v>D:/Codex/GRL研究/outputs/grid23/GRID23_report.md</x:v>
      </x:c>
    </x:row>
    <x:row r="1375" ht="36" customHeight="1">
      <x:c r="A1375" s="19" t="str">
        <x:v>GRID23</x:v>
      </x:c>
      <x:c r="B1375" s="19" t="str">
        <x:v>GRID23_report.md</x:v>
      </x:c>
      <x:c r="C1375" s="19" t="str">
        <x:v>1. GRID23：共同精确破并列与128候选的闭环修订</x:v>
      </x:c>
      <x:c r="D1375" s="19" t="str">
        <x:v>方法=GNN0_128；完成周=3/4</x:v>
      </x:c>
      <x:c r="E1375" s="19" t="str">
        <x:v>丢失完整周</x:v>
      </x:c>
      <x:c r="F1375" s="19" t="str">
        <x:v>无</x:v>
      </x:c>
      <x:c r="G1375" s="19" t="str">
        <x:v>质量/成本</x:v>
      </x:c>
      <x:c r="H1375" s="19" t="str">
        <x:v>D:/Codex/GRL研究/outputs/grid23/GRID23_report.md</x:v>
      </x:c>
    </x:row>
    <x:row r="1376" ht="36" customHeight="1">
      <x:c r="A1376" s="19" t="str">
        <x:v>GRID23</x:v>
      </x:c>
      <x:c r="B1376" s="19" t="str">
        <x:v>GRID23_report.md</x:v>
      </x:c>
      <x:c r="C1376" s="19" t="str">
        <x:v>1. GRID23：共同精确破并列与128候选的闭环修订</x:v>
      </x:c>
      <x:c r="D1376" s="19" t="str">
        <x:v>方法=GNN0_128；完成周=3/4</x:v>
      </x:c>
      <x:c r="E1376" s="19" t="str">
        <x:v>辅助角色筛查</x:v>
      </x:c>
      <x:c r="F1376" s="19" t="str">
        <x:v>False</x:v>
      </x:c>
      <x:c r="G1376" s="19" t="str">
        <x:v>其他/配置</x:v>
      </x:c>
      <x:c r="H1376" s="19" t="str">
        <x:v>D:/Codex/GRL研究/outputs/grid23/GRID23_report.md</x:v>
      </x:c>
    </x:row>
    <x:row r="1377" ht="36" customHeight="1">
      <x:c r="A1377" s="19" t="str">
        <x:v>GRID23</x:v>
      </x:c>
      <x:c r="B1377" s="19" t="str">
        <x:v>GRID23_report.md</x:v>
      </x:c>
      <x:c r="C1377" s="19" t="str">
        <x:v>1. GRID23：共同精确破并列与128候选的闭环修订</x:v>
      </x:c>
      <x:c r="D1377" s="19" t="str">
        <x:v>方法=GNN1_128；完成周=3/4</x:v>
      </x:c>
      <x:c r="E1377" s="19" t="str">
        <x:v>完成周</x:v>
      </x:c>
      <x:c r="F1377" s="19" t="str">
        <x:v>3/4</x:v>
      </x:c>
      <x:c r="G1377" s="19" t="str">
        <x:v>质量/成本</x:v>
      </x:c>
      <x:c r="H1377" s="19" t="str">
        <x:v>D:/Codex/GRL研究/outputs/grid23/GRID23_report.md</x:v>
      </x:c>
    </x:row>
    <x:row r="1378" ht="36" customHeight="1">
      <x:c r="A1378" s="19" t="str">
        <x:v>GRID23</x:v>
      </x:c>
      <x:c r="B1378" s="19" t="str">
        <x:v>GRID23_report.md</x:v>
      </x:c>
      <x:c r="C1378" s="19" t="str">
        <x:v>1. GRID23：共同精确破并列与128候选的闭环修订</x:v>
      </x:c>
      <x:c r="D1378" s="19" t="str">
        <x:v>方法=GNN1_128；完成周=3/4</x:v>
      </x:c>
      <x:c r="E1378" s="19" t="str">
        <x:v>对完整搜索共同完成周</x:v>
      </x:c>
      <x:c r="F1378" s="19" t="str">
        <x:v>3</x:v>
      </x:c>
      <x:c r="G1378" s="19" t="str">
        <x:v>质量/成本</x:v>
      </x:c>
      <x:c r="H1378" s="19" t="str">
        <x:v>D:/Codex/GRL研究/outputs/grid23/GRID23_report.md</x:v>
      </x:c>
    </x:row>
    <x:row r="1379" ht="36" customHeight="1">
      <x:c r="A1379" s="19" t="str">
        <x:v>GRID23</x:v>
      </x:c>
      <x:c r="B1379" s="19" t="str">
        <x:v>GRID23_report.md</x:v>
      </x:c>
      <x:c r="C1379" s="19" t="str">
        <x:v>1. GRID23：共同精确破并列与128候选的闭环修订</x:v>
      </x:c>
      <x:c r="D1379" s="19" t="str">
        <x:v>方法=GNN1_128；完成周=3/4</x:v>
      </x:c>
      <x:c r="E1379" s="19" t="str">
        <x:v>成本平均改善</x:v>
      </x:c>
      <x:c r="F1379" s="19" t="str">
        <x:v>-3.070%</x:v>
      </x:c>
      <x:c r="G1379" s="19" t="str">
        <x:v>质量/成本</x:v>
      </x:c>
      <x:c r="H1379" s="19" t="str">
        <x:v>D:/Codex/GRL研究/outputs/grid23/GRID23_report.md</x:v>
      </x:c>
    </x:row>
    <x:row r="1380" ht="36" customHeight="1">
      <x:c r="A1380" s="19" t="str">
        <x:v>GRID23</x:v>
      </x:c>
      <x:c r="B1380" s="19" t="str">
        <x:v>GRID23_report.md</x:v>
      </x:c>
      <x:c r="C1380" s="19" t="str">
        <x:v>1. GRID23：共同精确破并列与128候选的闭环修订</x:v>
      </x:c>
      <x:c r="D1380" s="19" t="str">
        <x:v>方法=GNN1_128；完成周=3/4</x:v>
      </x:c>
      <x:c r="E1380" s="19" t="str">
        <x:v>控制时间平均减少</x:v>
      </x:c>
      <x:c r="F1380" s="19" t="str">
        <x:v>6.590%</x:v>
      </x:c>
      <x:c r="G1380" s="19" t="str">
        <x:v>速度/计算</x:v>
      </x:c>
      <x:c r="H1380" s="19" t="str">
        <x:v>D:/Codex/GRL研究/outputs/grid23/GRID23_report.md</x:v>
      </x:c>
    </x:row>
    <x:row r="1381" ht="36" customHeight="1">
      <x:c r="A1381" s="19" t="str">
        <x:v>GRID23</x:v>
      </x:c>
      <x:c r="B1381" s="19" t="str">
        <x:v>GRID23_report.md</x:v>
      </x:c>
      <x:c r="C1381" s="19" t="str">
        <x:v>1. GRID23：共同精确破并列与128候选的闭环修订</x:v>
      </x:c>
      <x:c r="D1381" s="19" t="str">
        <x:v>方法=GNN1_128；完成周=3/4</x:v>
      </x:c>
      <x:c r="E1381" s="19" t="str">
        <x:v>搜索查询平均减少</x:v>
      </x:c>
      <x:c r="F1381" s="19" t="str">
        <x:v>81.937%</x:v>
      </x:c>
      <x:c r="G1381" s="19" t="str">
        <x:v>速度/计算</x:v>
      </x:c>
      <x:c r="H1381" s="19" t="str">
        <x:v>D:/Codex/GRL研究/outputs/grid23/GRID23_report.md</x:v>
      </x:c>
    </x:row>
    <x:row r="1382" ht="36" customHeight="1">
      <x:c r="A1382" s="19" t="str">
        <x:v>GRID23</x:v>
      </x:c>
      <x:c r="B1382" s="19" t="str">
        <x:v>GRID23_report.md</x:v>
      </x:c>
      <x:c r="C1382" s="19" t="str">
        <x:v>1. GRID23：共同精确破并列与128候选的闭环修订</x:v>
      </x:c>
      <x:c r="D1382" s="19" t="str">
        <x:v>方法=GNN1_128；完成周=3/4</x:v>
      </x:c>
      <x:c r="E1382" s="19" t="str">
        <x:v>丢失完整周</x:v>
      </x:c>
      <x:c r="F1382" s="19" t="str">
        <x:v>无</x:v>
      </x:c>
      <x:c r="G1382" s="19" t="str">
        <x:v>质量/成本</x:v>
      </x:c>
      <x:c r="H1382" s="19" t="str">
        <x:v>D:/Codex/GRL研究/outputs/grid23/GRID23_report.md</x:v>
      </x:c>
    </x:row>
    <x:row r="1383" ht="36" customHeight="1">
      <x:c r="A1383" s="19" t="str">
        <x:v>GRID23</x:v>
      </x:c>
      <x:c r="B1383" s="19" t="str">
        <x:v>GRID23_report.md</x:v>
      </x:c>
      <x:c r="C1383" s="19" t="str">
        <x:v>1. GRID23：共同精确破并列与128候选的闭环修订</x:v>
      </x:c>
      <x:c r="D1383" s="19" t="str">
        <x:v>方法=GNN1_128；完成周=3/4</x:v>
      </x:c>
      <x:c r="E1383" s="19" t="str">
        <x:v>辅助角色筛查</x:v>
      </x:c>
      <x:c r="F1383" s="19" t="str">
        <x:v>False</x:v>
      </x:c>
      <x:c r="G1383" s="19" t="str">
        <x:v>其他/配置</x:v>
      </x:c>
      <x:c r="H1383" s="19" t="str">
        <x:v>D:/Codex/GRL研究/outputs/grid23/GRID23_report.md</x:v>
      </x:c>
    </x:row>
    <x:row r="1384" ht="36" customHeight="1">
      <x:c r="A1384" s="19" t="str">
        <x:v>GRID23</x:v>
      </x:c>
      <x:c r="B1384" s="19" t="str">
        <x:v>GRID23_report.md</x:v>
      </x:c>
      <x:c r="C1384" s="19" t="str">
        <x:v>1. GRID23：共同精确破并列与128候选的闭环修订</x:v>
      </x:c>
      <x:c r="D1384" s="19" t="str">
        <x:v>方法=MLP0_128；完成周=3/4</x:v>
      </x:c>
      <x:c r="E1384" s="19" t="str">
        <x:v>完成周</x:v>
      </x:c>
      <x:c r="F1384" s="19" t="str">
        <x:v>3/4</x:v>
      </x:c>
      <x:c r="G1384" s="19" t="str">
        <x:v>质量/成本</x:v>
      </x:c>
      <x:c r="H1384" s="19" t="str">
        <x:v>D:/Codex/GRL研究/outputs/grid23/GRID23_report.md</x:v>
      </x:c>
    </x:row>
    <x:row r="1385" ht="36" customHeight="1">
      <x:c r="A1385" s="19" t="str">
        <x:v>GRID23</x:v>
      </x:c>
      <x:c r="B1385" s="19" t="str">
        <x:v>GRID23_report.md</x:v>
      </x:c>
      <x:c r="C1385" s="19" t="str">
        <x:v>1. GRID23：共同精确破并列与128候选的闭环修订</x:v>
      </x:c>
      <x:c r="D1385" s="19" t="str">
        <x:v>方法=MLP0_128；完成周=3/4</x:v>
      </x:c>
      <x:c r="E1385" s="19" t="str">
        <x:v>对完整搜索共同完成周</x:v>
      </x:c>
      <x:c r="F1385" s="19" t="str">
        <x:v>3</x:v>
      </x:c>
      <x:c r="G1385" s="19" t="str">
        <x:v>质量/成本</x:v>
      </x:c>
      <x:c r="H1385" s="19" t="str">
        <x:v>D:/Codex/GRL研究/outputs/grid23/GRID23_report.md</x:v>
      </x:c>
    </x:row>
    <x:row r="1386" ht="36" customHeight="1">
      <x:c r="A1386" s="19" t="str">
        <x:v>GRID23</x:v>
      </x:c>
      <x:c r="B1386" s="19" t="str">
        <x:v>GRID23_report.md</x:v>
      </x:c>
      <x:c r="C1386" s="19" t="str">
        <x:v>1. GRID23：共同精确破并列与128候选的闭环修订</x:v>
      </x:c>
      <x:c r="D1386" s="19" t="str">
        <x:v>方法=MLP0_128；完成周=3/4</x:v>
      </x:c>
      <x:c r="E1386" s="19" t="str">
        <x:v>成本平均改善</x:v>
      </x:c>
      <x:c r="F1386" s="19" t="str">
        <x:v>-2.912%</x:v>
      </x:c>
      <x:c r="G1386" s="19" t="str">
        <x:v>质量/成本</x:v>
      </x:c>
      <x:c r="H1386" s="19" t="str">
        <x:v>D:/Codex/GRL研究/outputs/grid23/GRID23_report.md</x:v>
      </x:c>
    </x:row>
    <x:row r="1387" ht="36" customHeight="1">
      <x:c r="A1387" s="19" t="str">
        <x:v>GRID23</x:v>
      </x:c>
      <x:c r="B1387" s="19" t="str">
        <x:v>GRID23_report.md</x:v>
      </x:c>
      <x:c r="C1387" s="19" t="str">
        <x:v>1. GRID23：共同精确破并列与128候选的闭环修订</x:v>
      </x:c>
      <x:c r="D1387" s="19" t="str">
        <x:v>方法=MLP0_128；完成周=3/4</x:v>
      </x:c>
      <x:c r="E1387" s="19" t="str">
        <x:v>控制时间平均减少</x:v>
      </x:c>
      <x:c r="F1387" s="19" t="str">
        <x:v>9.663%</x:v>
      </x:c>
      <x:c r="G1387" s="19" t="str">
        <x:v>速度/计算</x:v>
      </x:c>
      <x:c r="H1387" s="19" t="str">
        <x:v>D:/Codex/GRL研究/outputs/grid23/GRID23_report.md</x:v>
      </x:c>
    </x:row>
    <x:row r="1388" ht="36" customHeight="1">
      <x:c r="A1388" s="19" t="str">
        <x:v>GRID23</x:v>
      </x:c>
      <x:c r="B1388" s="19" t="str">
        <x:v>GRID23_report.md</x:v>
      </x:c>
      <x:c r="C1388" s="19" t="str">
        <x:v>1. GRID23：共同精确破并列与128候选的闭环修订</x:v>
      </x:c>
      <x:c r="D1388" s="19" t="str">
        <x:v>方法=MLP0_128；完成周=3/4</x:v>
      </x:c>
      <x:c r="E1388" s="19" t="str">
        <x:v>搜索查询平均减少</x:v>
      </x:c>
      <x:c r="F1388" s="19" t="str">
        <x:v>81.937%</x:v>
      </x:c>
      <x:c r="G1388" s="19" t="str">
        <x:v>速度/计算</x:v>
      </x:c>
      <x:c r="H1388" s="19" t="str">
        <x:v>D:/Codex/GRL研究/outputs/grid23/GRID23_report.md</x:v>
      </x:c>
    </x:row>
    <x:row r="1389" ht="36" customHeight="1">
      <x:c r="A1389" s="19" t="str">
        <x:v>GRID23</x:v>
      </x:c>
      <x:c r="B1389" s="19" t="str">
        <x:v>GRID23_report.md</x:v>
      </x:c>
      <x:c r="C1389" s="19" t="str">
        <x:v>1. GRID23：共同精确破并列与128候选的闭环修订</x:v>
      </x:c>
      <x:c r="D1389" s="19" t="str">
        <x:v>方法=MLP0_128；完成周=3/4</x:v>
      </x:c>
      <x:c r="E1389" s="19" t="str">
        <x:v>丢失完整周</x:v>
      </x:c>
      <x:c r="F1389" s="19" t="str">
        <x:v>无</x:v>
      </x:c>
      <x:c r="G1389" s="19" t="str">
        <x:v>质量/成本</x:v>
      </x:c>
      <x:c r="H1389" s="19" t="str">
        <x:v>D:/Codex/GRL研究/outputs/grid23/GRID23_report.md</x:v>
      </x:c>
    </x:row>
    <x:row r="1390" ht="36" customHeight="1">
      <x:c r="A1390" s="19" t="str">
        <x:v>GRID23</x:v>
      </x:c>
      <x:c r="B1390" s="19" t="str">
        <x:v>GRID23_report.md</x:v>
      </x:c>
      <x:c r="C1390" s="19" t="str">
        <x:v>1. GRID23：共同精确破并列与128候选的闭环修订</x:v>
      </x:c>
      <x:c r="D1390" s="19" t="str">
        <x:v>方法=MLP0_128；完成周=3/4</x:v>
      </x:c>
      <x:c r="E1390" s="19" t="str">
        <x:v>辅助角色筛查</x:v>
      </x:c>
      <x:c r="F1390" s="19" t="str">
        <x:v>False</x:v>
      </x:c>
      <x:c r="G1390" s="19" t="str">
        <x:v>其他/配置</x:v>
      </x:c>
      <x:c r="H1390" s="19" t="str">
        <x:v>D:/Codex/GRL研究/outputs/grid23/GRID23_report.md</x:v>
      </x:c>
    </x:row>
    <x:row r="1391" ht="36" customHeight="1">
      <x:c r="A1391" s="19" t="str">
        <x:v>GRID23</x:v>
      </x:c>
      <x:c r="B1391" s="19" t="str">
        <x:v>GRID23_report.md</x:v>
      </x:c>
      <x:c r="C1391" s="19" t="str">
        <x:v>1. GRID23：共同精确破并列与128候选的闭环修订</x:v>
      </x:c>
      <x:c r="D1391" s="19" t="str">
        <x:v>方法=BIAS0_128；完成周=3/4</x:v>
      </x:c>
      <x:c r="E1391" s="19" t="str">
        <x:v>完成周</x:v>
      </x:c>
      <x:c r="F1391" s="19" t="str">
        <x:v>3/4</x:v>
      </x:c>
      <x:c r="G1391" s="19" t="str">
        <x:v>质量/成本</x:v>
      </x:c>
      <x:c r="H1391" s="19" t="str">
        <x:v>D:/Codex/GRL研究/outputs/grid23/GRID23_report.md</x:v>
      </x:c>
    </x:row>
    <x:row r="1392" ht="36" customHeight="1">
      <x:c r="A1392" s="19" t="str">
        <x:v>GRID23</x:v>
      </x:c>
      <x:c r="B1392" s="19" t="str">
        <x:v>GRID23_report.md</x:v>
      </x:c>
      <x:c r="C1392" s="19" t="str">
        <x:v>1. GRID23：共同精确破并列与128候选的闭环修订</x:v>
      </x:c>
      <x:c r="D1392" s="19" t="str">
        <x:v>方法=BIAS0_128；完成周=3/4</x:v>
      </x:c>
      <x:c r="E1392" s="19" t="str">
        <x:v>对完整搜索共同完成周</x:v>
      </x:c>
      <x:c r="F1392" s="19" t="str">
        <x:v>3</x:v>
      </x:c>
      <x:c r="G1392" s="19" t="str">
        <x:v>质量/成本</x:v>
      </x:c>
      <x:c r="H1392" s="19" t="str">
        <x:v>D:/Codex/GRL研究/outputs/grid23/GRID23_report.md</x:v>
      </x:c>
    </x:row>
    <x:row r="1393" ht="36" customHeight="1">
      <x:c r="A1393" s="19" t="str">
        <x:v>GRID23</x:v>
      </x:c>
      <x:c r="B1393" s="19" t="str">
        <x:v>GRID23_report.md</x:v>
      </x:c>
      <x:c r="C1393" s="19" t="str">
        <x:v>1. GRID23：共同精确破并列与128候选的闭环修订</x:v>
      </x:c>
      <x:c r="D1393" s="19" t="str">
        <x:v>方法=BIAS0_128；完成周=3/4</x:v>
      </x:c>
      <x:c r="E1393" s="19" t="str">
        <x:v>成本平均改善</x:v>
      </x:c>
      <x:c r="F1393" s="19" t="str">
        <x:v>-2.895%</x:v>
      </x:c>
      <x:c r="G1393" s="19" t="str">
        <x:v>质量/成本</x:v>
      </x:c>
      <x:c r="H1393" s="19" t="str">
        <x:v>D:/Codex/GRL研究/outputs/grid23/GRID23_report.md</x:v>
      </x:c>
    </x:row>
    <x:row r="1394" ht="36" customHeight="1">
      <x:c r="A1394" s="19" t="str">
        <x:v>GRID23</x:v>
      </x:c>
      <x:c r="B1394" s="19" t="str">
        <x:v>GRID23_report.md</x:v>
      </x:c>
      <x:c r="C1394" s="19" t="str">
        <x:v>1. GRID23：共同精确破并列与128候选的闭环修订</x:v>
      </x:c>
      <x:c r="D1394" s="19" t="str">
        <x:v>方法=BIAS0_128；完成周=3/4</x:v>
      </x:c>
      <x:c r="E1394" s="19" t="str">
        <x:v>控制时间平均减少</x:v>
      </x:c>
      <x:c r="F1394" s="19" t="str">
        <x:v>13.932%</x:v>
      </x:c>
      <x:c r="G1394" s="19" t="str">
        <x:v>速度/计算</x:v>
      </x:c>
      <x:c r="H1394" s="19" t="str">
        <x:v>D:/Codex/GRL研究/outputs/grid23/GRID23_report.md</x:v>
      </x:c>
    </x:row>
    <x:row r="1395" ht="36" customHeight="1">
      <x:c r="A1395" s="19" t="str">
        <x:v>GRID23</x:v>
      </x:c>
      <x:c r="B1395" s="19" t="str">
        <x:v>GRID23_report.md</x:v>
      </x:c>
      <x:c r="C1395" s="19" t="str">
        <x:v>1. GRID23：共同精确破并列与128候选的闭环修订</x:v>
      </x:c>
      <x:c r="D1395" s="19" t="str">
        <x:v>方法=BIAS0_128；完成周=3/4</x:v>
      </x:c>
      <x:c r="E1395" s="19" t="str">
        <x:v>搜索查询平均减少</x:v>
      </x:c>
      <x:c r="F1395" s="19" t="str">
        <x:v>81.937%</x:v>
      </x:c>
      <x:c r="G1395" s="19" t="str">
        <x:v>速度/计算</x:v>
      </x:c>
      <x:c r="H1395" s="19" t="str">
        <x:v>D:/Codex/GRL研究/outputs/grid23/GRID23_report.md</x:v>
      </x:c>
    </x:row>
    <x:row r="1396" ht="36" customHeight="1">
      <x:c r="A1396" s="19" t="str">
        <x:v>GRID23</x:v>
      </x:c>
      <x:c r="B1396" s="19" t="str">
        <x:v>GRID23_report.md</x:v>
      </x:c>
      <x:c r="C1396" s="19" t="str">
        <x:v>1. GRID23：共同精确破并列与128候选的闭环修订</x:v>
      </x:c>
      <x:c r="D1396" s="19" t="str">
        <x:v>方法=BIAS0_128；完成周=3/4</x:v>
      </x:c>
      <x:c r="E1396" s="19" t="str">
        <x:v>丢失完整周</x:v>
      </x:c>
      <x:c r="F1396" s="19" t="str">
        <x:v>无</x:v>
      </x:c>
      <x:c r="G1396" s="19" t="str">
        <x:v>质量/成本</x:v>
      </x:c>
      <x:c r="H1396" s="19" t="str">
        <x:v>D:/Codex/GRL研究/outputs/grid23/GRID23_report.md</x:v>
      </x:c>
    </x:row>
    <x:row r="1397" ht="36" customHeight="1">
      <x:c r="A1397" s="19" t="str">
        <x:v>GRID23</x:v>
      </x:c>
      <x:c r="B1397" s="19" t="str">
        <x:v>GRID23_report.md</x:v>
      </x:c>
      <x:c r="C1397" s="19" t="str">
        <x:v>1. GRID23：共同精确破并列与128候选的闭环修订</x:v>
      </x:c>
      <x:c r="D1397" s="19" t="str">
        <x:v>方法=BIAS0_128；完成周=3/4</x:v>
      </x:c>
      <x:c r="E1397" s="19" t="str">
        <x:v>辅助角色筛查</x:v>
      </x:c>
      <x:c r="F1397" s="19" t="str">
        <x:v>False</x:v>
      </x:c>
      <x:c r="G1397" s="19" t="str">
        <x:v>其他/配置</x:v>
      </x:c>
      <x:c r="H1397" s="19" t="str">
        <x:v>D:/Codex/GRL研究/outputs/grid23/GRID23_report.md</x:v>
      </x:c>
    </x:row>
    <x:row r="1398" ht="36" customHeight="1">
      <x:c r="A1398" s="19" t="str">
        <x:v>GRID23</x:v>
      </x:c>
      <x:c r="B1398" s="19" t="str">
        <x:v>GRID23_report.md</x:v>
      </x:c>
      <x:c r="C1398" s="19" t="str">
        <x:v>2. GRID23：共同精确破并列与128候选的闭环修订</x:v>
      </x:c>
      <x:c r="D1398" s="19" t="str">
        <x:v>两GNN种子平均对照=OLDNN128；共同完成周=3</x:v>
      </x:c>
      <x:c r="E1398" s="19" t="str">
        <x:v>共同完成周</x:v>
      </x:c>
      <x:c r="F1398" s="19" t="str">
        <x:v>3</x:v>
      </x:c>
      <x:c r="G1398" s="19" t="str">
        <x:v>质量/成本</x:v>
      </x:c>
      <x:c r="H1398" s="19" t="str">
        <x:v>D:/Codex/GRL研究/outputs/grid23/GRID23_report.md</x:v>
      </x:c>
    </x:row>
    <x:row r="1399" ht="36" customHeight="1">
      <x:c r="A1399" s="19" t="str">
        <x:v>GRID23</x:v>
      </x:c>
      <x:c r="B1399" s="19" t="str">
        <x:v>GRID23_report.md</x:v>
      </x:c>
      <x:c r="C1399" s="19" t="str">
        <x:v>2. GRID23：共同精确破并列与128候选的闭环修订</x:v>
      </x:c>
      <x:c r="D1399" s="19" t="str">
        <x:v>两GNN种子平均对照=OLDNN128；共同完成周=3</x:v>
      </x:c>
      <x:c r="E1399" s="19" t="str">
        <x:v>平均成本改善</x:v>
      </x:c>
      <x:c r="F1399" s="19" t="str">
        <x:v>0.024%</x:v>
      </x:c>
      <x:c r="G1399" s="19" t="str">
        <x:v>质量/成本</x:v>
      </x:c>
      <x:c r="H1399" s="19" t="str">
        <x:v>D:/Codex/GRL研究/outputs/grid23/GRID23_report.md</x:v>
      </x:c>
    </x:row>
    <x:row r="1400" ht="36" customHeight="1">
      <x:c r="A1400" s="19" t="str">
        <x:v>GRID23</x:v>
      </x:c>
      <x:c r="B1400" s="19" t="str">
        <x:v>GRID23_report.md</x:v>
      </x:c>
      <x:c r="C1400" s="19" t="str">
        <x:v>2. GRID23：共同精确破并列与128候选的闭环修订</x:v>
      </x:c>
      <x:c r="D1400" s="19" t="str">
        <x:v>两GNN种子平均对照=OLDNN128；共同完成周=3</x:v>
      </x:c>
      <x:c r="E1400" s="19" t="str">
        <x:v>图增量筛查</x:v>
      </x:c>
      <x:c r="F1400" s="19" t="str">
        <x:v>False</x:v>
      </x:c>
      <x:c r="G1400" s="19" t="str">
        <x:v>其他/配置</x:v>
      </x:c>
      <x:c r="H1400" s="19" t="str">
        <x:v>D:/Codex/GRL研究/outputs/grid23/GRID23_report.md</x:v>
      </x:c>
    </x:row>
    <x:row r="1401" ht="36" customHeight="1">
      <x:c r="A1401" s="19" t="str">
        <x:v>GRID23</x:v>
      </x:c>
      <x:c r="B1401" s="19" t="str">
        <x:v>GRID23_report.md</x:v>
      </x:c>
      <x:c r="C1401" s="19" t="str">
        <x:v>2. GRID23：共同精确破并列与128候选的闭环修订</x:v>
      </x:c>
      <x:c r="D1401" s="19" t="str">
        <x:v>两GNN种子平均对照=MLP0_128；共同完成周=3</x:v>
      </x:c>
      <x:c r="E1401" s="19" t="str">
        <x:v>共同完成周</x:v>
      </x:c>
      <x:c r="F1401" s="19" t="str">
        <x:v>3</x:v>
      </x:c>
      <x:c r="G1401" s="19" t="str">
        <x:v>质量/成本</x:v>
      </x:c>
      <x:c r="H1401" s="19" t="str">
        <x:v>D:/Codex/GRL研究/outputs/grid23/GRID23_report.md</x:v>
      </x:c>
    </x:row>
    <x:row r="1402" ht="36" customHeight="1">
      <x:c r="A1402" s="19" t="str">
        <x:v>GRID23</x:v>
      </x:c>
      <x:c r="B1402" s="19" t="str">
        <x:v>GRID23_report.md</x:v>
      </x:c>
      <x:c r="C1402" s="19" t="str">
        <x:v>2. GRID23：共同精确破并列与128候选的闭环修订</x:v>
      </x:c>
      <x:c r="D1402" s="19" t="str">
        <x:v>两GNN种子平均对照=MLP0_128；共同完成周=3</x:v>
      </x:c>
      <x:c r="E1402" s="19" t="str">
        <x:v>平均成本改善</x:v>
      </x:c>
      <x:c r="F1402" s="19" t="str">
        <x:v>0.031%</x:v>
      </x:c>
      <x:c r="G1402" s="19" t="str">
        <x:v>质量/成本</x:v>
      </x:c>
      <x:c r="H1402" s="19" t="str">
        <x:v>D:/Codex/GRL研究/outputs/grid23/GRID23_report.md</x:v>
      </x:c>
    </x:row>
    <x:row r="1403" ht="36" customHeight="1">
      <x:c r="A1403" s="19" t="str">
        <x:v>GRID23</x:v>
      </x:c>
      <x:c r="B1403" s="19" t="str">
        <x:v>GRID23_report.md</x:v>
      </x:c>
      <x:c r="C1403" s="19" t="str">
        <x:v>2. GRID23：共同精确破并列与128候选的闭环修订</x:v>
      </x:c>
      <x:c r="D1403" s="19" t="str">
        <x:v>两GNN种子平均对照=MLP0_128；共同完成周=3</x:v>
      </x:c>
      <x:c r="E1403" s="19" t="str">
        <x:v>图增量筛查</x:v>
      </x:c>
      <x:c r="F1403" s="19" t="str">
        <x:v>False</x:v>
      </x:c>
      <x:c r="G1403" s="19" t="str">
        <x:v>其他/配置</x:v>
      </x:c>
      <x:c r="H1403" s="19" t="str">
        <x:v>D:/Codex/GRL研究/outputs/grid23/GRID23_report.md</x:v>
      </x:c>
    </x:row>
    <x:row r="1404" ht="36" customHeight="1">
      <x:c r="A1404" s="19" t="str">
        <x:v>GRID23</x:v>
      </x:c>
      <x:c r="B1404" s="19" t="str">
        <x:v>GRID23_report.md</x:v>
      </x:c>
      <x:c r="C1404" s="19" t="str">
        <x:v>2. GRID23：共同精确破并列与128候选的闭环修订</x:v>
      </x:c>
      <x:c r="D1404" s="19" t="str">
        <x:v>两GNN种子平均对照=BIAS0_128；共同完成周=3</x:v>
      </x:c>
      <x:c r="E1404" s="19" t="str">
        <x:v>共同完成周</x:v>
      </x:c>
      <x:c r="F1404" s="19" t="str">
        <x:v>3</x:v>
      </x:c>
      <x:c r="G1404" s="19" t="str">
        <x:v>质量/成本</x:v>
      </x:c>
      <x:c r="H1404" s="19" t="str">
        <x:v>D:/Codex/GRL研究/outputs/grid23/GRID23_report.md</x:v>
      </x:c>
    </x:row>
    <x:row r="1405" ht="36" customHeight="1">
      <x:c r="A1405" s="19" t="str">
        <x:v>GRID23</x:v>
      </x:c>
      <x:c r="B1405" s="19" t="str">
        <x:v>GRID23_report.md</x:v>
      </x:c>
      <x:c r="C1405" s="19" t="str">
        <x:v>2. GRID23：共同精确破并列与128候选的闭环修订</x:v>
      </x:c>
      <x:c r="D1405" s="19" t="str">
        <x:v>两GNN种子平均对照=BIAS0_128；共同完成周=3</x:v>
      </x:c>
      <x:c r="E1405" s="19" t="str">
        <x:v>平均成本改善</x:v>
      </x:c>
      <x:c r="F1405" s="19" t="str">
        <x:v>0.015%</x:v>
      </x:c>
      <x:c r="G1405" s="19" t="str">
        <x:v>质量/成本</x:v>
      </x:c>
      <x:c r="H1405" s="19" t="str">
        <x:v>D:/Codex/GRL研究/outputs/grid23/GRID23_report.md</x:v>
      </x:c>
    </x:row>
    <x:row r="1406" ht="36" customHeight="1">
      <x:c r="A1406" s="19" t="str">
        <x:v>GRID23</x:v>
      </x:c>
      <x:c r="B1406" s="19" t="str">
        <x:v>GRID23_report.md</x:v>
      </x:c>
      <x:c r="C1406" s="19" t="str">
        <x:v>2. GRID23：共同精确破并列与128候选的闭环修订</x:v>
      </x:c>
      <x:c r="D1406" s="19" t="str">
        <x:v>两GNN种子平均对照=BIAS0_128；共同完成周=3</x:v>
      </x:c>
      <x:c r="E1406" s="19" t="str">
        <x:v>图增量筛查</x:v>
      </x:c>
      <x:c r="F1406" s="19" t="str">
        <x:v>False</x:v>
      </x:c>
      <x:c r="G1406" s="19" t="str">
        <x:v>其他/配置</x:v>
      </x:c>
      <x:c r="H1406" s="19" t="str">
        <x:v>D:/Codex/GRL研究/outputs/grid23/GRID23_report.md</x:v>
      </x:c>
    </x:row>
    <x:row r="1407" ht="36" customHeight="1">
      <x:c r="A1407" s="19" t="str">
        <x:v>GRID24</x:v>
      </x:c>
      <x:c r="B1407" s="19" t="str">
        <x:v>GRID24_report.md</x:v>
      </x:c>
      <x:c r="C1407" s="19" t="str">
        <x:v>1. GRID24：原安全阈值触发的缓存完整搜索</x:v>
      </x:c>
      <x:c r="D1407" s="19" t="str">
        <x:v>方法=GNN0_128_GUARD；周=2035-03-05_0</x:v>
      </x:c>
      <x:c r="E1407" s="19" t="str">
        <x:v>周</x:v>
      </x:c>
      <x:c r="F1407" s="19" t="str">
        <x:v>2035-03-05_0</x:v>
      </x:c>
      <x:c r="G1407" s="19" t="str">
        <x:v>其他/配置</x:v>
      </x:c>
      <x:c r="H1407" s="19" t="str">
        <x:v>D:/Codex/GRL研究/outputs/grid24/GRID24_report.md</x:v>
      </x:c>
    </x:row>
    <x:row r="1408" ht="36" customHeight="1">
      <x:c r="A1408" s="19" t="str">
        <x:v>GRID24</x:v>
      </x:c>
      <x:c r="B1408" s="19" t="str">
        <x:v>GRID24_report.md</x:v>
      </x:c>
      <x:c r="C1408" s="19" t="str">
        <x:v>1. GRID24：原安全阈值触发的缓存完整搜索</x:v>
      </x:c>
      <x:c r="D1408" s="19" t="str">
        <x:v>方法=GNN0_128_GUARD；周=2035-03-05_0</x:v>
      </x:c>
      <x:c r="E1408" s="19" t="str">
        <x:v>完成</x:v>
      </x:c>
      <x:c r="F1408" s="19" t="str">
        <x:v>True</x:v>
      </x:c>
      <x:c r="G1408" s="19" t="str">
        <x:v>质量/成本</x:v>
      </x:c>
      <x:c r="H1408" s="19" t="str">
        <x:v>D:/Codex/GRL研究/outputs/grid24/GRID24_report.md</x:v>
      </x:c>
    </x:row>
    <x:row r="1409" ht="36" customHeight="1">
      <x:c r="A1409" s="19" t="str">
        <x:v>GRID24</x:v>
      </x:c>
      <x:c r="B1409" s="19" t="str">
        <x:v>GRID24_report.md</x:v>
      </x:c>
      <x:c r="C1409" s="19" t="str">
        <x:v>1. GRID24：原安全阈值触发的缓存完整搜索</x:v>
      </x:c>
      <x:c r="D1409" s="19" t="str">
        <x:v>方法=GNN0_128_GUARD；周=2035-03-05_0</x:v>
      </x:c>
      <x:c r="E1409" s="19" t="str">
        <x:v>对 FULL 成本差</x:v>
      </x:c>
      <x:c r="F1409" s="19" t="str">
        <x:v>+0.0000%</x:v>
      </x:c>
      <x:c r="G1409" s="19" t="str">
        <x:v>质量/成本</x:v>
      </x:c>
      <x:c r="H1409" s="19" t="str">
        <x:v>D:/Codex/GRL研究/outputs/grid24/GRID24_report.md</x:v>
      </x:c>
    </x:row>
    <x:row r="1410" ht="36" customHeight="1">
      <x:c r="A1410" s="19" t="str">
        <x:v>GRID24</x:v>
      </x:c>
      <x:c r="B1410" s="19" t="str">
        <x:v>GRID24_report.md</x:v>
      </x:c>
      <x:c r="C1410" s="19" t="str">
        <x:v>1. GRID24：原安全阈值触发的缓存完整搜索</x:v>
      </x:c>
      <x:c r="D1410" s="19" t="str">
        <x:v>方法=GNN0_128_GUARD；周=2035-03-05_0</x:v>
      </x:c>
      <x:c r="E1410" s="19" t="str">
        <x:v>搜索查询减少</x:v>
      </x:c>
      <x:c r="F1410" s="19" t="str">
        <x:v>31.52%</x:v>
      </x:c>
      <x:c r="G1410" s="19" t="str">
        <x:v>速度/计算</x:v>
      </x:c>
      <x:c r="H1410" s="19" t="str">
        <x:v>D:/Codex/GRL研究/outputs/grid24/GRID24_report.md</x:v>
      </x:c>
    </x:row>
    <x:row r="1411" ht="36" customHeight="1">
      <x:c r="A1411" s="19" t="str">
        <x:v>GRID24</x:v>
      </x:c>
      <x:c r="B1411" s="19" t="str">
        <x:v>GRID24_report.md</x:v>
      </x:c>
      <x:c r="C1411" s="19" t="str">
        <x:v>1. GRID24：原安全阈值触发的缓存完整搜索</x:v>
      </x:c>
      <x:c r="D1411" s="19" t="str">
        <x:v>方法=GNN0_128_GUARD；周=2035-03-05_0</x:v>
      </x:c>
      <x:c r="E1411" s="19" t="str">
        <x:v>完整搜索回退</x:v>
      </x:c>
      <x:c r="F1411" s="19" t="str">
        <x:v>7/11</x:v>
      </x:c>
      <x:c r="G1411" s="19" t="str">
        <x:v>其他/配置</x:v>
      </x:c>
      <x:c r="H1411" s="19" t="str">
        <x:v>D:/Codex/GRL研究/outputs/grid24/GRID24_report.md</x:v>
      </x:c>
    </x:row>
    <x:row r="1412" ht="36" customHeight="1">
      <x:c r="A1412" s="19" t="str">
        <x:v>GRID24</x:v>
      </x:c>
      <x:c r="B1412" s="19" t="str">
        <x:v>GRID24_report.md</x:v>
      </x:c>
      <x:c r="C1412" s="19" t="str">
        <x:v>1. GRID24：原安全阈值触发的缓存完整搜索</x:v>
      </x:c>
      <x:c r="D1412" s="19" t="str">
        <x:v>方法=GNN0_128_GUARD；周=2035-03-05_0</x:v>
      </x:c>
      <x:c r="E1412" s="19" t="str">
        <x:v>物理路径与 FULL 相同</x:v>
      </x:c>
      <x:c r="F1412" s="19" t="str">
        <x:v>True</x:v>
      </x:c>
      <x:c r="G1412" s="19" t="str">
        <x:v>其他/配置</x:v>
      </x:c>
      <x:c r="H1412" s="19" t="str">
        <x:v>D:/Codex/GRL研究/outputs/grid24/GRID24_report.md</x:v>
      </x:c>
    </x:row>
    <x:row r="1413" ht="36" customHeight="1">
      <x:c r="A1413" s="19" t="str">
        <x:v>GRID24</x:v>
      </x:c>
      <x:c r="B1413" s="19" t="str">
        <x:v>GRID24_report.md</x:v>
      </x:c>
      <x:c r="C1413" s="19" t="str">
        <x:v>1. GRID24：原安全阈值触发的缓存完整搜索</x:v>
      </x:c>
      <x:c r="D1413" s="19" t="str">
        <x:v>方法=GNN1_128_GUARD；周=2035-03-05_0</x:v>
      </x:c>
      <x:c r="E1413" s="19" t="str">
        <x:v>周</x:v>
      </x:c>
      <x:c r="F1413" s="19" t="str">
        <x:v>2035-03-05_0</x:v>
      </x:c>
      <x:c r="G1413" s="19" t="str">
        <x:v>其他/配置</x:v>
      </x:c>
      <x:c r="H1413" s="19" t="str">
        <x:v>D:/Codex/GRL研究/outputs/grid24/GRID24_report.md</x:v>
      </x:c>
    </x:row>
    <x:row r="1414" ht="36" customHeight="1">
      <x:c r="A1414" s="19" t="str">
        <x:v>GRID24</x:v>
      </x:c>
      <x:c r="B1414" s="19" t="str">
        <x:v>GRID24_report.md</x:v>
      </x:c>
      <x:c r="C1414" s="19" t="str">
        <x:v>1. GRID24：原安全阈值触发的缓存完整搜索</x:v>
      </x:c>
      <x:c r="D1414" s="19" t="str">
        <x:v>方法=GNN1_128_GUARD；周=2035-03-05_0</x:v>
      </x:c>
      <x:c r="E1414" s="19" t="str">
        <x:v>完成</x:v>
      </x:c>
      <x:c r="F1414" s="19" t="str">
        <x:v>True</x:v>
      </x:c>
      <x:c r="G1414" s="19" t="str">
        <x:v>质量/成本</x:v>
      </x:c>
      <x:c r="H1414" s="19" t="str">
        <x:v>D:/Codex/GRL研究/outputs/grid24/GRID24_report.md</x:v>
      </x:c>
    </x:row>
    <x:row r="1415" ht="36" customHeight="1">
      <x:c r="A1415" s="19" t="str">
        <x:v>GRID24</x:v>
      </x:c>
      <x:c r="B1415" s="19" t="str">
        <x:v>GRID24_report.md</x:v>
      </x:c>
      <x:c r="C1415" s="19" t="str">
        <x:v>1. GRID24：原安全阈值触发的缓存完整搜索</x:v>
      </x:c>
      <x:c r="D1415" s="19" t="str">
        <x:v>方法=GNN1_128_GUARD；周=2035-03-05_0</x:v>
      </x:c>
      <x:c r="E1415" s="19" t="str">
        <x:v>对 FULL 成本差</x:v>
      </x:c>
      <x:c r="F1415" s="19" t="str">
        <x:v>+0.0000%</x:v>
      </x:c>
      <x:c r="G1415" s="19" t="str">
        <x:v>质量/成本</x:v>
      </x:c>
      <x:c r="H1415" s="19" t="str">
        <x:v>D:/Codex/GRL研究/outputs/grid24/GRID24_report.md</x:v>
      </x:c>
    </x:row>
    <x:row r="1416" ht="36" customHeight="1">
      <x:c r="A1416" s="19" t="str">
        <x:v>GRID24</x:v>
      </x:c>
      <x:c r="B1416" s="19" t="str">
        <x:v>GRID24_report.md</x:v>
      </x:c>
      <x:c r="C1416" s="19" t="str">
        <x:v>1. GRID24：原安全阈值触发的缓存完整搜索</x:v>
      </x:c>
      <x:c r="D1416" s="19" t="str">
        <x:v>方法=GNN1_128_GUARD；周=2035-03-05_0</x:v>
      </x:c>
      <x:c r="E1416" s="19" t="str">
        <x:v>搜索查询减少</x:v>
      </x:c>
      <x:c r="F1416" s="19" t="str">
        <x:v>31.52%</x:v>
      </x:c>
      <x:c r="G1416" s="19" t="str">
        <x:v>速度/计算</x:v>
      </x:c>
      <x:c r="H1416" s="19" t="str">
        <x:v>D:/Codex/GRL研究/outputs/grid24/GRID24_report.md</x:v>
      </x:c>
    </x:row>
    <x:row r="1417" ht="36" customHeight="1">
      <x:c r="A1417" s="19" t="str">
        <x:v>GRID24</x:v>
      </x:c>
      <x:c r="B1417" s="19" t="str">
        <x:v>GRID24_report.md</x:v>
      </x:c>
      <x:c r="C1417" s="19" t="str">
        <x:v>1. GRID24：原安全阈值触发的缓存完整搜索</x:v>
      </x:c>
      <x:c r="D1417" s="19" t="str">
        <x:v>方法=GNN1_128_GUARD；周=2035-03-05_0</x:v>
      </x:c>
      <x:c r="E1417" s="19" t="str">
        <x:v>完整搜索回退</x:v>
      </x:c>
      <x:c r="F1417" s="19" t="str">
        <x:v>7/11</x:v>
      </x:c>
      <x:c r="G1417" s="19" t="str">
        <x:v>其他/配置</x:v>
      </x:c>
      <x:c r="H1417" s="19" t="str">
        <x:v>D:/Codex/GRL研究/outputs/grid24/GRID24_report.md</x:v>
      </x:c>
    </x:row>
    <x:row r="1418" ht="36" customHeight="1">
      <x:c r="A1418" s="19" t="str">
        <x:v>GRID24</x:v>
      </x:c>
      <x:c r="B1418" s="19" t="str">
        <x:v>GRID24_report.md</x:v>
      </x:c>
      <x:c r="C1418" s="19" t="str">
        <x:v>1. GRID24：原安全阈值触发的缓存完整搜索</x:v>
      </x:c>
      <x:c r="D1418" s="19" t="str">
        <x:v>方法=GNN1_128_GUARD；周=2035-03-05_0</x:v>
      </x:c>
      <x:c r="E1418" s="19" t="str">
        <x:v>物理路径与 FULL 相同</x:v>
      </x:c>
      <x:c r="F1418" s="19" t="str">
        <x:v>True</x:v>
      </x:c>
      <x:c r="G1418" s="19" t="str">
        <x:v>其他/配置</x:v>
      </x:c>
      <x:c r="H1418" s="19" t="str">
        <x:v>D:/Codex/GRL研究/outputs/grid24/GRID24_report.md</x:v>
      </x:c>
    </x:row>
    <x:row r="1419" ht="36" customHeight="1">
      <x:c r="A1419" s="19" t="str">
        <x:v>GRID24</x:v>
      </x:c>
      <x:c r="B1419" s="19" t="str">
        <x:v>GRID24_report.md</x:v>
      </x:c>
      <x:c r="C1419" s="19" t="str">
        <x:v>1. GRID24：原安全阈值触发的缓存完整搜索</x:v>
      </x:c>
      <x:c r="D1419" s="19" t="str">
        <x:v>方法=GNN0_128_GUARD；周=2035-06-25_8</x:v>
      </x:c>
      <x:c r="E1419" s="19" t="str">
        <x:v>周</x:v>
      </x:c>
      <x:c r="F1419" s="19" t="str">
        <x:v>2035-06-25_8</x:v>
      </x:c>
      <x:c r="G1419" s="19" t="str">
        <x:v>其他/配置</x:v>
      </x:c>
      <x:c r="H1419" s="19" t="str">
        <x:v>D:/Codex/GRL研究/outputs/grid24/GRID24_report.md</x:v>
      </x:c>
    </x:row>
    <x:row r="1420" ht="36" customHeight="1">
      <x:c r="A1420" s="19" t="str">
        <x:v>GRID24</x:v>
      </x:c>
      <x:c r="B1420" s="19" t="str">
        <x:v>GRID24_report.md</x:v>
      </x:c>
      <x:c r="C1420" s="19" t="str">
        <x:v>1. GRID24：原安全阈值触发的缓存完整搜索</x:v>
      </x:c>
      <x:c r="D1420" s="19" t="str">
        <x:v>方法=GNN0_128_GUARD；周=2035-06-25_8</x:v>
      </x:c>
      <x:c r="E1420" s="19" t="str">
        <x:v>完成</x:v>
      </x:c>
      <x:c r="F1420" s="19" t="str">
        <x:v>False</x:v>
      </x:c>
      <x:c r="G1420" s="19" t="str">
        <x:v>质量/成本</x:v>
      </x:c>
      <x:c r="H1420" s="19" t="str">
        <x:v>D:/Codex/GRL研究/outputs/grid24/GRID24_report.md</x:v>
      </x:c>
    </x:row>
    <x:row r="1421" ht="36" customHeight="1">
      <x:c r="A1421" s="19" t="str">
        <x:v>GRID24</x:v>
      </x:c>
      <x:c r="B1421" s="19" t="str">
        <x:v>GRID24_report.md</x:v>
      </x:c>
      <x:c r="C1421" s="19" t="str">
        <x:v>1. GRID24：原安全阈值触发的缓存完整搜索</x:v>
      </x:c>
      <x:c r="D1421" s="19" t="str">
        <x:v>方法=GNN0_128_GUARD；周=2035-06-25_8</x:v>
      </x:c>
      <x:c r="E1421" s="19" t="str">
        <x:v>对 FULL 成本差</x:v>
      </x:c>
      <x:c r="F1421" s="19" t="str">
        <x:v>不作成本比较</x:v>
      </x:c>
      <x:c r="G1421" s="19" t="str">
        <x:v>质量/成本</x:v>
      </x:c>
      <x:c r="H1421" s="19" t="str">
        <x:v>D:/Codex/GRL研究/outputs/grid24/GRID24_report.md</x:v>
      </x:c>
    </x:row>
    <x:row r="1422" ht="36" customHeight="1">
      <x:c r="A1422" s="19" t="str">
        <x:v>GRID24</x:v>
      </x:c>
      <x:c r="B1422" s="19" t="str">
        <x:v>GRID24_report.md</x:v>
      </x:c>
      <x:c r="C1422" s="19" t="str">
        <x:v>1. GRID24：原安全阈值触发的缓存完整搜索</x:v>
      </x:c>
      <x:c r="D1422" s="19" t="str">
        <x:v>方法=GNN0_128_GUARD；周=2035-06-25_8</x:v>
      </x:c>
      <x:c r="E1422" s="19" t="str">
        <x:v>搜索查询减少</x:v>
      </x:c>
      <x:c r="F1422" s="19" t="str">
        <x:v>39.03%</x:v>
      </x:c>
      <x:c r="G1422" s="19" t="str">
        <x:v>速度/计算</x:v>
      </x:c>
      <x:c r="H1422" s="19" t="str">
        <x:v>D:/Codex/GRL研究/outputs/grid24/GRID24_report.md</x:v>
      </x:c>
    </x:row>
    <x:row r="1423" ht="36" customHeight="1">
      <x:c r="A1423" s="19" t="str">
        <x:v>GRID24</x:v>
      </x:c>
      <x:c r="B1423" s="19" t="str">
        <x:v>GRID24_report.md</x:v>
      </x:c>
      <x:c r="C1423" s="19" t="str">
        <x:v>1. GRID24：原安全阈值触发的缓存完整搜索</x:v>
      </x:c>
      <x:c r="D1423" s="19" t="str">
        <x:v>方法=GNN0_128_GUARD；周=2035-06-25_8</x:v>
      </x:c>
      <x:c r="E1423" s="19" t="str">
        <x:v>完整搜索回退</x:v>
      </x:c>
      <x:c r="F1423" s="19" t="str">
        <x:v>3/5</x:v>
      </x:c>
      <x:c r="G1423" s="19" t="str">
        <x:v>其他/配置</x:v>
      </x:c>
      <x:c r="H1423" s="19" t="str">
        <x:v>D:/Codex/GRL研究/outputs/grid24/GRID24_report.md</x:v>
      </x:c>
    </x:row>
    <x:row r="1424" ht="36" customHeight="1">
      <x:c r="A1424" s="19" t="str">
        <x:v>GRID24</x:v>
      </x:c>
      <x:c r="B1424" s="19" t="str">
        <x:v>GRID24_report.md</x:v>
      </x:c>
      <x:c r="C1424" s="19" t="str">
        <x:v>1. GRID24：原安全阈值触发的缓存完整搜索</x:v>
      </x:c>
      <x:c r="D1424" s="19" t="str">
        <x:v>方法=GNN0_128_GUARD；周=2035-06-25_8</x:v>
      </x:c>
      <x:c r="E1424" s="19" t="str">
        <x:v>物理路径与 FULL 相同</x:v>
      </x:c>
      <x:c r="F1424" s="19" t="str">
        <x:v>True</x:v>
      </x:c>
      <x:c r="G1424" s="19" t="str">
        <x:v>其他/配置</x:v>
      </x:c>
      <x:c r="H1424" s="19" t="str">
        <x:v>D:/Codex/GRL研究/outputs/grid24/GRID24_report.md</x:v>
      </x:c>
    </x:row>
    <x:row r="1425" ht="36" customHeight="1">
      <x:c r="A1425" s="19" t="str">
        <x:v>GRID24</x:v>
      </x:c>
      <x:c r="B1425" s="19" t="str">
        <x:v>GRID24_report.md</x:v>
      </x:c>
      <x:c r="C1425" s="19" t="str">
        <x:v>1. GRID24：原安全阈值触发的缓存完整搜索</x:v>
      </x:c>
      <x:c r="D1425" s="19" t="str">
        <x:v>方法=OLDNN128_GUARD；周=2035-03-05_0</x:v>
      </x:c>
      <x:c r="E1425" s="19" t="str">
        <x:v>周</x:v>
      </x:c>
      <x:c r="F1425" s="19" t="str">
        <x:v>2035-03-05_0</x:v>
      </x:c>
      <x:c r="G1425" s="19" t="str">
        <x:v>其他/配置</x:v>
      </x:c>
      <x:c r="H1425" s="19" t="str">
        <x:v>D:/Codex/GRL研究/outputs/grid24/GRID24_report.md</x:v>
      </x:c>
    </x:row>
    <x:row r="1426" ht="36" customHeight="1">
      <x:c r="A1426" s="19" t="str">
        <x:v>GRID24</x:v>
      </x:c>
      <x:c r="B1426" s="19" t="str">
        <x:v>GRID24_report.md</x:v>
      </x:c>
      <x:c r="C1426" s="19" t="str">
        <x:v>1. GRID24：原安全阈值触发的缓存完整搜索</x:v>
      </x:c>
      <x:c r="D1426" s="19" t="str">
        <x:v>方法=OLDNN128_GUARD；周=2035-03-05_0</x:v>
      </x:c>
      <x:c r="E1426" s="19" t="str">
        <x:v>完成</x:v>
      </x:c>
      <x:c r="F1426" s="19" t="str">
        <x:v>True</x:v>
      </x:c>
      <x:c r="G1426" s="19" t="str">
        <x:v>质量/成本</x:v>
      </x:c>
      <x:c r="H1426" s="19" t="str">
        <x:v>D:/Codex/GRL研究/outputs/grid24/GRID24_report.md</x:v>
      </x:c>
    </x:row>
    <x:row r="1427" ht="36" customHeight="1">
      <x:c r="A1427" s="19" t="str">
        <x:v>GRID24</x:v>
      </x:c>
      <x:c r="B1427" s="19" t="str">
        <x:v>GRID24_report.md</x:v>
      </x:c>
      <x:c r="C1427" s="19" t="str">
        <x:v>1. GRID24：原安全阈值触发的缓存完整搜索</x:v>
      </x:c>
      <x:c r="D1427" s="19" t="str">
        <x:v>方法=OLDNN128_GUARD；周=2035-03-05_0</x:v>
      </x:c>
      <x:c r="E1427" s="19" t="str">
        <x:v>对 FULL 成本差</x:v>
      </x:c>
      <x:c r="F1427" s="19" t="str">
        <x:v>+0.0000%</x:v>
      </x:c>
      <x:c r="G1427" s="19" t="str">
        <x:v>质量/成本</x:v>
      </x:c>
      <x:c r="H1427" s="19" t="str">
        <x:v>D:/Codex/GRL研究/outputs/grid24/GRID24_report.md</x:v>
      </x:c>
    </x:row>
    <x:row r="1428" ht="36" customHeight="1">
      <x:c r="A1428" s="19" t="str">
        <x:v>GRID24</x:v>
      </x:c>
      <x:c r="B1428" s="19" t="str">
        <x:v>GRID24_report.md</x:v>
      </x:c>
      <x:c r="C1428" s="19" t="str">
        <x:v>1. GRID24：原安全阈值触发的缓存完整搜索</x:v>
      </x:c>
      <x:c r="D1428" s="19" t="str">
        <x:v>方法=OLDNN128_GUARD；周=2035-03-05_0</x:v>
      </x:c>
      <x:c r="E1428" s="19" t="str">
        <x:v>搜索查询减少</x:v>
      </x:c>
      <x:c r="F1428" s="19" t="str">
        <x:v>31.52%</x:v>
      </x:c>
      <x:c r="G1428" s="19" t="str">
        <x:v>速度/计算</x:v>
      </x:c>
      <x:c r="H1428" s="19" t="str">
        <x:v>D:/Codex/GRL研究/outputs/grid24/GRID24_report.md</x:v>
      </x:c>
    </x:row>
    <x:row r="1429" ht="36" customHeight="1">
      <x:c r="A1429" s="19" t="str">
        <x:v>GRID24</x:v>
      </x:c>
      <x:c r="B1429" s="19" t="str">
        <x:v>GRID24_report.md</x:v>
      </x:c>
      <x:c r="C1429" s="19" t="str">
        <x:v>1. GRID24：原安全阈值触发的缓存完整搜索</x:v>
      </x:c>
      <x:c r="D1429" s="19" t="str">
        <x:v>方法=OLDNN128_GUARD；周=2035-03-05_0</x:v>
      </x:c>
      <x:c r="E1429" s="19" t="str">
        <x:v>完整搜索回退</x:v>
      </x:c>
      <x:c r="F1429" s="19" t="str">
        <x:v>7/11</x:v>
      </x:c>
      <x:c r="G1429" s="19" t="str">
        <x:v>其他/配置</x:v>
      </x:c>
      <x:c r="H1429" s="19" t="str">
        <x:v>D:/Codex/GRL研究/outputs/grid24/GRID24_report.md</x:v>
      </x:c>
    </x:row>
    <x:row r="1430" ht="36" customHeight="1">
      <x:c r="A1430" s="19" t="str">
        <x:v>GRID24</x:v>
      </x:c>
      <x:c r="B1430" s="19" t="str">
        <x:v>GRID24_report.md</x:v>
      </x:c>
      <x:c r="C1430" s="19" t="str">
        <x:v>1. GRID24：原安全阈值触发的缓存完整搜索</x:v>
      </x:c>
      <x:c r="D1430" s="19" t="str">
        <x:v>方法=OLDNN128_GUARD；周=2035-03-05_0</x:v>
      </x:c>
      <x:c r="E1430" s="19" t="str">
        <x:v>物理路径与 FULL 相同</x:v>
      </x:c>
      <x:c r="F1430" s="19" t="str">
        <x:v>True</x:v>
      </x:c>
      <x:c r="G1430" s="19" t="str">
        <x:v>其他/配置</x:v>
      </x:c>
      <x:c r="H1430" s="19" t="str">
        <x:v>D:/Codex/GRL研究/outputs/grid24/GRID24_report.md</x:v>
      </x:c>
    </x:row>
    <x:row r="1431" ht="36" customHeight="1">
      <x:c r="A1431" s="19" t="str">
        <x:v>GRID24</x:v>
      </x:c>
      <x:c r="B1431" s="19" t="str">
        <x:v>GRID24_report.md</x:v>
      </x:c>
      <x:c r="C1431" s="19" t="str">
        <x:v>1. GRID24：原安全阈值触发的缓存完整搜索</x:v>
      </x:c>
      <x:c r="D1431" s="19" t="str">
        <x:v>方法=GNN1_128_GUARD；周=2035-06-25_8</x:v>
      </x:c>
      <x:c r="E1431" s="19" t="str">
        <x:v>周</x:v>
      </x:c>
      <x:c r="F1431" s="19" t="str">
        <x:v>2035-06-25_8</x:v>
      </x:c>
      <x:c r="G1431" s="19" t="str">
        <x:v>其他/配置</x:v>
      </x:c>
      <x:c r="H1431" s="19" t="str">
        <x:v>D:/Codex/GRL研究/outputs/grid24/GRID24_report.md</x:v>
      </x:c>
    </x:row>
    <x:row r="1432" ht="36" customHeight="1">
      <x:c r="A1432" s="19" t="str">
        <x:v>GRID24</x:v>
      </x:c>
      <x:c r="B1432" s="19" t="str">
        <x:v>GRID24_report.md</x:v>
      </x:c>
      <x:c r="C1432" s="19" t="str">
        <x:v>1. GRID24：原安全阈值触发的缓存完整搜索</x:v>
      </x:c>
      <x:c r="D1432" s="19" t="str">
        <x:v>方法=GNN1_128_GUARD；周=2035-06-25_8</x:v>
      </x:c>
      <x:c r="E1432" s="19" t="str">
        <x:v>完成</x:v>
      </x:c>
      <x:c r="F1432" s="19" t="str">
        <x:v>False</x:v>
      </x:c>
      <x:c r="G1432" s="19" t="str">
        <x:v>质量/成本</x:v>
      </x:c>
      <x:c r="H1432" s="19" t="str">
        <x:v>D:/Codex/GRL研究/outputs/grid24/GRID24_report.md</x:v>
      </x:c>
    </x:row>
    <x:row r="1433" ht="36" customHeight="1">
      <x:c r="A1433" s="19" t="str">
        <x:v>GRID24</x:v>
      </x:c>
      <x:c r="B1433" s="19" t="str">
        <x:v>GRID24_report.md</x:v>
      </x:c>
      <x:c r="C1433" s="19" t="str">
        <x:v>1. GRID24：原安全阈值触发的缓存完整搜索</x:v>
      </x:c>
      <x:c r="D1433" s="19" t="str">
        <x:v>方法=GNN1_128_GUARD；周=2035-06-25_8</x:v>
      </x:c>
      <x:c r="E1433" s="19" t="str">
        <x:v>对 FULL 成本差</x:v>
      </x:c>
      <x:c r="F1433" s="19" t="str">
        <x:v>不作成本比较</x:v>
      </x:c>
      <x:c r="G1433" s="19" t="str">
        <x:v>质量/成本</x:v>
      </x:c>
      <x:c r="H1433" s="19" t="str">
        <x:v>D:/Codex/GRL研究/outputs/grid24/GRID24_report.md</x:v>
      </x:c>
    </x:row>
    <x:row r="1434" ht="36" customHeight="1">
      <x:c r="A1434" s="19" t="str">
        <x:v>GRID24</x:v>
      </x:c>
      <x:c r="B1434" s="19" t="str">
        <x:v>GRID24_report.md</x:v>
      </x:c>
      <x:c r="C1434" s="19" t="str">
        <x:v>1. GRID24：原安全阈值触发的缓存完整搜索</x:v>
      </x:c>
      <x:c r="D1434" s="19" t="str">
        <x:v>方法=GNN1_128_GUARD；周=2035-06-25_8</x:v>
      </x:c>
      <x:c r="E1434" s="19" t="str">
        <x:v>搜索查询减少</x:v>
      </x:c>
      <x:c r="F1434" s="19" t="str">
        <x:v>39.03%</x:v>
      </x:c>
      <x:c r="G1434" s="19" t="str">
        <x:v>速度/计算</x:v>
      </x:c>
      <x:c r="H1434" s="19" t="str">
        <x:v>D:/Codex/GRL研究/outputs/grid24/GRID24_report.md</x:v>
      </x:c>
    </x:row>
    <x:row r="1435" ht="36" customHeight="1">
      <x:c r="A1435" s="19" t="str">
        <x:v>GRID24</x:v>
      </x:c>
      <x:c r="B1435" s="19" t="str">
        <x:v>GRID24_report.md</x:v>
      </x:c>
      <x:c r="C1435" s="19" t="str">
        <x:v>1. GRID24：原安全阈值触发的缓存完整搜索</x:v>
      </x:c>
      <x:c r="D1435" s="19" t="str">
        <x:v>方法=GNN1_128_GUARD；周=2035-06-25_8</x:v>
      </x:c>
      <x:c r="E1435" s="19" t="str">
        <x:v>完整搜索回退</x:v>
      </x:c>
      <x:c r="F1435" s="19" t="str">
        <x:v>3/5</x:v>
      </x:c>
      <x:c r="G1435" s="19" t="str">
        <x:v>其他/配置</x:v>
      </x:c>
      <x:c r="H1435" s="19" t="str">
        <x:v>D:/Codex/GRL研究/outputs/grid24/GRID24_report.md</x:v>
      </x:c>
    </x:row>
    <x:row r="1436" ht="36" customHeight="1">
      <x:c r="A1436" s="19" t="str">
        <x:v>GRID24</x:v>
      </x:c>
      <x:c r="B1436" s="19" t="str">
        <x:v>GRID24_report.md</x:v>
      </x:c>
      <x:c r="C1436" s="19" t="str">
        <x:v>1. GRID24：原安全阈值触发的缓存完整搜索</x:v>
      </x:c>
      <x:c r="D1436" s="19" t="str">
        <x:v>方法=GNN1_128_GUARD；周=2035-06-25_8</x:v>
      </x:c>
      <x:c r="E1436" s="19" t="str">
        <x:v>物理路径与 FULL 相同</x:v>
      </x:c>
      <x:c r="F1436" s="19" t="str">
        <x:v>True</x:v>
      </x:c>
      <x:c r="G1436" s="19" t="str">
        <x:v>其他/配置</x:v>
      </x:c>
      <x:c r="H1436" s="19" t="str">
        <x:v>D:/Codex/GRL研究/outputs/grid24/GRID24_report.md</x:v>
      </x:c>
    </x:row>
    <x:row r="1437" ht="36" customHeight="1">
      <x:c r="A1437" s="19" t="str">
        <x:v>GRID24</x:v>
      </x:c>
      <x:c r="B1437" s="19" t="str">
        <x:v>GRID24_report.md</x:v>
      </x:c>
      <x:c r="C1437" s="19" t="str">
        <x:v>1. GRID24：原安全阈值触发的缓存完整搜索</x:v>
      </x:c>
      <x:c r="D1437" s="19" t="str">
        <x:v>方法=OLDNN128_GUARD；周=2035-06-25_8</x:v>
      </x:c>
      <x:c r="E1437" s="19" t="str">
        <x:v>周</x:v>
      </x:c>
      <x:c r="F1437" s="19" t="str">
        <x:v>2035-06-25_8</x:v>
      </x:c>
      <x:c r="G1437" s="19" t="str">
        <x:v>其他/配置</x:v>
      </x:c>
      <x:c r="H1437" s="19" t="str">
        <x:v>D:/Codex/GRL研究/outputs/grid24/GRID24_report.md</x:v>
      </x:c>
    </x:row>
    <x:row r="1438" ht="36" customHeight="1">
      <x:c r="A1438" s="19" t="str">
        <x:v>GRID24</x:v>
      </x:c>
      <x:c r="B1438" s="19" t="str">
        <x:v>GRID24_report.md</x:v>
      </x:c>
      <x:c r="C1438" s="19" t="str">
        <x:v>1. GRID24：原安全阈值触发的缓存完整搜索</x:v>
      </x:c>
      <x:c r="D1438" s="19" t="str">
        <x:v>方法=OLDNN128_GUARD；周=2035-06-25_8</x:v>
      </x:c>
      <x:c r="E1438" s="19" t="str">
        <x:v>完成</x:v>
      </x:c>
      <x:c r="F1438" s="19" t="str">
        <x:v>False</x:v>
      </x:c>
      <x:c r="G1438" s="19" t="str">
        <x:v>质量/成本</x:v>
      </x:c>
      <x:c r="H1438" s="19" t="str">
        <x:v>D:/Codex/GRL研究/outputs/grid24/GRID24_report.md</x:v>
      </x:c>
    </x:row>
    <x:row r="1439" ht="36" customHeight="1">
      <x:c r="A1439" s="19" t="str">
        <x:v>GRID24</x:v>
      </x:c>
      <x:c r="B1439" s="19" t="str">
        <x:v>GRID24_report.md</x:v>
      </x:c>
      <x:c r="C1439" s="19" t="str">
        <x:v>1. GRID24：原安全阈值触发的缓存完整搜索</x:v>
      </x:c>
      <x:c r="D1439" s="19" t="str">
        <x:v>方法=OLDNN128_GUARD；周=2035-06-25_8</x:v>
      </x:c>
      <x:c r="E1439" s="19" t="str">
        <x:v>对 FULL 成本差</x:v>
      </x:c>
      <x:c r="F1439" s="19" t="str">
        <x:v>不作成本比较</x:v>
      </x:c>
      <x:c r="G1439" s="19" t="str">
        <x:v>质量/成本</x:v>
      </x:c>
      <x:c r="H1439" s="19" t="str">
        <x:v>D:/Codex/GRL研究/outputs/grid24/GRID24_report.md</x:v>
      </x:c>
    </x:row>
    <x:row r="1440" ht="36" customHeight="1">
      <x:c r="A1440" s="19" t="str">
        <x:v>GRID24</x:v>
      </x:c>
      <x:c r="B1440" s="19" t="str">
        <x:v>GRID24_report.md</x:v>
      </x:c>
      <x:c r="C1440" s="19" t="str">
        <x:v>1. GRID24：原安全阈值触发的缓存完整搜索</x:v>
      </x:c>
      <x:c r="D1440" s="19" t="str">
        <x:v>方法=OLDNN128_GUARD；周=2035-06-25_8</x:v>
      </x:c>
      <x:c r="E1440" s="19" t="str">
        <x:v>搜索查询减少</x:v>
      </x:c>
      <x:c r="F1440" s="19" t="str">
        <x:v>39.03%</x:v>
      </x:c>
      <x:c r="G1440" s="19" t="str">
        <x:v>速度/计算</x:v>
      </x:c>
      <x:c r="H1440" s="19" t="str">
        <x:v>D:/Codex/GRL研究/outputs/grid24/GRID24_report.md</x:v>
      </x:c>
    </x:row>
    <x:row r="1441" ht="36" customHeight="1">
      <x:c r="A1441" s="19" t="str">
        <x:v>GRID24</x:v>
      </x:c>
      <x:c r="B1441" s="19" t="str">
        <x:v>GRID24_report.md</x:v>
      </x:c>
      <x:c r="C1441" s="19" t="str">
        <x:v>1. GRID24：原安全阈值触发的缓存完整搜索</x:v>
      </x:c>
      <x:c r="D1441" s="19" t="str">
        <x:v>方法=OLDNN128_GUARD；周=2035-06-25_8</x:v>
      </x:c>
      <x:c r="E1441" s="19" t="str">
        <x:v>完整搜索回退</x:v>
      </x:c>
      <x:c r="F1441" s="19" t="str">
        <x:v>3/5</x:v>
      </x:c>
      <x:c r="G1441" s="19" t="str">
        <x:v>其他/配置</x:v>
      </x:c>
      <x:c r="H1441" s="19" t="str">
        <x:v>D:/Codex/GRL研究/outputs/grid24/GRID24_report.md</x:v>
      </x:c>
    </x:row>
    <x:row r="1442" ht="36" customHeight="1">
      <x:c r="A1442" s="19" t="str">
        <x:v>GRID24</x:v>
      </x:c>
      <x:c r="B1442" s="19" t="str">
        <x:v>GRID24_report.md</x:v>
      </x:c>
      <x:c r="C1442" s="19" t="str">
        <x:v>1. GRID24：原安全阈值触发的缓存完整搜索</x:v>
      </x:c>
      <x:c r="D1442" s="19" t="str">
        <x:v>方法=OLDNN128_GUARD；周=2035-06-25_8</x:v>
      </x:c>
      <x:c r="E1442" s="19" t="str">
        <x:v>物理路径与 FULL 相同</x:v>
      </x:c>
      <x:c r="F1442" s="19" t="str">
        <x:v>True</x:v>
      </x:c>
      <x:c r="G1442" s="19" t="str">
        <x:v>其他/配置</x:v>
      </x:c>
      <x:c r="H1442" s="19" t="str">
        <x:v>D:/Codex/GRL研究/outputs/grid24/GRID24_report.md</x:v>
      </x:c>
    </x:row>
    <x:row r="1443" ht="36" customHeight="1">
      <x:c r="A1443" s="19" t="str">
        <x:v>GRID24</x:v>
      </x:c>
      <x:c r="B1443" s="19" t="str">
        <x:v>GRID24_report.md</x:v>
      </x:c>
      <x:c r="C1443" s="19" t="str">
        <x:v>1. GRID24：原安全阈值触发的缓存完整搜索</x:v>
      </x:c>
      <x:c r="D1443" s="19" t="str">
        <x:v>方法=GNN1_128_GUARD；周=2035-09-03_4</x:v>
      </x:c>
      <x:c r="E1443" s="19" t="str">
        <x:v>周</x:v>
      </x:c>
      <x:c r="F1443" s="19" t="str">
        <x:v>2035-09-03_4</x:v>
      </x:c>
      <x:c r="G1443" s="19" t="str">
        <x:v>其他/配置</x:v>
      </x:c>
      <x:c r="H1443" s="19" t="str">
        <x:v>D:/Codex/GRL研究/outputs/grid24/GRID24_report.md</x:v>
      </x:c>
    </x:row>
    <x:row r="1444" ht="36" customHeight="1">
      <x:c r="A1444" s="19" t="str">
        <x:v>GRID24</x:v>
      </x:c>
      <x:c r="B1444" s="19" t="str">
        <x:v>GRID24_report.md</x:v>
      </x:c>
      <x:c r="C1444" s="19" t="str">
        <x:v>1. GRID24：原安全阈值触发的缓存完整搜索</x:v>
      </x:c>
      <x:c r="D1444" s="19" t="str">
        <x:v>方法=GNN1_128_GUARD；周=2035-09-03_4</x:v>
      </x:c>
      <x:c r="E1444" s="19" t="str">
        <x:v>完成</x:v>
      </x:c>
      <x:c r="F1444" s="19" t="str">
        <x:v>True</x:v>
      </x:c>
      <x:c r="G1444" s="19" t="str">
        <x:v>质量/成本</x:v>
      </x:c>
      <x:c r="H1444" s="19" t="str">
        <x:v>D:/Codex/GRL研究/outputs/grid24/GRID24_report.md</x:v>
      </x:c>
    </x:row>
    <x:row r="1445" ht="36" customHeight="1">
      <x:c r="A1445" s="19" t="str">
        <x:v>GRID24</x:v>
      </x:c>
      <x:c r="B1445" s="19" t="str">
        <x:v>GRID24_report.md</x:v>
      </x:c>
      <x:c r="C1445" s="19" t="str">
        <x:v>1. GRID24：原安全阈值触发的缓存完整搜索</x:v>
      </x:c>
      <x:c r="D1445" s="19" t="str">
        <x:v>方法=GNN1_128_GUARD；周=2035-09-03_4</x:v>
      </x:c>
      <x:c r="E1445" s="19" t="str">
        <x:v>对 FULL 成本差</x:v>
      </x:c>
      <x:c r="F1445" s="19" t="str">
        <x:v>+0.0000%</x:v>
      </x:c>
      <x:c r="G1445" s="19" t="str">
        <x:v>质量/成本</x:v>
      </x:c>
      <x:c r="H1445" s="19" t="str">
        <x:v>D:/Codex/GRL研究/outputs/grid24/GRID24_report.md</x:v>
      </x:c>
    </x:row>
    <x:row r="1446" ht="36" customHeight="1">
      <x:c r="A1446" s="19" t="str">
        <x:v>GRID24</x:v>
      </x:c>
      <x:c r="B1446" s="19" t="str">
        <x:v>GRID24_report.md</x:v>
      </x:c>
      <x:c r="C1446" s="19" t="str">
        <x:v>1. GRID24：原安全阈值触发的缓存完整搜索</x:v>
      </x:c>
      <x:c r="D1446" s="19" t="str">
        <x:v>方法=GNN1_128_GUARD；周=2035-09-03_4</x:v>
      </x:c>
      <x:c r="E1446" s="19" t="str">
        <x:v>搜索查询减少</x:v>
      </x:c>
      <x:c r="F1446" s="19" t="str">
        <x:v>21.69%</x:v>
      </x:c>
      <x:c r="G1446" s="19" t="str">
        <x:v>速度/计算</x:v>
      </x:c>
      <x:c r="H1446" s="19" t="str">
        <x:v>D:/Codex/GRL研究/outputs/grid24/GRID24_report.md</x:v>
      </x:c>
    </x:row>
    <x:row r="1447" ht="36" customHeight="1">
      <x:c r="A1447" s="19" t="str">
        <x:v>GRID24</x:v>
      </x:c>
      <x:c r="B1447" s="19" t="str">
        <x:v>GRID24_report.md</x:v>
      </x:c>
      <x:c r="C1447" s="19" t="str">
        <x:v>1. GRID24：原安全阈值触发的缓存完整搜索</x:v>
      </x:c>
      <x:c r="D1447" s="19" t="str">
        <x:v>方法=GNN1_128_GUARD；周=2035-09-03_4</x:v>
      </x:c>
      <x:c r="E1447" s="19" t="str">
        <x:v>完整搜索回退</x:v>
      </x:c>
      <x:c r="F1447" s="19" t="str">
        <x:v>6/8</x:v>
      </x:c>
      <x:c r="G1447" s="19" t="str">
        <x:v>其他/配置</x:v>
      </x:c>
      <x:c r="H1447" s="19" t="str">
        <x:v>D:/Codex/GRL研究/outputs/grid24/GRID24_report.md</x:v>
      </x:c>
    </x:row>
    <x:row r="1448" ht="36" customHeight="1">
      <x:c r="A1448" s="19" t="str">
        <x:v>GRID24</x:v>
      </x:c>
      <x:c r="B1448" s="19" t="str">
        <x:v>GRID24_report.md</x:v>
      </x:c>
      <x:c r="C1448" s="19" t="str">
        <x:v>1. GRID24：原安全阈值触发的缓存完整搜索</x:v>
      </x:c>
      <x:c r="D1448" s="19" t="str">
        <x:v>方法=GNN1_128_GUARD；周=2035-09-03_4</x:v>
      </x:c>
      <x:c r="E1448" s="19" t="str">
        <x:v>物理路径与 FULL 相同</x:v>
      </x:c>
      <x:c r="F1448" s="19" t="str">
        <x:v>True</x:v>
      </x:c>
      <x:c r="G1448" s="19" t="str">
        <x:v>其他/配置</x:v>
      </x:c>
      <x:c r="H1448" s="19" t="str">
        <x:v>D:/Codex/GRL研究/outputs/grid24/GRID24_report.md</x:v>
      </x:c>
    </x:row>
    <x:row r="1449" ht="36" customHeight="1">
      <x:c r="A1449" s="19" t="str">
        <x:v>GRID24</x:v>
      </x:c>
      <x:c r="B1449" s="19" t="str">
        <x:v>GRID24_report.md</x:v>
      </x:c>
      <x:c r="C1449" s="19" t="str">
        <x:v>1. GRID24：原安全阈值触发的缓存完整搜索</x:v>
      </x:c>
      <x:c r="D1449" s="19" t="str">
        <x:v>方法=OLDNN128_GUARD；周=2035-09-03_4</x:v>
      </x:c>
      <x:c r="E1449" s="19" t="str">
        <x:v>周</x:v>
      </x:c>
      <x:c r="F1449" s="19" t="str">
        <x:v>2035-09-03_4</x:v>
      </x:c>
      <x:c r="G1449" s="19" t="str">
        <x:v>其他/配置</x:v>
      </x:c>
      <x:c r="H1449" s="19" t="str">
        <x:v>D:/Codex/GRL研究/outputs/grid24/GRID24_report.md</x:v>
      </x:c>
    </x:row>
    <x:row r="1450" ht="36" customHeight="1">
      <x:c r="A1450" s="19" t="str">
        <x:v>GRID24</x:v>
      </x:c>
      <x:c r="B1450" s="19" t="str">
        <x:v>GRID24_report.md</x:v>
      </x:c>
      <x:c r="C1450" s="19" t="str">
        <x:v>1. GRID24：原安全阈值触发的缓存完整搜索</x:v>
      </x:c>
      <x:c r="D1450" s="19" t="str">
        <x:v>方法=OLDNN128_GUARD；周=2035-09-03_4</x:v>
      </x:c>
      <x:c r="E1450" s="19" t="str">
        <x:v>完成</x:v>
      </x:c>
      <x:c r="F1450" s="19" t="str">
        <x:v>True</x:v>
      </x:c>
      <x:c r="G1450" s="19" t="str">
        <x:v>质量/成本</x:v>
      </x:c>
      <x:c r="H1450" s="19" t="str">
        <x:v>D:/Codex/GRL研究/outputs/grid24/GRID24_report.md</x:v>
      </x:c>
    </x:row>
    <x:row r="1451" ht="36" customHeight="1">
      <x:c r="A1451" s="19" t="str">
        <x:v>GRID24</x:v>
      </x:c>
      <x:c r="B1451" s="19" t="str">
        <x:v>GRID24_report.md</x:v>
      </x:c>
      <x:c r="C1451" s="19" t="str">
        <x:v>1. GRID24：原安全阈值触发的缓存完整搜索</x:v>
      </x:c>
      <x:c r="D1451" s="19" t="str">
        <x:v>方法=OLDNN128_GUARD；周=2035-09-03_4</x:v>
      </x:c>
      <x:c r="E1451" s="19" t="str">
        <x:v>对 FULL 成本差</x:v>
      </x:c>
      <x:c r="F1451" s="19" t="str">
        <x:v>+0.0000%</x:v>
      </x:c>
      <x:c r="G1451" s="19" t="str">
        <x:v>质量/成本</x:v>
      </x:c>
      <x:c r="H1451" s="19" t="str">
        <x:v>D:/Codex/GRL研究/outputs/grid24/GRID24_report.md</x:v>
      </x:c>
    </x:row>
    <x:row r="1452" ht="36" customHeight="1">
      <x:c r="A1452" s="19" t="str">
        <x:v>GRID24</x:v>
      </x:c>
      <x:c r="B1452" s="19" t="str">
        <x:v>GRID24_report.md</x:v>
      </x:c>
      <x:c r="C1452" s="19" t="str">
        <x:v>1. GRID24：原安全阈值触发的缓存完整搜索</x:v>
      </x:c>
      <x:c r="D1452" s="19" t="str">
        <x:v>方法=OLDNN128_GUARD；周=2035-09-03_4</x:v>
      </x:c>
      <x:c r="E1452" s="19" t="str">
        <x:v>搜索查询减少</x:v>
      </x:c>
      <x:c r="F1452" s="19" t="str">
        <x:v>21.69%</x:v>
      </x:c>
      <x:c r="G1452" s="19" t="str">
        <x:v>速度/计算</x:v>
      </x:c>
      <x:c r="H1452" s="19" t="str">
        <x:v>D:/Codex/GRL研究/outputs/grid24/GRID24_report.md</x:v>
      </x:c>
    </x:row>
    <x:row r="1453" ht="36" customHeight="1">
      <x:c r="A1453" s="19" t="str">
        <x:v>GRID24</x:v>
      </x:c>
      <x:c r="B1453" s="19" t="str">
        <x:v>GRID24_report.md</x:v>
      </x:c>
      <x:c r="C1453" s="19" t="str">
        <x:v>1. GRID24：原安全阈值触发的缓存完整搜索</x:v>
      </x:c>
      <x:c r="D1453" s="19" t="str">
        <x:v>方法=OLDNN128_GUARD；周=2035-09-03_4</x:v>
      </x:c>
      <x:c r="E1453" s="19" t="str">
        <x:v>完整搜索回退</x:v>
      </x:c>
      <x:c r="F1453" s="19" t="str">
        <x:v>6/8</x:v>
      </x:c>
      <x:c r="G1453" s="19" t="str">
        <x:v>其他/配置</x:v>
      </x:c>
      <x:c r="H1453" s="19" t="str">
        <x:v>D:/Codex/GRL研究/outputs/grid24/GRID24_report.md</x:v>
      </x:c>
    </x:row>
    <x:row r="1454" ht="36" customHeight="1">
      <x:c r="A1454" s="19" t="str">
        <x:v>GRID24</x:v>
      </x:c>
      <x:c r="B1454" s="19" t="str">
        <x:v>GRID24_report.md</x:v>
      </x:c>
      <x:c r="C1454" s="19" t="str">
        <x:v>1. GRID24：原安全阈值触发的缓存完整搜索</x:v>
      </x:c>
      <x:c r="D1454" s="19" t="str">
        <x:v>方法=OLDNN128_GUARD；周=2035-09-03_4</x:v>
      </x:c>
      <x:c r="E1454" s="19" t="str">
        <x:v>物理路径与 FULL 相同</x:v>
      </x:c>
      <x:c r="F1454" s="19" t="str">
        <x:v>True</x:v>
      </x:c>
      <x:c r="G1454" s="19" t="str">
        <x:v>其他/配置</x:v>
      </x:c>
      <x:c r="H1454" s="19" t="str">
        <x:v>D:/Codex/GRL研究/outputs/grid24/GRID24_report.md</x:v>
      </x:c>
    </x:row>
    <x:row r="1455" ht="36" customHeight="1">
      <x:c r="A1455" s="19" t="str">
        <x:v>GRID24</x:v>
      </x:c>
      <x:c r="B1455" s="19" t="str">
        <x:v>GRID24_report.md</x:v>
      </x:c>
      <x:c r="C1455" s="19" t="str">
        <x:v>1. GRID24：原安全阈值触发的缓存完整搜索</x:v>
      </x:c>
      <x:c r="D1455" s="19" t="str">
        <x:v>方法=GNN0_128_GUARD；周=2035-09-03_4</x:v>
      </x:c>
      <x:c r="E1455" s="19" t="str">
        <x:v>周</x:v>
      </x:c>
      <x:c r="F1455" s="19" t="str">
        <x:v>2035-09-03_4</x:v>
      </x:c>
      <x:c r="G1455" s="19" t="str">
        <x:v>其他/配置</x:v>
      </x:c>
      <x:c r="H1455" s="19" t="str">
        <x:v>D:/Codex/GRL研究/outputs/grid24/GRID24_report.md</x:v>
      </x:c>
    </x:row>
    <x:row r="1456" ht="36" customHeight="1">
      <x:c r="A1456" s="19" t="str">
        <x:v>GRID24</x:v>
      </x:c>
      <x:c r="B1456" s="19" t="str">
        <x:v>GRID24_report.md</x:v>
      </x:c>
      <x:c r="C1456" s="19" t="str">
        <x:v>1. GRID24：原安全阈值触发的缓存完整搜索</x:v>
      </x:c>
      <x:c r="D1456" s="19" t="str">
        <x:v>方法=GNN0_128_GUARD；周=2035-09-03_4</x:v>
      </x:c>
      <x:c r="E1456" s="19" t="str">
        <x:v>完成</x:v>
      </x:c>
      <x:c r="F1456" s="19" t="str">
        <x:v>True</x:v>
      </x:c>
      <x:c r="G1456" s="19" t="str">
        <x:v>质量/成本</x:v>
      </x:c>
      <x:c r="H1456" s="19" t="str">
        <x:v>D:/Codex/GRL研究/outputs/grid24/GRID24_report.md</x:v>
      </x:c>
    </x:row>
    <x:row r="1457" ht="36" customHeight="1">
      <x:c r="A1457" s="19" t="str">
        <x:v>GRID24</x:v>
      </x:c>
      <x:c r="B1457" s="19" t="str">
        <x:v>GRID24_report.md</x:v>
      </x:c>
      <x:c r="C1457" s="19" t="str">
        <x:v>1. GRID24：原安全阈值触发的缓存完整搜索</x:v>
      </x:c>
      <x:c r="D1457" s="19" t="str">
        <x:v>方法=GNN0_128_GUARD；周=2035-09-03_4</x:v>
      </x:c>
      <x:c r="E1457" s="19" t="str">
        <x:v>对 FULL 成本差</x:v>
      </x:c>
      <x:c r="F1457" s="19" t="str">
        <x:v>+0.0000%</x:v>
      </x:c>
      <x:c r="G1457" s="19" t="str">
        <x:v>质量/成本</x:v>
      </x:c>
      <x:c r="H1457" s="19" t="str">
        <x:v>D:/Codex/GRL研究/outputs/grid24/GRID24_report.md</x:v>
      </x:c>
    </x:row>
    <x:row r="1458" ht="36" customHeight="1">
      <x:c r="A1458" s="19" t="str">
        <x:v>GRID24</x:v>
      </x:c>
      <x:c r="B1458" s="19" t="str">
        <x:v>GRID24_report.md</x:v>
      </x:c>
      <x:c r="C1458" s="19" t="str">
        <x:v>1. GRID24：原安全阈值触发的缓存完整搜索</x:v>
      </x:c>
      <x:c r="D1458" s="19" t="str">
        <x:v>方法=GNN0_128_GUARD；周=2035-09-03_4</x:v>
      </x:c>
      <x:c r="E1458" s="19" t="str">
        <x:v>搜索查询减少</x:v>
      </x:c>
      <x:c r="F1458" s="19" t="str">
        <x:v>21.69%</x:v>
      </x:c>
      <x:c r="G1458" s="19" t="str">
        <x:v>速度/计算</x:v>
      </x:c>
      <x:c r="H1458" s="19" t="str">
        <x:v>D:/Codex/GRL研究/outputs/grid24/GRID24_report.md</x:v>
      </x:c>
    </x:row>
    <x:row r="1459" ht="36" customHeight="1">
      <x:c r="A1459" s="19" t="str">
        <x:v>GRID24</x:v>
      </x:c>
      <x:c r="B1459" s="19" t="str">
        <x:v>GRID24_report.md</x:v>
      </x:c>
      <x:c r="C1459" s="19" t="str">
        <x:v>1. GRID24：原安全阈值触发的缓存完整搜索</x:v>
      </x:c>
      <x:c r="D1459" s="19" t="str">
        <x:v>方法=GNN0_128_GUARD；周=2035-09-03_4</x:v>
      </x:c>
      <x:c r="E1459" s="19" t="str">
        <x:v>完整搜索回退</x:v>
      </x:c>
      <x:c r="F1459" s="19" t="str">
        <x:v>6/8</x:v>
      </x:c>
      <x:c r="G1459" s="19" t="str">
        <x:v>其他/配置</x:v>
      </x:c>
      <x:c r="H1459" s="19" t="str">
        <x:v>D:/Codex/GRL研究/outputs/grid24/GRID24_report.md</x:v>
      </x:c>
    </x:row>
    <x:row r="1460" ht="36" customHeight="1">
      <x:c r="A1460" s="19" t="str">
        <x:v>GRID24</x:v>
      </x:c>
      <x:c r="B1460" s="19" t="str">
        <x:v>GRID24_report.md</x:v>
      </x:c>
      <x:c r="C1460" s="19" t="str">
        <x:v>1. GRID24：原安全阈值触发的缓存完整搜索</x:v>
      </x:c>
      <x:c r="D1460" s="19" t="str">
        <x:v>方法=GNN0_128_GUARD；周=2035-09-03_4</x:v>
      </x:c>
      <x:c r="E1460" s="19" t="str">
        <x:v>物理路径与 FULL 相同</x:v>
      </x:c>
      <x:c r="F1460" s="19" t="str">
        <x:v>True</x:v>
      </x:c>
      <x:c r="G1460" s="19" t="str">
        <x:v>其他/配置</x:v>
      </x:c>
      <x:c r="H1460" s="19" t="str">
        <x:v>D:/Codex/GRL研究/outputs/grid24/GRID24_report.md</x:v>
      </x:c>
    </x:row>
    <x:row r="1461" ht="36" customHeight="1">
      <x:c r="A1461" s="19" t="str">
        <x:v>GRID24</x:v>
      </x:c>
      <x:c r="B1461" s="19" t="str">
        <x:v>GRID24_report.md</x:v>
      </x:c>
      <x:c r="C1461" s="19" t="str">
        <x:v>1. GRID24：原安全阈值触发的缓存完整搜索</x:v>
      </x:c>
      <x:c r="D1461" s="19" t="str">
        <x:v>方法=OLDNN128_GUARD；周=2035-10-01_5</x:v>
      </x:c>
      <x:c r="E1461" s="19" t="str">
        <x:v>周</x:v>
      </x:c>
      <x:c r="F1461" s="19" t="str">
        <x:v>2035-10-01_5</x:v>
      </x:c>
      <x:c r="G1461" s="19" t="str">
        <x:v>其他/配置</x:v>
      </x:c>
      <x:c r="H1461" s="19" t="str">
        <x:v>D:/Codex/GRL研究/outputs/grid24/GRID24_report.md</x:v>
      </x:c>
    </x:row>
    <x:row r="1462" ht="36" customHeight="1">
      <x:c r="A1462" s="19" t="str">
        <x:v>GRID24</x:v>
      </x:c>
      <x:c r="B1462" s="19" t="str">
        <x:v>GRID24_report.md</x:v>
      </x:c>
      <x:c r="C1462" s="19" t="str">
        <x:v>1. GRID24：原安全阈值触发的缓存完整搜索</x:v>
      </x:c>
      <x:c r="D1462" s="19" t="str">
        <x:v>方法=OLDNN128_GUARD；周=2035-10-01_5</x:v>
      </x:c>
      <x:c r="E1462" s="19" t="str">
        <x:v>完成</x:v>
      </x:c>
      <x:c r="F1462" s="19" t="str">
        <x:v>True</x:v>
      </x:c>
      <x:c r="G1462" s="19" t="str">
        <x:v>质量/成本</x:v>
      </x:c>
      <x:c r="H1462" s="19" t="str">
        <x:v>D:/Codex/GRL研究/outputs/grid24/GRID24_report.md</x:v>
      </x:c>
    </x:row>
    <x:row r="1463" ht="36" customHeight="1">
      <x:c r="A1463" s="19" t="str">
        <x:v>GRID24</x:v>
      </x:c>
      <x:c r="B1463" s="19" t="str">
        <x:v>GRID24_report.md</x:v>
      </x:c>
      <x:c r="C1463" s="19" t="str">
        <x:v>1. GRID24：原安全阈值触发的缓存完整搜索</x:v>
      </x:c>
      <x:c r="D1463" s="19" t="str">
        <x:v>方法=OLDNN128_GUARD；周=2035-10-01_5</x:v>
      </x:c>
      <x:c r="E1463" s="19" t="str">
        <x:v>对 FULL 成本差</x:v>
      </x:c>
      <x:c r="F1463" s="19" t="str">
        <x:v>+0.0000%</x:v>
      </x:c>
      <x:c r="G1463" s="19" t="str">
        <x:v>质量/成本</x:v>
      </x:c>
      <x:c r="H1463" s="19" t="str">
        <x:v>D:/Codex/GRL研究/outputs/grid24/GRID24_report.md</x:v>
      </x:c>
    </x:row>
    <x:row r="1464" ht="36" customHeight="1">
      <x:c r="A1464" s="19" t="str">
        <x:v>GRID24</x:v>
      </x:c>
      <x:c r="B1464" s="19" t="str">
        <x:v>GRID24_report.md</x:v>
      </x:c>
      <x:c r="C1464" s="19" t="str">
        <x:v>1. GRID24：原安全阈值触发的缓存完整搜索</x:v>
      </x:c>
      <x:c r="D1464" s="19" t="str">
        <x:v>方法=OLDNN128_GUARD；周=2035-10-01_5</x:v>
      </x:c>
      <x:c r="E1464" s="19" t="str">
        <x:v>搜索查询减少</x:v>
      </x:c>
      <x:c r="F1464" s="19" t="str">
        <x:v>85.91%</x:v>
      </x:c>
      <x:c r="G1464" s="19" t="str">
        <x:v>速度/计算</x:v>
      </x:c>
      <x:c r="H1464" s="19" t="str">
        <x:v>D:/Codex/GRL研究/outputs/grid24/GRID24_report.md</x:v>
      </x:c>
    </x:row>
    <x:row r="1465" ht="36" customHeight="1">
      <x:c r="A1465" s="19" t="str">
        <x:v>GRID24</x:v>
      </x:c>
      <x:c r="B1465" s="19" t="str">
        <x:v>GRID24_report.md</x:v>
      </x:c>
      <x:c r="C1465" s="19" t="str">
        <x:v>1. GRID24：原安全阈值触发的缓存完整搜索</x:v>
      </x:c>
      <x:c r="D1465" s="19" t="str">
        <x:v>方法=OLDNN128_GUARD；周=2035-10-01_5</x:v>
      </x:c>
      <x:c r="E1465" s="19" t="str">
        <x:v>完整搜索回退</x:v>
      </x:c>
      <x:c r="F1465" s="19" t="str">
        <x:v>0/2</x:v>
      </x:c>
      <x:c r="G1465" s="19" t="str">
        <x:v>其他/配置</x:v>
      </x:c>
      <x:c r="H1465" s="19" t="str">
        <x:v>D:/Codex/GRL研究/outputs/grid24/GRID24_report.md</x:v>
      </x:c>
    </x:row>
    <x:row r="1466" ht="36" customHeight="1">
      <x:c r="A1466" s="19" t="str">
        <x:v>GRID24</x:v>
      </x:c>
      <x:c r="B1466" s="19" t="str">
        <x:v>GRID24_report.md</x:v>
      </x:c>
      <x:c r="C1466" s="19" t="str">
        <x:v>1. GRID24：原安全阈值触发的缓存完整搜索</x:v>
      </x:c>
      <x:c r="D1466" s="19" t="str">
        <x:v>方法=OLDNN128_GUARD；周=2035-10-01_5</x:v>
      </x:c>
      <x:c r="E1466" s="19" t="str">
        <x:v>物理路径与 FULL 相同</x:v>
      </x:c>
      <x:c r="F1466" s="19" t="str">
        <x:v>True</x:v>
      </x:c>
      <x:c r="G1466" s="19" t="str">
        <x:v>其他/配置</x:v>
      </x:c>
      <x:c r="H1466" s="19" t="str">
        <x:v>D:/Codex/GRL研究/outputs/grid24/GRID24_report.md</x:v>
      </x:c>
    </x:row>
    <x:row r="1467" ht="36" customHeight="1">
      <x:c r="A1467" s="19" t="str">
        <x:v>GRID24</x:v>
      </x:c>
      <x:c r="B1467" s="19" t="str">
        <x:v>GRID24_report.md</x:v>
      </x:c>
      <x:c r="C1467" s="19" t="str">
        <x:v>1. GRID24：原安全阈值触发的缓存完整搜索</x:v>
      </x:c>
      <x:c r="D1467" s="19" t="str">
        <x:v>方法=GNN0_128_GUARD；周=2035-10-01_5</x:v>
      </x:c>
      <x:c r="E1467" s="19" t="str">
        <x:v>周</x:v>
      </x:c>
      <x:c r="F1467" s="19" t="str">
        <x:v>2035-10-01_5</x:v>
      </x:c>
      <x:c r="G1467" s="19" t="str">
        <x:v>其他/配置</x:v>
      </x:c>
      <x:c r="H1467" s="19" t="str">
        <x:v>D:/Codex/GRL研究/outputs/grid24/GRID24_report.md</x:v>
      </x:c>
    </x:row>
    <x:row r="1468" ht="36" customHeight="1">
      <x:c r="A1468" s="19" t="str">
        <x:v>GRID24</x:v>
      </x:c>
      <x:c r="B1468" s="19" t="str">
        <x:v>GRID24_report.md</x:v>
      </x:c>
      <x:c r="C1468" s="19" t="str">
        <x:v>1. GRID24：原安全阈值触发的缓存完整搜索</x:v>
      </x:c>
      <x:c r="D1468" s="19" t="str">
        <x:v>方法=GNN0_128_GUARD；周=2035-10-01_5</x:v>
      </x:c>
      <x:c r="E1468" s="19" t="str">
        <x:v>完成</x:v>
      </x:c>
      <x:c r="F1468" s="19" t="str">
        <x:v>True</x:v>
      </x:c>
      <x:c r="G1468" s="19" t="str">
        <x:v>质量/成本</x:v>
      </x:c>
      <x:c r="H1468" s="19" t="str">
        <x:v>D:/Codex/GRL研究/outputs/grid24/GRID24_report.md</x:v>
      </x:c>
    </x:row>
    <x:row r="1469" ht="36" customHeight="1">
      <x:c r="A1469" s="19" t="str">
        <x:v>GRID24</x:v>
      </x:c>
      <x:c r="B1469" s="19" t="str">
        <x:v>GRID24_report.md</x:v>
      </x:c>
      <x:c r="C1469" s="19" t="str">
        <x:v>1. GRID24：原安全阈值触发的缓存完整搜索</x:v>
      </x:c>
      <x:c r="D1469" s="19" t="str">
        <x:v>方法=GNN0_128_GUARD；周=2035-10-01_5</x:v>
      </x:c>
      <x:c r="E1469" s="19" t="str">
        <x:v>对 FULL 成本差</x:v>
      </x:c>
      <x:c r="F1469" s="19" t="str">
        <x:v>+0.0000%</x:v>
      </x:c>
      <x:c r="G1469" s="19" t="str">
        <x:v>质量/成本</x:v>
      </x:c>
      <x:c r="H1469" s="19" t="str">
        <x:v>D:/Codex/GRL研究/outputs/grid24/GRID24_report.md</x:v>
      </x:c>
    </x:row>
    <x:row r="1470" ht="36" customHeight="1">
      <x:c r="A1470" s="19" t="str">
        <x:v>GRID24</x:v>
      </x:c>
      <x:c r="B1470" s="19" t="str">
        <x:v>GRID24_report.md</x:v>
      </x:c>
      <x:c r="C1470" s="19" t="str">
        <x:v>1. GRID24：原安全阈值触发的缓存完整搜索</x:v>
      </x:c>
      <x:c r="D1470" s="19" t="str">
        <x:v>方法=GNN0_128_GUARD；周=2035-10-01_5</x:v>
      </x:c>
      <x:c r="E1470" s="19" t="str">
        <x:v>搜索查询减少</x:v>
      </x:c>
      <x:c r="F1470" s="19" t="str">
        <x:v>85.91%</x:v>
      </x:c>
      <x:c r="G1470" s="19" t="str">
        <x:v>速度/计算</x:v>
      </x:c>
      <x:c r="H1470" s="19" t="str">
        <x:v>D:/Codex/GRL研究/outputs/grid24/GRID24_report.md</x:v>
      </x:c>
    </x:row>
    <x:row r="1471" ht="36" customHeight="1">
      <x:c r="A1471" s="19" t="str">
        <x:v>GRID24</x:v>
      </x:c>
      <x:c r="B1471" s="19" t="str">
        <x:v>GRID24_report.md</x:v>
      </x:c>
      <x:c r="C1471" s="19" t="str">
        <x:v>1. GRID24：原安全阈值触发的缓存完整搜索</x:v>
      </x:c>
      <x:c r="D1471" s="19" t="str">
        <x:v>方法=GNN0_128_GUARD；周=2035-10-01_5</x:v>
      </x:c>
      <x:c r="E1471" s="19" t="str">
        <x:v>完整搜索回退</x:v>
      </x:c>
      <x:c r="F1471" s="19" t="str">
        <x:v>0/2</x:v>
      </x:c>
      <x:c r="G1471" s="19" t="str">
        <x:v>其他/配置</x:v>
      </x:c>
      <x:c r="H1471" s="19" t="str">
        <x:v>D:/Codex/GRL研究/outputs/grid24/GRID24_report.md</x:v>
      </x:c>
    </x:row>
    <x:row r="1472" ht="36" customHeight="1">
      <x:c r="A1472" s="19" t="str">
        <x:v>GRID24</x:v>
      </x:c>
      <x:c r="B1472" s="19" t="str">
        <x:v>GRID24_report.md</x:v>
      </x:c>
      <x:c r="C1472" s="19" t="str">
        <x:v>1. GRID24：原安全阈值触发的缓存完整搜索</x:v>
      </x:c>
      <x:c r="D1472" s="19" t="str">
        <x:v>方法=GNN0_128_GUARD；周=2035-10-01_5</x:v>
      </x:c>
      <x:c r="E1472" s="19" t="str">
        <x:v>物理路径与 FULL 相同</x:v>
      </x:c>
      <x:c r="F1472" s="19" t="str">
        <x:v>True</x:v>
      </x:c>
      <x:c r="G1472" s="19" t="str">
        <x:v>其他/配置</x:v>
      </x:c>
      <x:c r="H1472" s="19" t="str">
        <x:v>D:/Codex/GRL研究/outputs/grid24/GRID24_report.md</x:v>
      </x:c>
    </x:row>
    <x:row r="1473" ht="36" customHeight="1">
      <x:c r="A1473" s="19" t="str">
        <x:v>GRID24</x:v>
      </x:c>
      <x:c r="B1473" s="19" t="str">
        <x:v>GRID24_report.md</x:v>
      </x:c>
      <x:c r="C1473" s="19" t="str">
        <x:v>1. GRID24：原安全阈值触发的缓存完整搜索</x:v>
      </x:c>
      <x:c r="D1473" s="19" t="str">
        <x:v>方法=GNN1_128_GUARD；周=2035-10-01_5</x:v>
      </x:c>
      <x:c r="E1473" s="19" t="str">
        <x:v>周</x:v>
      </x:c>
      <x:c r="F1473" s="19" t="str">
        <x:v>2035-10-01_5</x:v>
      </x:c>
      <x:c r="G1473" s="19" t="str">
        <x:v>其他/配置</x:v>
      </x:c>
      <x:c r="H1473" s="19" t="str">
        <x:v>D:/Codex/GRL研究/outputs/grid24/GRID24_report.md</x:v>
      </x:c>
    </x:row>
    <x:row r="1474" ht="36" customHeight="1">
      <x:c r="A1474" s="19" t="str">
        <x:v>GRID24</x:v>
      </x:c>
      <x:c r="B1474" s="19" t="str">
        <x:v>GRID24_report.md</x:v>
      </x:c>
      <x:c r="C1474" s="19" t="str">
        <x:v>1. GRID24：原安全阈值触发的缓存完整搜索</x:v>
      </x:c>
      <x:c r="D1474" s="19" t="str">
        <x:v>方法=GNN1_128_GUARD；周=2035-10-01_5</x:v>
      </x:c>
      <x:c r="E1474" s="19" t="str">
        <x:v>完成</x:v>
      </x:c>
      <x:c r="F1474" s="19" t="str">
        <x:v>True</x:v>
      </x:c>
      <x:c r="G1474" s="19" t="str">
        <x:v>质量/成本</x:v>
      </x:c>
      <x:c r="H1474" s="19" t="str">
        <x:v>D:/Codex/GRL研究/outputs/grid24/GRID24_report.md</x:v>
      </x:c>
    </x:row>
    <x:row r="1475" ht="36" customHeight="1">
      <x:c r="A1475" s="19" t="str">
        <x:v>GRID24</x:v>
      </x:c>
      <x:c r="B1475" s="19" t="str">
        <x:v>GRID24_report.md</x:v>
      </x:c>
      <x:c r="C1475" s="19" t="str">
        <x:v>1. GRID24：原安全阈值触发的缓存完整搜索</x:v>
      </x:c>
      <x:c r="D1475" s="19" t="str">
        <x:v>方法=GNN1_128_GUARD；周=2035-10-01_5</x:v>
      </x:c>
      <x:c r="E1475" s="19" t="str">
        <x:v>对 FULL 成本差</x:v>
      </x:c>
      <x:c r="F1475" s="19" t="str">
        <x:v>+0.0000%</x:v>
      </x:c>
      <x:c r="G1475" s="19" t="str">
        <x:v>质量/成本</x:v>
      </x:c>
      <x:c r="H1475" s="19" t="str">
        <x:v>D:/Codex/GRL研究/outputs/grid24/GRID24_report.md</x:v>
      </x:c>
    </x:row>
    <x:row r="1476" ht="36" customHeight="1">
      <x:c r="A1476" s="19" t="str">
        <x:v>GRID24</x:v>
      </x:c>
      <x:c r="B1476" s="19" t="str">
        <x:v>GRID24_report.md</x:v>
      </x:c>
      <x:c r="C1476" s="19" t="str">
        <x:v>1. GRID24：原安全阈值触发的缓存完整搜索</x:v>
      </x:c>
      <x:c r="D1476" s="19" t="str">
        <x:v>方法=GNN1_128_GUARD；周=2035-10-01_5</x:v>
      </x:c>
      <x:c r="E1476" s="19" t="str">
        <x:v>搜索查询减少</x:v>
      </x:c>
      <x:c r="F1476" s="19" t="str">
        <x:v>85.91%</x:v>
      </x:c>
      <x:c r="G1476" s="19" t="str">
        <x:v>速度/计算</x:v>
      </x:c>
      <x:c r="H1476" s="19" t="str">
        <x:v>D:/Codex/GRL研究/outputs/grid24/GRID24_report.md</x:v>
      </x:c>
    </x:row>
    <x:row r="1477" ht="36" customHeight="1">
      <x:c r="A1477" s="19" t="str">
        <x:v>GRID24</x:v>
      </x:c>
      <x:c r="B1477" s="19" t="str">
        <x:v>GRID24_report.md</x:v>
      </x:c>
      <x:c r="C1477" s="19" t="str">
        <x:v>1. GRID24：原安全阈值触发的缓存完整搜索</x:v>
      </x:c>
      <x:c r="D1477" s="19" t="str">
        <x:v>方法=GNN1_128_GUARD；周=2035-10-01_5</x:v>
      </x:c>
      <x:c r="E1477" s="19" t="str">
        <x:v>完整搜索回退</x:v>
      </x:c>
      <x:c r="F1477" s="19" t="str">
        <x:v>0/2</x:v>
      </x:c>
      <x:c r="G1477" s="19" t="str">
        <x:v>其他/配置</x:v>
      </x:c>
      <x:c r="H1477" s="19" t="str">
        <x:v>D:/Codex/GRL研究/outputs/grid24/GRID24_report.md</x:v>
      </x:c>
    </x:row>
    <x:row r="1478" ht="36" customHeight="1">
      <x:c r="A1478" s="19" t="str">
        <x:v>GRID24</x:v>
      </x:c>
      <x:c r="B1478" s="19" t="str">
        <x:v>GRID24_report.md</x:v>
      </x:c>
      <x:c r="C1478" s="19" t="str">
        <x:v>1. GRID24：原安全阈值触发的缓存完整搜索</x:v>
      </x:c>
      <x:c r="D1478" s="19" t="str">
        <x:v>方法=GNN1_128_GUARD；周=2035-10-01_5</x:v>
      </x:c>
      <x:c r="E1478" s="19" t="str">
        <x:v>物理路径与 FULL 相同</x:v>
      </x:c>
      <x:c r="F1478" s="19" t="str">
        <x:v>True</x:v>
      </x:c>
      <x:c r="G1478" s="19" t="str">
        <x:v>其他/配置</x:v>
      </x:c>
      <x:c r="H1478" s="19" t="str">
        <x:v>D:/Codex/GRL研究/outputs/grid24/GRID24_report.md</x:v>
      </x:c>
    </x:row>
    <x:row r="1479" ht="36" customHeight="1">
      <x:c r="A1479" s="19" t="str">
        <x:v>GRID24</x:v>
      </x:c>
      <x:c r="B1479" s="19" t="str">
        <x:v>GRID24_pilot_report.md</x:v>
      </x:c>
      <x:c r="C1479" s="19" t="str">
        <x:v>1. GRID24：原安全阈值触发的缓存完整搜索</x:v>
      </x:c>
      <x:c r="D1479" s="19" t="str">
        <x:v>方法=GNN0_128_GUARD；周=2035-03-05_0</x:v>
      </x:c>
      <x:c r="E1479" s="19" t="str">
        <x:v>周</x:v>
      </x:c>
      <x:c r="F1479" s="19" t="str">
        <x:v>2035-03-05_0</x:v>
      </x:c>
      <x:c r="G1479" s="19" t="str">
        <x:v>其他/配置</x:v>
      </x:c>
      <x:c r="H1479" s="19" t="str">
        <x:v>D:/Codex/GRL研究/outputs/grid24/GRID24_pilot_report.md</x:v>
      </x:c>
    </x:row>
    <x:row r="1480" ht="36" customHeight="1">
      <x:c r="A1480" s="19" t="str">
        <x:v>GRID24</x:v>
      </x:c>
      <x:c r="B1480" s="19" t="str">
        <x:v>GRID24_pilot_report.md</x:v>
      </x:c>
      <x:c r="C1480" s="19" t="str">
        <x:v>1. GRID24：原安全阈值触发的缓存完整搜索</x:v>
      </x:c>
      <x:c r="D1480" s="19" t="str">
        <x:v>方法=GNN0_128_GUARD；周=2035-03-05_0</x:v>
      </x:c>
      <x:c r="E1480" s="19" t="str">
        <x:v>完成</x:v>
      </x:c>
      <x:c r="F1480" s="19" t="str">
        <x:v>True</x:v>
      </x:c>
      <x:c r="G1480" s="19" t="str">
        <x:v>质量/成本</x:v>
      </x:c>
      <x:c r="H1480" s="19" t="str">
        <x:v>D:/Codex/GRL研究/outputs/grid24/GRID24_pilot_report.md</x:v>
      </x:c>
    </x:row>
    <x:row r="1481" ht="36" customHeight="1">
      <x:c r="A1481" s="19" t="str">
        <x:v>GRID24</x:v>
      </x:c>
      <x:c r="B1481" s="19" t="str">
        <x:v>GRID24_pilot_report.md</x:v>
      </x:c>
      <x:c r="C1481" s="19" t="str">
        <x:v>1. GRID24：原安全阈值触发的缓存完整搜索</x:v>
      </x:c>
      <x:c r="D1481" s="19" t="str">
        <x:v>方法=GNN0_128_GUARD；周=2035-03-05_0</x:v>
      </x:c>
      <x:c r="E1481" s="19" t="str">
        <x:v>对 FULL 成本差</x:v>
      </x:c>
      <x:c r="F1481" s="19" t="str">
        <x:v>+0.0000%</x:v>
      </x:c>
      <x:c r="G1481" s="19" t="str">
        <x:v>质量/成本</x:v>
      </x:c>
      <x:c r="H1481" s="19" t="str">
        <x:v>D:/Codex/GRL研究/outputs/grid24/GRID24_pilot_report.md</x:v>
      </x:c>
    </x:row>
    <x:row r="1482" ht="36" customHeight="1">
      <x:c r="A1482" s="19" t="str">
        <x:v>GRID24</x:v>
      </x:c>
      <x:c r="B1482" s="19" t="str">
        <x:v>GRID24_pilot_report.md</x:v>
      </x:c>
      <x:c r="C1482" s="19" t="str">
        <x:v>1. GRID24：原安全阈值触发的缓存完整搜索</x:v>
      </x:c>
      <x:c r="D1482" s="19" t="str">
        <x:v>方法=GNN0_128_GUARD；周=2035-03-05_0</x:v>
      </x:c>
      <x:c r="E1482" s="19" t="str">
        <x:v>搜索查询减少</x:v>
      </x:c>
      <x:c r="F1482" s="19" t="str">
        <x:v>31.52%</x:v>
      </x:c>
      <x:c r="G1482" s="19" t="str">
        <x:v>速度/计算</x:v>
      </x:c>
      <x:c r="H1482" s="19" t="str">
        <x:v>D:/Codex/GRL研究/outputs/grid24/GRID24_pilot_report.md</x:v>
      </x:c>
    </x:row>
    <x:row r="1483" ht="36" customHeight="1">
      <x:c r="A1483" s="19" t="str">
        <x:v>GRID24</x:v>
      </x:c>
      <x:c r="B1483" s="19" t="str">
        <x:v>GRID24_pilot_report.md</x:v>
      </x:c>
      <x:c r="C1483" s="19" t="str">
        <x:v>1. GRID24：原安全阈值触发的缓存完整搜索</x:v>
      </x:c>
      <x:c r="D1483" s="19" t="str">
        <x:v>方法=GNN0_128_GUARD；周=2035-03-05_0</x:v>
      </x:c>
      <x:c r="E1483" s="19" t="str">
        <x:v>完整搜索回退</x:v>
      </x:c>
      <x:c r="F1483" s="19" t="str">
        <x:v>7/11</x:v>
      </x:c>
      <x:c r="G1483" s="19" t="str">
        <x:v>其他/配置</x:v>
      </x:c>
      <x:c r="H1483" s="19" t="str">
        <x:v>D:/Codex/GRL研究/outputs/grid24/GRID24_pilot_report.md</x:v>
      </x:c>
    </x:row>
    <x:row r="1484" ht="36" customHeight="1">
      <x:c r="A1484" s="19" t="str">
        <x:v>GRID24</x:v>
      </x:c>
      <x:c r="B1484" s="19" t="str">
        <x:v>GRID24_pilot_report.md</x:v>
      </x:c>
      <x:c r="C1484" s="19" t="str">
        <x:v>1. GRID24：原安全阈值触发的缓存完整搜索</x:v>
      </x:c>
      <x:c r="D1484" s="19" t="str">
        <x:v>方法=GNN0_128_GUARD；周=2035-03-05_0</x:v>
      </x:c>
      <x:c r="E1484" s="19" t="str">
        <x:v>物理路径与 FULL 相同</x:v>
      </x:c>
      <x:c r="F1484" s="19" t="str">
        <x:v>True</x:v>
      </x:c>
      <x:c r="G1484" s="19" t="str">
        <x:v>其他/配置</x:v>
      </x:c>
      <x:c r="H1484" s="19" t="str">
        <x:v>D:/Codex/GRL研究/outputs/grid24/GRID24_pilot_report.md</x:v>
      </x:c>
    </x:row>
    <x:row r="1485" ht="36" customHeight="1">
      <x:c r="A1485" s="19" t="str">
        <x:v>GRID24</x:v>
      </x:c>
      <x:c r="B1485" s="19" t="str">
        <x:v>GRID24_pilot_report.md</x:v>
      </x:c>
      <x:c r="C1485" s="19" t="str">
        <x:v>1. GRID24：原安全阈值触发的缓存完整搜索</x:v>
      </x:c>
      <x:c r="D1485" s="19" t="str">
        <x:v>方法=GNN1_128_GUARD；周=2035-03-05_0</x:v>
      </x:c>
      <x:c r="E1485" s="19" t="str">
        <x:v>周</x:v>
      </x:c>
      <x:c r="F1485" s="19" t="str">
        <x:v>2035-03-05_0</x:v>
      </x:c>
      <x:c r="G1485" s="19" t="str">
        <x:v>其他/配置</x:v>
      </x:c>
      <x:c r="H1485" s="19" t="str">
        <x:v>D:/Codex/GRL研究/outputs/grid24/GRID24_pilot_report.md</x:v>
      </x:c>
    </x:row>
    <x:row r="1486" ht="36" customHeight="1">
      <x:c r="A1486" s="19" t="str">
        <x:v>GRID24</x:v>
      </x:c>
      <x:c r="B1486" s="19" t="str">
        <x:v>GRID24_pilot_report.md</x:v>
      </x:c>
      <x:c r="C1486" s="19" t="str">
        <x:v>1. GRID24：原安全阈值触发的缓存完整搜索</x:v>
      </x:c>
      <x:c r="D1486" s="19" t="str">
        <x:v>方法=GNN1_128_GUARD；周=2035-03-05_0</x:v>
      </x:c>
      <x:c r="E1486" s="19" t="str">
        <x:v>完成</x:v>
      </x:c>
      <x:c r="F1486" s="19" t="str">
        <x:v>True</x:v>
      </x:c>
      <x:c r="G1486" s="19" t="str">
        <x:v>质量/成本</x:v>
      </x:c>
      <x:c r="H1486" s="19" t="str">
        <x:v>D:/Codex/GRL研究/outputs/grid24/GRID24_pilot_report.md</x:v>
      </x:c>
    </x:row>
    <x:row r="1487" ht="36" customHeight="1">
      <x:c r="A1487" s="19" t="str">
        <x:v>GRID24</x:v>
      </x:c>
      <x:c r="B1487" s="19" t="str">
        <x:v>GRID24_pilot_report.md</x:v>
      </x:c>
      <x:c r="C1487" s="19" t="str">
        <x:v>1. GRID24：原安全阈值触发的缓存完整搜索</x:v>
      </x:c>
      <x:c r="D1487" s="19" t="str">
        <x:v>方法=GNN1_128_GUARD；周=2035-03-05_0</x:v>
      </x:c>
      <x:c r="E1487" s="19" t="str">
        <x:v>对 FULL 成本差</x:v>
      </x:c>
      <x:c r="F1487" s="19" t="str">
        <x:v>+0.0000%</x:v>
      </x:c>
      <x:c r="G1487" s="19" t="str">
        <x:v>质量/成本</x:v>
      </x:c>
      <x:c r="H1487" s="19" t="str">
        <x:v>D:/Codex/GRL研究/outputs/grid24/GRID24_pilot_report.md</x:v>
      </x:c>
    </x:row>
    <x:row r="1488" ht="36" customHeight="1">
      <x:c r="A1488" s="19" t="str">
        <x:v>GRID24</x:v>
      </x:c>
      <x:c r="B1488" s="19" t="str">
        <x:v>GRID24_pilot_report.md</x:v>
      </x:c>
      <x:c r="C1488" s="19" t="str">
        <x:v>1. GRID24：原安全阈值触发的缓存完整搜索</x:v>
      </x:c>
      <x:c r="D1488" s="19" t="str">
        <x:v>方法=GNN1_128_GUARD；周=2035-03-05_0</x:v>
      </x:c>
      <x:c r="E1488" s="19" t="str">
        <x:v>搜索查询减少</x:v>
      </x:c>
      <x:c r="F1488" s="19" t="str">
        <x:v>31.52%</x:v>
      </x:c>
      <x:c r="G1488" s="19" t="str">
        <x:v>速度/计算</x:v>
      </x:c>
      <x:c r="H1488" s="19" t="str">
        <x:v>D:/Codex/GRL研究/outputs/grid24/GRID24_pilot_report.md</x:v>
      </x:c>
    </x:row>
    <x:row r="1489" ht="36" customHeight="1">
      <x:c r="A1489" s="19" t="str">
        <x:v>GRID24</x:v>
      </x:c>
      <x:c r="B1489" s="19" t="str">
        <x:v>GRID24_pilot_report.md</x:v>
      </x:c>
      <x:c r="C1489" s="19" t="str">
        <x:v>1. GRID24：原安全阈值触发的缓存完整搜索</x:v>
      </x:c>
      <x:c r="D1489" s="19" t="str">
        <x:v>方法=GNN1_128_GUARD；周=2035-03-05_0</x:v>
      </x:c>
      <x:c r="E1489" s="19" t="str">
        <x:v>完整搜索回退</x:v>
      </x:c>
      <x:c r="F1489" s="19" t="str">
        <x:v>7/11</x:v>
      </x:c>
      <x:c r="G1489" s="19" t="str">
        <x:v>其他/配置</x:v>
      </x:c>
      <x:c r="H1489" s="19" t="str">
        <x:v>D:/Codex/GRL研究/outputs/grid24/GRID24_pilot_report.md</x:v>
      </x:c>
    </x:row>
    <x:row r="1490" ht="36" customHeight="1">
      <x:c r="A1490" s="19" t="str">
        <x:v>GRID24</x:v>
      </x:c>
      <x:c r="B1490" s="19" t="str">
        <x:v>GRID24_pilot_report.md</x:v>
      </x:c>
      <x:c r="C1490" s="19" t="str">
        <x:v>1. GRID24：原安全阈值触发的缓存完整搜索</x:v>
      </x:c>
      <x:c r="D1490" s="19" t="str">
        <x:v>方法=GNN1_128_GUARD；周=2035-03-05_0</x:v>
      </x:c>
      <x:c r="E1490" s="19" t="str">
        <x:v>物理路径与 FULL 相同</x:v>
      </x:c>
      <x:c r="F1490" s="19" t="str">
        <x:v>True</x:v>
      </x:c>
      <x:c r="G1490" s="19" t="str">
        <x:v>其他/配置</x:v>
      </x:c>
      <x:c r="H1490" s="19" t="str">
        <x:v>D:/Codex/GRL研究/outputs/grid24/GRID24_pilot_report.md</x:v>
      </x:c>
    </x:row>
    <x:row r="1491" ht="36" customHeight="1">
      <x:c r="A1491" s="19" t="str">
        <x:v>GRID25</x:v>
      </x:c>
      <x:c r="B1491" s="19" t="str">
        <x:v>GRID25_pilot_report.md</x:v>
      </x:c>
      <x:c r="C1491" s="19" t="str">
        <x:v>1. GRID25：统一串行计时</x:v>
      </x:c>
      <x:c r="D1491" s="19" t="str">
        <x:v>方法=FULL；运行数=1</x:v>
      </x:c>
      <x:c r="E1491" s="19" t="str">
        <x:v>运行数</x:v>
      </x:c>
      <x:c r="F1491" s="19" t="str">
        <x:v>1</x:v>
      </x:c>
      <x:c r="G1491" s="19" t="str">
        <x:v>其他/配置</x:v>
      </x:c>
      <x:c r="H1491" s="19" t="str">
        <x:v>D:/Codex/GRL研究/outputs/grid25/GRID25_pilot_report.md</x:v>
      </x:c>
    </x:row>
    <x:row r="1492" ht="36" customHeight="1">
      <x:c r="A1492" s="19" t="str">
        <x:v>GRID25</x:v>
      </x:c>
      <x:c r="B1492" s="19" t="str">
        <x:v>GRID25_pilot_report.md</x:v>
      </x:c>
      <x:c r="C1492" s="19" t="str">
        <x:v>1. GRID25：统一串行计时</x:v>
      </x:c>
      <x:c r="D1492" s="19" t="str">
        <x:v>方法=FULL；运行数=1</x:v>
      </x:c>
      <x:c r="E1492" s="19" t="str">
        <x:v>总控制时间减少</x:v>
      </x:c>
      <x:c r="F1492" s="19" t="str">
        <x:v>+0.00%</x:v>
      </x:c>
      <x:c r="G1492" s="19" t="str">
        <x:v>速度/计算</x:v>
      </x:c>
      <x:c r="H1492" s="19" t="str">
        <x:v>D:/Codex/GRL研究/outputs/grid25/GRID25_pilot_report.md</x:v>
      </x:c>
    </x:row>
    <x:row r="1493" ht="36" customHeight="1">
      <x:c r="A1493" s="19" t="str">
        <x:v>GRID25</x:v>
      </x:c>
      <x:c r="B1493" s="19" t="str">
        <x:v>GRID25_pilot_report.md</x:v>
      </x:c>
      <x:c r="C1493" s="19" t="str">
        <x:v>1. GRID25：统一串行计时</x:v>
      </x:c>
      <x:c r="D1493" s="19" t="str">
        <x:v>方法=FULL；运行数=1</x:v>
      </x:c>
      <x:c r="E1493" s="19" t="str">
        <x:v>搜索时间减少</x:v>
      </x:c>
      <x:c r="F1493" s="19" t="str">
        <x:v>+0.00%</x:v>
      </x:c>
      <x:c r="G1493" s="19" t="str">
        <x:v>速度/计算</x:v>
      </x:c>
      <x:c r="H1493" s="19" t="str">
        <x:v>D:/Codex/GRL研究/outputs/grid25/GRID25_pilot_report.md</x:v>
      </x:c>
    </x:row>
    <x:row r="1494" ht="36" customHeight="1">
      <x:c r="A1494" s="19" t="str">
        <x:v>GRID25</x:v>
      </x:c>
      <x:c r="B1494" s="19" t="str">
        <x:v>GRID25_pilot_report.md</x:v>
      </x:c>
      <x:c r="C1494" s="19" t="str">
        <x:v>1. GRID25：统一串行计时</x:v>
      </x:c>
      <x:c r="D1494" s="19" t="str">
        <x:v>方法=FULL；运行数=1</x:v>
      </x:c>
      <x:c r="E1494" s="19" t="str">
        <x:v>搜索查询减少</x:v>
      </x:c>
      <x:c r="F1494" s="19" t="str">
        <x:v>0.00%</x:v>
      </x:c>
      <x:c r="G1494" s="19" t="str">
        <x:v>速度/计算</x:v>
      </x:c>
      <x:c r="H1494" s="19" t="str">
        <x:v>D:/Codex/GRL研究/outputs/grid25/GRID25_pilot_report.md</x:v>
      </x:c>
    </x:row>
    <x:row r="1495" ht="36" customHeight="1">
      <x:c r="A1495" s="19" t="str">
        <x:v>GRID25</x:v>
      </x:c>
      <x:c r="B1495" s="19" t="str">
        <x:v>GRID25_pilot_report.md</x:v>
      </x:c>
      <x:c r="C1495" s="19" t="str">
        <x:v>1. GRID25：统一串行计时</x:v>
      </x:c>
      <x:c r="D1495" s="19" t="str">
        <x:v>方法=FULL；运行数=1</x:v>
      </x:c>
      <x:c r="E1495" s="19" t="str">
        <x:v>质量路径相同</x:v>
      </x:c>
      <x:c r="F1495" s="19" t="str">
        <x:v>True</x:v>
      </x:c>
      <x:c r="G1495" s="19" t="str">
        <x:v>质量/成本</x:v>
      </x:c>
      <x:c r="H1495" s="19" t="str">
        <x:v>D:/Codex/GRL研究/outputs/grid25/GRID25_pilot_report.md</x:v>
      </x:c>
    </x:row>
    <x:row r="1496" ht="36" customHeight="1">
      <x:c r="A1496" s="19" t="str">
        <x:v>GRID25</x:v>
      </x:c>
      <x:c r="B1496" s="19" t="str">
        <x:v>GRID25_pilot_report.md</x:v>
      </x:c>
      <x:c r="C1496" s="19" t="str">
        <x:v>1. GRID25：统一串行计时</x:v>
      </x:c>
      <x:c r="D1496" s="19" t="str">
        <x:v>方法=GNN0_128_GUARD；运行数=1</x:v>
      </x:c>
      <x:c r="E1496" s="19" t="str">
        <x:v>运行数</x:v>
      </x:c>
      <x:c r="F1496" s="19" t="str">
        <x:v>1</x:v>
      </x:c>
      <x:c r="G1496" s="19" t="str">
        <x:v>其他/配置</x:v>
      </x:c>
      <x:c r="H1496" s="19" t="str">
        <x:v>D:/Codex/GRL研究/outputs/grid25/GRID25_pilot_report.md</x:v>
      </x:c>
    </x:row>
    <x:row r="1497" ht="36" customHeight="1">
      <x:c r="A1497" s="19" t="str">
        <x:v>GRID25</x:v>
      </x:c>
      <x:c r="B1497" s="19" t="str">
        <x:v>GRID25_pilot_report.md</x:v>
      </x:c>
      <x:c r="C1497" s="19" t="str">
        <x:v>1. GRID25：统一串行计时</x:v>
      </x:c>
      <x:c r="D1497" s="19" t="str">
        <x:v>方法=GNN0_128_GUARD；运行数=1</x:v>
      </x:c>
      <x:c r="E1497" s="19" t="str">
        <x:v>总控制时间减少</x:v>
      </x:c>
      <x:c r="F1497" s="19" t="str">
        <x:v>+12.67%</x:v>
      </x:c>
      <x:c r="G1497" s="19" t="str">
        <x:v>速度/计算</x:v>
      </x:c>
      <x:c r="H1497" s="19" t="str">
        <x:v>D:/Codex/GRL研究/outputs/grid25/GRID25_pilot_report.md</x:v>
      </x:c>
    </x:row>
    <x:row r="1498" ht="36" customHeight="1">
      <x:c r="A1498" s="19" t="str">
        <x:v>GRID25</x:v>
      </x:c>
      <x:c r="B1498" s="19" t="str">
        <x:v>GRID25_pilot_report.md</x:v>
      </x:c>
      <x:c r="C1498" s="19" t="str">
        <x:v>1. GRID25：统一串行计时</x:v>
      </x:c>
      <x:c r="D1498" s="19" t="str">
        <x:v>方法=GNN0_128_GUARD；运行数=1</x:v>
      </x:c>
      <x:c r="E1498" s="19" t="str">
        <x:v>搜索时间减少</x:v>
      </x:c>
      <x:c r="F1498" s="19" t="str">
        <x:v>+24.63%</x:v>
      </x:c>
      <x:c r="G1498" s="19" t="str">
        <x:v>速度/计算</x:v>
      </x:c>
      <x:c r="H1498" s="19" t="str">
        <x:v>D:/Codex/GRL研究/outputs/grid25/GRID25_pilot_report.md</x:v>
      </x:c>
    </x:row>
    <x:row r="1499" ht="36" customHeight="1">
      <x:c r="A1499" s="19" t="str">
        <x:v>GRID25</x:v>
      </x:c>
      <x:c r="B1499" s="19" t="str">
        <x:v>GRID25_pilot_report.md</x:v>
      </x:c>
      <x:c r="C1499" s="19" t="str">
        <x:v>1. GRID25：统一串行计时</x:v>
      </x:c>
      <x:c r="D1499" s="19" t="str">
        <x:v>方法=GNN0_128_GUARD；运行数=1</x:v>
      </x:c>
      <x:c r="E1499" s="19" t="str">
        <x:v>搜索查询减少</x:v>
      </x:c>
      <x:c r="F1499" s="19" t="str">
        <x:v>31.52%</x:v>
      </x:c>
      <x:c r="G1499" s="19" t="str">
        <x:v>速度/计算</x:v>
      </x:c>
      <x:c r="H1499" s="19" t="str">
        <x:v>D:/Codex/GRL研究/outputs/grid25/GRID25_pilot_report.md</x:v>
      </x:c>
    </x:row>
    <x:row r="1500" ht="36" customHeight="1">
      <x:c r="A1500" s="19" t="str">
        <x:v>GRID25</x:v>
      </x:c>
      <x:c r="B1500" s="19" t="str">
        <x:v>GRID25_pilot_report.md</x:v>
      </x:c>
      <x:c r="C1500" s="19" t="str">
        <x:v>1. GRID25：统一串行计时</x:v>
      </x:c>
      <x:c r="D1500" s="19" t="str">
        <x:v>方法=GNN0_128_GUARD；运行数=1</x:v>
      </x:c>
      <x:c r="E1500" s="19" t="str">
        <x:v>质量路径相同</x:v>
      </x:c>
      <x:c r="F1500" s="19" t="str">
        <x:v>True</x:v>
      </x:c>
      <x:c r="G1500" s="19" t="str">
        <x:v>质量/成本</x:v>
      </x:c>
      <x:c r="H1500" s="19" t="str">
        <x:v>D:/Codex/GRL研究/outputs/grid25/GRID25_pilot_report.md</x:v>
      </x:c>
    </x:row>
    <x:row r="1501" ht="36" customHeight="1">
      <x:c r="A1501" s="19" t="str">
        <x:v>GRID25</x:v>
      </x:c>
      <x:c r="B1501" s="19" t="str">
        <x:v>GRID25_pilot_report.md</x:v>
      </x:c>
      <x:c r="C1501" s="19" t="str">
        <x:v>1. GRID25：统一串行计时</x:v>
      </x:c>
      <x:c r="D1501" s="19" t="str">
        <x:v>方法=GNN1_128_GUARD；运行数=1</x:v>
      </x:c>
      <x:c r="E1501" s="19" t="str">
        <x:v>运行数</x:v>
      </x:c>
      <x:c r="F1501" s="19" t="str">
        <x:v>1</x:v>
      </x:c>
      <x:c r="G1501" s="19" t="str">
        <x:v>其他/配置</x:v>
      </x:c>
      <x:c r="H1501" s="19" t="str">
        <x:v>D:/Codex/GRL研究/outputs/grid25/GRID25_pilot_report.md</x:v>
      </x:c>
    </x:row>
    <x:row r="1502" ht="36" customHeight="1">
      <x:c r="A1502" s="19" t="str">
        <x:v>GRID25</x:v>
      </x:c>
      <x:c r="B1502" s="19" t="str">
        <x:v>GRID25_pilot_report.md</x:v>
      </x:c>
      <x:c r="C1502" s="19" t="str">
        <x:v>1. GRID25：统一串行计时</x:v>
      </x:c>
      <x:c r="D1502" s="19" t="str">
        <x:v>方法=GNN1_128_GUARD；运行数=1</x:v>
      </x:c>
      <x:c r="E1502" s="19" t="str">
        <x:v>总控制时间减少</x:v>
      </x:c>
      <x:c r="F1502" s="19" t="str">
        <x:v>+12.69%</x:v>
      </x:c>
      <x:c r="G1502" s="19" t="str">
        <x:v>速度/计算</x:v>
      </x:c>
      <x:c r="H1502" s="19" t="str">
        <x:v>D:/Codex/GRL研究/outputs/grid25/GRID25_pilot_report.md</x:v>
      </x:c>
    </x:row>
    <x:row r="1503" ht="36" customHeight="1">
      <x:c r="A1503" s="19" t="str">
        <x:v>GRID25</x:v>
      </x:c>
      <x:c r="B1503" s="19" t="str">
        <x:v>GRID25_pilot_report.md</x:v>
      </x:c>
      <x:c r="C1503" s="19" t="str">
        <x:v>1. GRID25：统一串行计时</x:v>
      </x:c>
      <x:c r="D1503" s="19" t="str">
        <x:v>方法=GNN1_128_GUARD；运行数=1</x:v>
      </x:c>
      <x:c r="E1503" s="19" t="str">
        <x:v>搜索时间减少</x:v>
      </x:c>
      <x:c r="F1503" s="19" t="str">
        <x:v>+23.68%</x:v>
      </x:c>
      <x:c r="G1503" s="19" t="str">
        <x:v>速度/计算</x:v>
      </x:c>
      <x:c r="H1503" s="19" t="str">
        <x:v>D:/Codex/GRL研究/outputs/grid25/GRID25_pilot_report.md</x:v>
      </x:c>
    </x:row>
    <x:row r="1504" ht="36" customHeight="1">
      <x:c r="A1504" s="19" t="str">
        <x:v>GRID25</x:v>
      </x:c>
      <x:c r="B1504" s="19" t="str">
        <x:v>GRID25_pilot_report.md</x:v>
      </x:c>
      <x:c r="C1504" s="19" t="str">
        <x:v>1. GRID25：统一串行计时</x:v>
      </x:c>
      <x:c r="D1504" s="19" t="str">
        <x:v>方法=GNN1_128_GUARD；运行数=1</x:v>
      </x:c>
      <x:c r="E1504" s="19" t="str">
        <x:v>搜索查询减少</x:v>
      </x:c>
      <x:c r="F1504" s="19" t="str">
        <x:v>31.52%</x:v>
      </x:c>
      <x:c r="G1504" s="19" t="str">
        <x:v>速度/计算</x:v>
      </x:c>
      <x:c r="H1504" s="19" t="str">
        <x:v>D:/Codex/GRL研究/outputs/grid25/GRID25_pilot_report.md</x:v>
      </x:c>
    </x:row>
    <x:row r="1505" ht="36" customHeight="1">
      <x:c r="A1505" s="19" t="str">
        <x:v>GRID25</x:v>
      </x:c>
      <x:c r="B1505" s="19" t="str">
        <x:v>GRID25_pilot_report.md</x:v>
      </x:c>
      <x:c r="C1505" s="19" t="str">
        <x:v>1. GRID25：统一串行计时</x:v>
      </x:c>
      <x:c r="D1505" s="19" t="str">
        <x:v>方法=GNN1_128_GUARD；运行数=1</x:v>
      </x:c>
      <x:c r="E1505" s="19" t="str">
        <x:v>质量路径相同</x:v>
      </x:c>
      <x:c r="F1505" s="19" t="str">
        <x:v>True</x:v>
      </x:c>
      <x:c r="G1505" s="19" t="str">
        <x:v>质量/成本</x:v>
      </x:c>
      <x:c r="H1505" s="19" t="str">
        <x:v>D:/Codex/GRL研究/outputs/grid25/GRID25_pilot_report.md</x:v>
      </x:c>
    </x:row>
    <x:row r="1506" ht="36" customHeight="1">
      <x:c r="A1506" s="19" t="str">
        <x:v>GRID25</x:v>
      </x:c>
      <x:c r="B1506" s="19" t="str">
        <x:v>GRID25_pilot_report.md</x:v>
      </x:c>
      <x:c r="C1506" s="19" t="str">
        <x:v>1. GRID25：统一串行计时</x:v>
      </x:c>
      <x:c r="D1506" s="19" t="str">
        <x:v>方法=OLDNN128_GUARD；运行数=1</x:v>
      </x:c>
      <x:c r="E1506" s="19" t="str">
        <x:v>运行数</x:v>
      </x:c>
      <x:c r="F1506" s="19" t="str">
        <x:v>1</x:v>
      </x:c>
      <x:c r="G1506" s="19" t="str">
        <x:v>其他/配置</x:v>
      </x:c>
      <x:c r="H1506" s="19" t="str">
        <x:v>D:/Codex/GRL研究/outputs/grid25/GRID25_pilot_report.md</x:v>
      </x:c>
    </x:row>
    <x:row r="1507" ht="36" customHeight="1">
      <x:c r="A1507" s="19" t="str">
        <x:v>GRID25</x:v>
      </x:c>
      <x:c r="B1507" s="19" t="str">
        <x:v>GRID25_pilot_report.md</x:v>
      </x:c>
      <x:c r="C1507" s="19" t="str">
        <x:v>1. GRID25：统一串行计时</x:v>
      </x:c>
      <x:c r="D1507" s="19" t="str">
        <x:v>方法=OLDNN128_GUARD；运行数=1</x:v>
      </x:c>
      <x:c r="E1507" s="19" t="str">
        <x:v>总控制时间减少</x:v>
      </x:c>
      <x:c r="F1507" s="19" t="str">
        <x:v>+12.46%</x:v>
      </x:c>
      <x:c r="G1507" s="19" t="str">
        <x:v>速度/计算</x:v>
      </x:c>
      <x:c r="H1507" s="19" t="str">
        <x:v>D:/Codex/GRL研究/outputs/grid25/GRID25_pilot_report.md</x:v>
      </x:c>
    </x:row>
    <x:row r="1508" ht="36" customHeight="1">
      <x:c r="A1508" s="19" t="str">
        <x:v>GRID25</x:v>
      </x:c>
      <x:c r="B1508" s="19" t="str">
        <x:v>GRID25_pilot_report.md</x:v>
      </x:c>
      <x:c r="C1508" s="19" t="str">
        <x:v>1. GRID25：统一串行计时</x:v>
      </x:c>
      <x:c r="D1508" s="19" t="str">
        <x:v>方法=OLDNN128_GUARD；运行数=1</x:v>
      </x:c>
      <x:c r="E1508" s="19" t="str">
        <x:v>搜索时间减少</x:v>
      </x:c>
      <x:c r="F1508" s="19" t="str">
        <x:v>+24.24%</x:v>
      </x:c>
      <x:c r="G1508" s="19" t="str">
        <x:v>速度/计算</x:v>
      </x:c>
      <x:c r="H1508" s="19" t="str">
        <x:v>D:/Codex/GRL研究/outputs/grid25/GRID25_pilot_report.md</x:v>
      </x:c>
    </x:row>
    <x:row r="1509" ht="36" customHeight="1">
      <x:c r="A1509" s="19" t="str">
        <x:v>GRID25</x:v>
      </x:c>
      <x:c r="B1509" s="19" t="str">
        <x:v>GRID25_pilot_report.md</x:v>
      </x:c>
      <x:c r="C1509" s="19" t="str">
        <x:v>1. GRID25：统一串行计时</x:v>
      </x:c>
      <x:c r="D1509" s="19" t="str">
        <x:v>方法=OLDNN128_GUARD；运行数=1</x:v>
      </x:c>
      <x:c r="E1509" s="19" t="str">
        <x:v>搜索查询减少</x:v>
      </x:c>
      <x:c r="F1509" s="19" t="str">
        <x:v>31.52%</x:v>
      </x:c>
      <x:c r="G1509" s="19" t="str">
        <x:v>速度/计算</x:v>
      </x:c>
      <x:c r="H1509" s="19" t="str">
        <x:v>D:/Codex/GRL研究/outputs/grid25/GRID25_pilot_report.md</x:v>
      </x:c>
    </x:row>
    <x:row r="1510" ht="36" customHeight="1">
      <x:c r="A1510" s="19" t="str">
        <x:v>GRID25</x:v>
      </x:c>
      <x:c r="B1510" s="19" t="str">
        <x:v>GRID25_pilot_report.md</x:v>
      </x:c>
      <x:c r="C1510" s="19" t="str">
        <x:v>1. GRID25：统一串行计时</x:v>
      </x:c>
      <x:c r="D1510" s="19" t="str">
        <x:v>方法=OLDNN128_GUARD；运行数=1</x:v>
      </x:c>
      <x:c r="E1510" s="19" t="str">
        <x:v>质量路径相同</x:v>
      </x:c>
      <x:c r="F1510" s="19" t="str">
        <x:v>True</x:v>
      </x:c>
      <x:c r="G1510" s="19" t="str">
        <x:v>质量/成本</x:v>
      </x:c>
      <x:c r="H1510" s="19" t="str">
        <x:v>D:/Codex/GRL研究/outputs/grid25/GRID25_pilot_report.md</x:v>
      </x:c>
    </x:row>
    <x:row r="1511" ht="36" customHeight="1">
      <x:c r="A1511" s="19" t="str">
        <x:v>GRID26</x:v>
      </x:c>
      <x:c r="B1511" s="19" t="str">
        <x:v>GRID26_report.md</x:v>
      </x:c>
      <x:c r="C1511" s="19" t="str">
        <x:v>1. GRID26：统一串行计时</x:v>
      </x:c>
      <x:c r="D1511" s="19" t="str">
        <x:v>方法=FULL；运行数=12</x:v>
      </x:c>
      <x:c r="E1511" s="19" t="str">
        <x:v>运行数</x:v>
      </x:c>
      <x:c r="F1511" s="19" t="str">
        <x:v>12</x:v>
      </x:c>
      <x:c r="G1511" s="19" t="str">
        <x:v>其他/配置</x:v>
      </x:c>
      <x:c r="H1511" s="19" t="str">
        <x:v>D:/Codex/GRL研究/outputs/grid26/GRID26_report.md</x:v>
      </x:c>
    </x:row>
    <x:row r="1512" ht="36" customHeight="1">
      <x:c r="A1512" s="19" t="str">
        <x:v>GRID26</x:v>
      </x:c>
      <x:c r="B1512" s="19" t="str">
        <x:v>GRID26_report.md</x:v>
      </x:c>
      <x:c r="C1512" s="19" t="str">
        <x:v>1. GRID26：统一串行计时</x:v>
      </x:c>
      <x:c r="D1512" s="19" t="str">
        <x:v>方法=FULL；运行数=12</x:v>
      </x:c>
      <x:c r="E1512" s="19" t="str">
        <x:v>总控制时间减少</x:v>
      </x:c>
      <x:c r="F1512" s="19" t="str">
        <x:v>+0.00%</x:v>
      </x:c>
      <x:c r="G1512" s="19" t="str">
        <x:v>速度/计算</x:v>
      </x:c>
      <x:c r="H1512" s="19" t="str">
        <x:v>D:/Codex/GRL研究/outputs/grid26/GRID26_report.md</x:v>
      </x:c>
    </x:row>
    <x:row r="1513" ht="36" customHeight="1">
      <x:c r="A1513" s="19" t="str">
        <x:v>GRID26</x:v>
      </x:c>
      <x:c r="B1513" s="19" t="str">
        <x:v>GRID26_report.md</x:v>
      </x:c>
      <x:c r="C1513" s="19" t="str">
        <x:v>1. GRID26：统一串行计时</x:v>
      </x:c>
      <x:c r="D1513" s="19" t="str">
        <x:v>方法=FULL；运行数=12</x:v>
      </x:c>
      <x:c r="E1513" s="19" t="str">
        <x:v>搜索时间减少</x:v>
      </x:c>
      <x:c r="F1513" s="19" t="str">
        <x:v>+0.00%</x:v>
      </x:c>
      <x:c r="G1513" s="19" t="str">
        <x:v>速度/计算</x:v>
      </x:c>
      <x:c r="H1513" s="19" t="str">
        <x:v>D:/Codex/GRL研究/outputs/grid26/GRID26_report.md</x:v>
      </x:c>
    </x:row>
    <x:row r="1514" ht="36" customHeight="1">
      <x:c r="A1514" s="19" t="str">
        <x:v>GRID26</x:v>
      </x:c>
      <x:c r="B1514" s="19" t="str">
        <x:v>GRID26_report.md</x:v>
      </x:c>
      <x:c r="C1514" s="19" t="str">
        <x:v>1. GRID26：统一串行计时</x:v>
      </x:c>
      <x:c r="D1514" s="19" t="str">
        <x:v>方法=FULL；运行数=12</x:v>
      </x:c>
      <x:c r="E1514" s="19" t="str">
        <x:v>搜索查询减少</x:v>
      </x:c>
      <x:c r="F1514" s="19" t="str">
        <x:v>0.00%</x:v>
      </x:c>
      <x:c r="G1514" s="19" t="str">
        <x:v>速度/计算</x:v>
      </x:c>
      <x:c r="H1514" s="19" t="str">
        <x:v>D:/Codex/GRL研究/outputs/grid26/GRID26_report.md</x:v>
      </x:c>
    </x:row>
    <x:row r="1515" ht="36" customHeight="1">
      <x:c r="A1515" s="19" t="str">
        <x:v>GRID26</x:v>
      </x:c>
      <x:c r="B1515" s="19" t="str">
        <x:v>GRID26_report.md</x:v>
      </x:c>
      <x:c r="C1515" s="19" t="str">
        <x:v>1. GRID26：统一串行计时</x:v>
      </x:c>
      <x:c r="D1515" s="19" t="str">
        <x:v>方法=FULL；运行数=12</x:v>
      </x:c>
      <x:c r="E1515" s="19" t="str">
        <x:v>质量路径相同</x:v>
      </x:c>
      <x:c r="F1515" s="19" t="str">
        <x:v>True</x:v>
      </x:c>
      <x:c r="G1515" s="19" t="str">
        <x:v>质量/成本</x:v>
      </x:c>
      <x:c r="H1515" s="19" t="str">
        <x:v>D:/Codex/GRL研究/outputs/grid26/GRID26_report.md</x:v>
      </x:c>
    </x:row>
    <x:row r="1516" ht="36" customHeight="1">
      <x:c r="A1516" s="19" t="str">
        <x:v>GRID26</x:v>
      </x:c>
      <x:c r="B1516" s="19" t="str">
        <x:v>GRID26_report.md</x:v>
      </x:c>
      <x:c r="C1516" s="19" t="str">
        <x:v>1. GRID26：统一串行计时</x:v>
      </x:c>
      <x:c r="D1516" s="19" t="str">
        <x:v>方法=GNN0_128_GUARD；运行数=12</x:v>
      </x:c>
      <x:c r="E1516" s="19" t="str">
        <x:v>运行数</x:v>
      </x:c>
      <x:c r="F1516" s="19" t="str">
        <x:v>12</x:v>
      </x:c>
      <x:c r="G1516" s="19" t="str">
        <x:v>其他/配置</x:v>
      </x:c>
      <x:c r="H1516" s="19" t="str">
        <x:v>D:/Codex/GRL研究/outputs/grid26/GRID26_report.md</x:v>
      </x:c>
    </x:row>
    <x:row r="1517" ht="36" customHeight="1">
      <x:c r="A1517" s="19" t="str">
        <x:v>GRID26</x:v>
      </x:c>
      <x:c r="B1517" s="19" t="str">
        <x:v>GRID26_report.md</x:v>
      </x:c>
      <x:c r="C1517" s="19" t="str">
        <x:v>1. GRID26：统一串行计时</x:v>
      </x:c>
      <x:c r="D1517" s="19" t="str">
        <x:v>方法=GNN0_128_GUARD；运行数=12</x:v>
      </x:c>
      <x:c r="E1517" s="19" t="str">
        <x:v>总控制时间减少</x:v>
      </x:c>
      <x:c r="F1517" s="19" t="str">
        <x:v>+1.40%</x:v>
      </x:c>
      <x:c r="G1517" s="19" t="str">
        <x:v>速度/计算</x:v>
      </x:c>
      <x:c r="H1517" s="19" t="str">
        <x:v>D:/Codex/GRL研究/outputs/grid26/GRID26_report.md</x:v>
      </x:c>
    </x:row>
    <x:row r="1518" ht="36" customHeight="1">
      <x:c r="A1518" s="19" t="str">
        <x:v>GRID26</x:v>
      </x:c>
      <x:c r="B1518" s="19" t="str">
        <x:v>GRID26_report.md</x:v>
      </x:c>
      <x:c r="C1518" s="19" t="str">
        <x:v>1. GRID26：统一串行计时</x:v>
      </x:c>
      <x:c r="D1518" s="19" t="str">
        <x:v>方法=GNN0_128_GUARD；运行数=12</x:v>
      </x:c>
      <x:c r="E1518" s="19" t="str">
        <x:v>搜索时间减少</x:v>
      </x:c>
      <x:c r="F1518" s="19" t="str">
        <x:v>+19.55%</x:v>
      </x:c>
      <x:c r="G1518" s="19" t="str">
        <x:v>速度/计算</x:v>
      </x:c>
      <x:c r="H1518" s="19" t="str">
        <x:v>D:/Codex/GRL研究/outputs/grid26/GRID26_report.md</x:v>
      </x:c>
    </x:row>
    <x:row r="1519" ht="36" customHeight="1">
      <x:c r="A1519" s="19" t="str">
        <x:v>GRID26</x:v>
      </x:c>
      <x:c r="B1519" s="19" t="str">
        <x:v>GRID26_report.md</x:v>
      </x:c>
      <x:c r="C1519" s="19" t="str">
        <x:v>1. GRID26：统一串行计时</x:v>
      </x:c>
      <x:c r="D1519" s="19" t="str">
        <x:v>方法=GNN0_128_GUARD；运行数=12</x:v>
      </x:c>
      <x:c r="E1519" s="19" t="str">
        <x:v>搜索查询减少</x:v>
      </x:c>
      <x:c r="F1519" s="19" t="str">
        <x:v>34.09%</x:v>
      </x:c>
      <x:c r="G1519" s="19" t="str">
        <x:v>速度/计算</x:v>
      </x:c>
      <x:c r="H1519" s="19" t="str">
        <x:v>D:/Codex/GRL研究/outputs/grid26/GRID26_report.md</x:v>
      </x:c>
    </x:row>
    <x:row r="1520" ht="36" customHeight="1">
      <x:c r="A1520" s="19" t="str">
        <x:v>GRID26</x:v>
      </x:c>
      <x:c r="B1520" s="19" t="str">
        <x:v>GRID26_report.md</x:v>
      </x:c>
      <x:c r="C1520" s="19" t="str">
        <x:v>1. GRID26：统一串行计时</x:v>
      </x:c>
      <x:c r="D1520" s="19" t="str">
        <x:v>方法=GNN0_128_GUARD；运行数=12</x:v>
      </x:c>
      <x:c r="E1520" s="19" t="str">
        <x:v>质量路径相同</x:v>
      </x:c>
      <x:c r="F1520" s="19" t="str">
        <x:v>True</x:v>
      </x:c>
      <x:c r="G1520" s="19" t="str">
        <x:v>质量/成本</x:v>
      </x:c>
      <x:c r="H1520" s="19" t="str">
        <x:v>D:/Codex/GRL研究/outputs/grid26/GRID26_report.md</x:v>
      </x:c>
    </x:row>
    <x:row r="1521" ht="36" customHeight="1">
      <x:c r="A1521" s="19" t="str">
        <x:v>GRID26</x:v>
      </x:c>
      <x:c r="B1521" s="19" t="str">
        <x:v>GRID26_report.md</x:v>
      </x:c>
      <x:c r="C1521" s="19" t="str">
        <x:v>1. GRID26：统一串行计时</x:v>
      </x:c>
      <x:c r="D1521" s="19" t="str">
        <x:v>方法=GNN1_128_GUARD；运行数=12</x:v>
      </x:c>
      <x:c r="E1521" s="19" t="str">
        <x:v>运行数</x:v>
      </x:c>
      <x:c r="F1521" s="19" t="str">
        <x:v>12</x:v>
      </x:c>
      <x:c r="G1521" s="19" t="str">
        <x:v>其他/配置</x:v>
      </x:c>
      <x:c r="H1521" s="19" t="str">
        <x:v>D:/Codex/GRL研究/outputs/grid26/GRID26_report.md</x:v>
      </x:c>
    </x:row>
    <x:row r="1522" ht="36" customHeight="1">
      <x:c r="A1522" s="19" t="str">
        <x:v>GRID26</x:v>
      </x:c>
      <x:c r="B1522" s="19" t="str">
        <x:v>GRID26_report.md</x:v>
      </x:c>
      <x:c r="C1522" s="19" t="str">
        <x:v>1. GRID26：统一串行计时</x:v>
      </x:c>
      <x:c r="D1522" s="19" t="str">
        <x:v>方法=GNN1_128_GUARD；运行数=12</x:v>
      </x:c>
      <x:c r="E1522" s="19" t="str">
        <x:v>总控制时间减少</x:v>
      </x:c>
      <x:c r="F1522" s="19" t="str">
        <x:v>+0.88%</x:v>
      </x:c>
      <x:c r="G1522" s="19" t="str">
        <x:v>速度/计算</x:v>
      </x:c>
      <x:c r="H1522" s="19" t="str">
        <x:v>D:/Codex/GRL研究/outputs/grid26/GRID26_report.md</x:v>
      </x:c>
    </x:row>
    <x:row r="1523" ht="36" customHeight="1">
      <x:c r="A1523" s="19" t="str">
        <x:v>GRID26</x:v>
      </x:c>
      <x:c r="B1523" s="19" t="str">
        <x:v>GRID26_report.md</x:v>
      </x:c>
      <x:c r="C1523" s="19" t="str">
        <x:v>1. GRID26：统一串行计时</x:v>
      </x:c>
      <x:c r="D1523" s="19" t="str">
        <x:v>方法=GNN1_128_GUARD；运行数=12</x:v>
      </x:c>
      <x:c r="E1523" s="19" t="str">
        <x:v>搜索时间减少</x:v>
      </x:c>
      <x:c r="F1523" s="19" t="str">
        <x:v>+17.14%</x:v>
      </x:c>
      <x:c r="G1523" s="19" t="str">
        <x:v>速度/计算</x:v>
      </x:c>
      <x:c r="H1523" s="19" t="str">
        <x:v>D:/Codex/GRL研究/outputs/grid26/GRID26_report.md</x:v>
      </x:c>
    </x:row>
    <x:row r="1524" ht="36" customHeight="1">
      <x:c r="A1524" s="19" t="str">
        <x:v>GRID26</x:v>
      </x:c>
      <x:c r="B1524" s="19" t="str">
        <x:v>GRID26_report.md</x:v>
      </x:c>
      <x:c r="C1524" s="19" t="str">
        <x:v>1. GRID26：统一串行计时</x:v>
      </x:c>
      <x:c r="D1524" s="19" t="str">
        <x:v>方法=GNN1_128_GUARD；运行数=12</x:v>
      </x:c>
      <x:c r="E1524" s="19" t="str">
        <x:v>搜索查询减少</x:v>
      </x:c>
      <x:c r="F1524" s="19" t="str">
        <x:v>34.09%</x:v>
      </x:c>
      <x:c r="G1524" s="19" t="str">
        <x:v>速度/计算</x:v>
      </x:c>
      <x:c r="H1524" s="19" t="str">
        <x:v>D:/Codex/GRL研究/outputs/grid26/GRID26_report.md</x:v>
      </x:c>
    </x:row>
    <x:row r="1525" ht="36" customHeight="1">
      <x:c r="A1525" s="19" t="str">
        <x:v>GRID26</x:v>
      </x:c>
      <x:c r="B1525" s="19" t="str">
        <x:v>GRID26_report.md</x:v>
      </x:c>
      <x:c r="C1525" s="19" t="str">
        <x:v>1. GRID26：统一串行计时</x:v>
      </x:c>
      <x:c r="D1525" s="19" t="str">
        <x:v>方法=GNN1_128_GUARD；运行数=12</x:v>
      </x:c>
      <x:c r="E1525" s="19" t="str">
        <x:v>质量路径相同</x:v>
      </x:c>
      <x:c r="F1525" s="19" t="str">
        <x:v>True</x:v>
      </x:c>
      <x:c r="G1525" s="19" t="str">
        <x:v>质量/成本</x:v>
      </x:c>
      <x:c r="H1525" s="19" t="str">
        <x:v>D:/Codex/GRL研究/outputs/grid26/GRID26_report.md</x:v>
      </x:c>
    </x:row>
    <x:row r="1526" ht="36" customHeight="1">
      <x:c r="A1526" s="19" t="str">
        <x:v>GRID26</x:v>
      </x:c>
      <x:c r="B1526" s="19" t="str">
        <x:v>GRID26_report.md</x:v>
      </x:c>
      <x:c r="C1526" s="19" t="str">
        <x:v>1. GRID26：统一串行计时</x:v>
      </x:c>
      <x:c r="D1526" s="19" t="str">
        <x:v>方法=OLDNN128_GUARD；运行数=12</x:v>
      </x:c>
      <x:c r="E1526" s="19" t="str">
        <x:v>运行数</x:v>
      </x:c>
      <x:c r="F1526" s="19" t="str">
        <x:v>12</x:v>
      </x:c>
      <x:c r="G1526" s="19" t="str">
        <x:v>其他/配置</x:v>
      </x:c>
      <x:c r="H1526" s="19" t="str">
        <x:v>D:/Codex/GRL研究/outputs/grid26/GRID26_report.md</x:v>
      </x:c>
    </x:row>
    <x:row r="1527" ht="36" customHeight="1">
      <x:c r="A1527" s="19" t="str">
        <x:v>GRID26</x:v>
      </x:c>
      <x:c r="B1527" s="19" t="str">
        <x:v>GRID26_report.md</x:v>
      </x:c>
      <x:c r="C1527" s="19" t="str">
        <x:v>1. GRID26：统一串行计时</x:v>
      </x:c>
      <x:c r="D1527" s="19" t="str">
        <x:v>方法=OLDNN128_GUARD；运行数=12</x:v>
      </x:c>
      <x:c r="E1527" s="19" t="str">
        <x:v>总控制时间减少</x:v>
      </x:c>
      <x:c r="F1527" s="19" t="str">
        <x:v>-2.82%</x:v>
      </x:c>
      <x:c r="G1527" s="19" t="str">
        <x:v>速度/计算</x:v>
      </x:c>
      <x:c r="H1527" s="19" t="str">
        <x:v>D:/Codex/GRL研究/outputs/grid26/GRID26_report.md</x:v>
      </x:c>
    </x:row>
    <x:row r="1528" ht="36" customHeight="1">
      <x:c r="A1528" s="19" t="str">
        <x:v>GRID26</x:v>
      </x:c>
      <x:c r="B1528" s="19" t="str">
        <x:v>GRID26_report.md</x:v>
      </x:c>
      <x:c r="C1528" s="19" t="str">
        <x:v>1. GRID26：统一串行计时</x:v>
      </x:c>
      <x:c r="D1528" s="19" t="str">
        <x:v>方法=OLDNN128_GUARD；运行数=12</x:v>
      </x:c>
      <x:c r="E1528" s="19" t="str">
        <x:v>搜索时间减少</x:v>
      </x:c>
      <x:c r="F1528" s="19" t="str">
        <x:v>+18.31%</x:v>
      </x:c>
      <x:c r="G1528" s="19" t="str">
        <x:v>速度/计算</x:v>
      </x:c>
      <x:c r="H1528" s="19" t="str">
        <x:v>D:/Codex/GRL研究/outputs/grid26/GRID26_report.md</x:v>
      </x:c>
    </x:row>
    <x:row r="1529" ht="36" customHeight="1">
      <x:c r="A1529" s="19" t="str">
        <x:v>GRID26</x:v>
      </x:c>
      <x:c r="B1529" s="19" t="str">
        <x:v>GRID26_report.md</x:v>
      </x:c>
      <x:c r="C1529" s="19" t="str">
        <x:v>1. GRID26：统一串行计时</x:v>
      </x:c>
      <x:c r="D1529" s="19" t="str">
        <x:v>方法=OLDNN128_GUARD；运行数=12</x:v>
      </x:c>
      <x:c r="E1529" s="19" t="str">
        <x:v>搜索查询减少</x:v>
      </x:c>
      <x:c r="F1529" s="19" t="str">
        <x:v>34.09%</x:v>
      </x:c>
      <x:c r="G1529" s="19" t="str">
        <x:v>速度/计算</x:v>
      </x:c>
      <x:c r="H1529" s="19" t="str">
        <x:v>D:/Codex/GRL研究/outputs/grid26/GRID26_report.md</x:v>
      </x:c>
    </x:row>
    <x:row r="1530" ht="36" customHeight="1">
      <x:c r="A1530" s="19" t="str">
        <x:v>GRID26</x:v>
      </x:c>
      <x:c r="B1530" s="19" t="str">
        <x:v>GRID26_report.md</x:v>
      </x:c>
      <x:c r="C1530" s="19" t="str">
        <x:v>1. GRID26：统一串行计时</x:v>
      </x:c>
      <x:c r="D1530" s="19" t="str">
        <x:v>方法=OLDNN128_GUARD；运行数=12</x:v>
      </x:c>
      <x:c r="E1530" s="19" t="str">
        <x:v>质量路径相同</x:v>
      </x:c>
      <x:c r="F1530" s="19" t="str">
        <x:v>True</x:v>
      </x:c>
      <x:c r="G1530" s="19" t="str">
        <x:v>质量/成本</x:v>
      </x:c>
      <x:c r="H1530" s="19" t="str">
        <x:v>D:/Codex/GRL研究/outputs/grid26/GRID26_report.md</x:v>
      </x:c>
    </x:row>
    <x:row r="1531" ht="36" customHeight="1">
      <x:c r="A1531" s="19" t="str">
        <x:v>GRID26</x:v>
      </x:c>
      <x:c r="B1531" s="19" t="str">
        <x:v>GRID26_contribution_report.md</x:v>
      </x:c>
      <x:c r="C1531" s="19" t="str">
        <x:v>1. GRID26：实际提速贡献核对</x:v>
      </x:c>
      <x:c r="D1531" s="19" t="str">
        <x:v>方法=FULL；搜索时间减少=+0.00%</x:v>
      </x:c>
      <x:c r="E1531" s="19" t="str">
        <x:v>搜索时间减少</x:v>
      </x:c>
      <x:c r="F1531" s="19" t="str">
        <x:v>+0.00%</x:v>
      </x:c>
      <x:c r="G1531" s="19" t="str">
        <x:v>速度/计算</x:v>
      </x:c>
      <x:c r="H1531" s="19" t="str">
        <x:v>D:/Codex/GRL研究/outputs/grid26/GRID26_contribution_report.md</x:v>
      </x:c>
    </x:row>
    <x:row r="1532" ht="36" customHeight="1">
      <x:c r="A1532" s="19" t="str">
        <x:v>GRID26</x:v>
      </x:c>
      <x:c r="B1532" s="19" t="str">
        <x:v>GRID26_contribution_report.md</x:v>
      </x:c>
      <x:c r="C1532" s="19" t="str">
        <x:v>1. GRID26：实际提速贡献核对</x:v>
      </x:c>
      <x:c r="D1532" s="19" t="str">
        <x:v>方法=FULL；搜索时间减少=+0.00%</x:v>
      </x:c>
      <x:c r="E1532" s="19" t="str">
        <x:v>总控制时间减少</x:v>
      </x:c>
      <x:c r="F1532" s="19" t="str">
        <x:v>+0.00%</x:v>
      </x:c>
      <x:c r="G1532" s="19" t="str">
        <x:v>速度/计算</x:v>
      </x:c>
      <x:c r="H1532" s="19" t="str">
        <x:v>D:/Codex/GRL研究/outputs/grid26/GRID26_contribution_report.md</x:v>
      </x:c>
    </x:row>
    <x:row r="1533" ht="36" customHeight="1">
      <x:c r="A1533" s="19" t="str">
        <x:v>GRID26</x:v>
      </x:c>
      <x:c r="B1533" s="19" t="str">
        <x:v>GRID26_contribution_report.md</x:v>
      </x:c>
      <x:c r="C1533" s="19" t="str">
        <x:v>1. GRID26：实际提速贡献核对</x:v>
      </x:c>
      <x:c r="D1533" s="19" t="str">
        <x:v>方法=FULL；搜索时间减少=+0.00%</x:v>
      </x:c>
      <x:c r="E1533" s="19" t="str">
        <x:v>搜索查询减少</x:v>
      </x:c>
      <x:c r="F1533" s="19" t="str">
        <x:v>0.00%</x:v>
      </x:c>
      <x:c r="G1533" s="19" t="str">
        <x:v>速度/计算</x:v>
      </x:c>
      <x:c r="H1533" s="19" t="str">
        <x:v>D:/Codex/GRL研究/outputs/grid26/GRID26_contribution_report.md</x:v>
      </x:c>
    </x:row>
    <x:row r="1534" ht="36" customHeight="1">
      <x:c r="A1534" s="19" t="str">
        <x:v>GRID26</x:v>
      </x:c>
      <x:c r="B1534" s="19" t="str">
        <x:v>GRID26_contribution_report.md</x:v>
      </x:c>
      <x:c r="C1534" s="19" t="str">
        <x:v>1. GRID26：实际提速贡献核对</x:v>
      </x:c>
      <x:c r="D1534" s="19" t="str">
        <x:v>方法=FULL；搜索时间减少=+0.00%</x:v>
      </x:c>
      <x:c r="E1534" s="19" t="str">
        <x:v>完成日期</x:v>
      </x:c>
      <x:c r="F1534" s="19" t="str">
        <x:v>3/4</x:v>
      </x:c>
      <x:c r="G1534" s="19" t="str">
        <x:v>质量/成本</x:v>
      </x:c>
      <x:c r="H1534" s="19" t="str">
        <x:v>D:/Codex/GRL研究/outputs/grid26/GRID26_contribution_report.md</x:v>
      </x:c>
    </x:row>
    <x:row r="1535" ht="36" customHeight="1">
      <x:c r="A1535" s="19" t="str">
        <x:v>GRID26</x:v>
      </x:c>
      <x:c r="B1535" s="19" t="str">
        <x:v>GRID26_contribution_report.md</x:v>
      </x:c>
      <x:c r="C1535" s="19" t="str">
        <x:v>1. GRID26：实际提速贡献核对</x:v>
      </x:c>
      <x:c r="D1535" s="19" t="str">
        <x:v>方法=GNN0_128_GUARD；搜索时间减少=+19.55%</x:v>
      </x:c>
      <x:c r="E1535" s="19" t="str">
        <x:v>搜索时间减少</x:v>
      </x:c>
      <x:c r="F1535" s="19" t="str">
        <x:v>+19.55%</x:v>
      </x:c>
      <x:c r="G1535" s="19" t="str">
        <x:v>速度/计算</x:v>
      </x:c>
      <x:c r="H1535" s="19" t="str">
        <x:v>D:/Codex/GRL研究/outputs/grid26/GRID26_contribution_report.md</x:v>
      </x:c>
    </x:row>
    <x:row r="1536" ht="36" customHeight="1">
      <x:c r="A1536" s="19" t="str">
        <x:v>GRID26</x:v>
      </x:c>
      <x:c r="B1536" s="19" t="str">
        <x:v>GRID26_contribution_report.md</x:v>
      </x:c>
      <x:c r="C1536" s="19" t="str">
        <x:v>1. GRID26：实际提速贡献核对</x:v>
      </x:c>
      <x:c r="D1536" s="19" t="str">
        <x:v>方法=GNN0_128_GUARD；搜索时间减少=+19.55%</x:v>
      </x:c>
      <x:c r="E1536" s="19" t="str">
        <x:v>总控制时间减少</x:v>
      </x:c>
      <x:c r="F1536" s="19" t="str">
        <x:v>+1.40%</x:v>
      </x:c>
      <x:c r="G1536" s="19" t="str">
        <x:v>速度/计算</x:v>
      </x:c>
      <x:c r="H1536" s="19" t="str">
        <x:v>D:/Codex/GRL研究/outputs/grid26/GRID26_contribution_report.md</x:v>
      </x:c>
    </x:row>
    <x:row r="1537" ht="36" customHeight="1">
      <x:c r="A1537" s="19" t="str">
        <x:v>GRID26</x:v>
      </x:c>
      <x:c r="B1537" s="19" t="str">
        <x:v>GRID26_contribution_report.md</x:v>
      </x:c>
      <x:c r="C1537" s="19" t="str">
        <x:v>1. GRID26：实际提速贡献核对</x:v>
      </x:c>
      <x:c r="D1537" s="19" t="str">
        <x:v>方法=GNN0_128_GUARD；搜索时间减少=+19.55%</x:v>
      </x:c>
      <x:c r="E1537" s="19" t="str">
        <x:v>搜索查询减少</x:v>
      </x:c>
      <x:c r="F1537" s="19" t="str">
        <x:v>34.09%</x:v>
      </x:c>
      <x:c r="G1537" s="19" t="str">
        <x:v>速度/计算</x:v>
      </x:c>
      <x:c r="H1537" s="19" t="str">
        <x:v>D:/Codex/GRL研究/outputs/grid26/GRID26_contribution_report.md</x:v>
      </x:c>
    </x:row>
    <x:row r="1538" ht="36" customHeight="1">
      <x:c r="A1538" s="19" t="str">
        <x:v>GRID26</x:v>
      </x:c>
      <x:c r="B1538" s="19" t="str">
        <x:v>GRID26_contribution_report.md</x:v>
      </x:c>
      <x:c r="C1538" s="19" t="str">
        <x:v>1. GRID26：实际提速贡献核对</x:v>
      </x:c>
      <x:c r="D1538" s="19" t="str">
        <x:v>方法=GNN0_128_GUARD；搜索时间减少=+19.55%</x:v>
      </x:c>
      <x:c r="E1538" s="19" t="str">
        <x:v>完成日期</x:v>
      </x:c>
      <x:c r="F1538" s="19" t="str">
        <x:v>3/4</x:v>
      </x:c>
      <x:c r="G1538" s="19" t="str">
        <x:v>质量/成本</x:v>
      </x:c>
      <x:c r="H1538" s="19" t="str">
        <x:v>D:/Codex/GRL研究/outputs/grid26/GRID26_contribution_report.md</x:v>
      </x:c>
    </x:row>
    <x:row r="1539" ht="36" customHeight="1">
      <x:c r="A1539" s="19" t="str">
        <x:v>GRID26</x:v>
      </x:c>
      <x:c r="B1539" s="19" t="str">
        <x:v>GRID26_contribution_report.md</x:v>
      </x:c>
      <x:c r="C1539" s="19" t="str">
        <x:v>1. GRID26：实际提速贡献核对</x:v>
      </x:c>
      <x:c r="D1539" s="19" t="str">
        <x:v>方法=GNN1_128_GUARD；搜索时间减少=+17.14%</x:v>
      </x:c>
      <x:c r="E1539" s="19" t="str">
        <x:v>搜索时间减少</x:v>
      </x:c>
      <x:c r="F1539" s="19" t="str">
        <x:v>+17.14%</x:v>
      </x:c>
      <x:c r="G1539" s="19" t="str">
        <x:v>速度/计算</x:v>
      </x:c>
      <x:c r="H1539" s="19" t="str">
        <x:v>D:/Codex/GRL研究/outputs/grid26/GRID26_contribution_report.md</x:v>
      </x:c>
    </x:row>
    <x:row r="1540" ht="36" customHeight="1">
      <x:c r="A1540" s="19" t="str">
        <x:v>GRID26</x:v>
      </x:c>
      <x:c r="B1540" s="19" t="str">
        <x:v>GRID26_contribution_report.md</x:v>
      </x:c>
      <x:c r="C1540" s="19" t="str">
        <x:v>1. GRID26：实际提速贡献核对</x:v>
      </x:c>
      <x:c r="D1540" s="19" t="str">
        <x:v>方法=GNN1_128_GUARD；搜索时间减少=+17.14%</x:v>
      </x:c>
      <x:c r="E1540" s="19" t="str">
        <x:v>总控制时间减少</x:v>
      </x:c>
      <x:c r="F1540" s="19" t="str">
        <x:v>+0.88%</x:v>
      </x:c>
      <x:c r="G1540" s="19" t="str">
        <x:v>速度/计算</x:v>
      </x:c>
      <x:c r="H1540" s="19" t="str">
        <x:v>D:/Codex/GRL研究/outputs/grid26/GRID26_contribution_report.md</x:v>
      </x:c>
    </x:row>
    <x:row r="1541" ht="36" customHeight="1">
      <x:c r="A1541" s="19" t="str">
        <x:v>GRID26</x:v>
      </x:c>
      <x:c r="B1541" s="19" t="str">
        <x:v>GRID26_contribution_report.md</x:v>
      </x:c>
      <x:c r="C1541" s="19" t="str">
        <x:v>1. GRID26：实际提速贡献核对</x:v>
      </x:c>
      <x:c r="D1541" s="19" t="str">
        <x:v>方法=GNN1_128_GUARD；搜索时间减少=+17.14%</x:v>
      </x:c>
      <x:c r="E1541" s="19" t="str">
        <x:v>搜索查询减少</x:v>
      </x:c>
      <x:c r="F1541" s="19" t="str">
        <x:v>34.09%</x:v>
      </x:c>
      <x:c r="G1541" s="19" t="str">
        <x:v>速度/计算</x:v>
      </x:c>
      <x:c r="H1541" s="19" t="str">
        <x:v>D:/Codex/GRL研究/outputs/grid26/GRID26_contribution_report.md</x:v>
      </x:c>
    </x:row>
    <x:row r="1542" ht="36" customHeight="1">
      <x:c r="A1542" s="19" t="str">
        <x:v>GRID26</x:v>
      </x:c>
      <x:c r="B1542" s="19" t="str">
        <x:v>GRID26_contribution_report.md</x:v>
      </x:c>
      <x:c r="C1542" s="19" t="str">
        <x:v>1. GRID26：实际提速贡献核对</x:v>
      </x:c>
      <x:c r="D1542" s="19" t="str">
        <x:v>方法=GNN1_128_GUARD；搜索时间减少=+17.14%</x:v>
      </x:c>
      <x:c r="E1542" s="19" t="str">
        <x:v>完成日期</x:v>
      </x:c>
      <x:c r="F1542" s="19" t="str">
        <x:v>3/4</x:v>
      </x:c>
      <x:c r="G1542" s="19" t="str">
        <x:v>质量/成本</x:v>
      </x:c>
      <x:c r="H1542" s="19" t="str">
        <x:v>D:/Codex/GRL研究/outputs/grid26/GRID26_contribution_report.md</x:v>
      </x:c>
    </x:row>
    <x:row r="1543" ht="36" customHeight="1">
      <x:c r="A1543" s="19" t="str">
        <x:v>GRID26</x:v>
      </x:c>
      <x:c r="B1543" s="19" t="str">
        <x:v>GRID26_contribution_report.md</x:v>
      </x:c>
      <x:c r="C1543" s="19" t="str">
        <x:v>1. GRID26：实际提速贡献核对</x:v>
      </x:c>
      <x:c r="D1543" s="19" t="str">
        <x:v>方法=OLDNN128_GUARD；搜索时间减少=+18.31%</x:v>
      </x:c>
      <x:c r="E1543" s="19" t="str">
        <x:v>搜索时间减少</x:v>
      </x:c>
      <x:c r="F1543" s="19" t="str">
        <x:v>+18.31%</x:v>
      </x:c>
      <x:c r="G1543" s="19" t="str">
        <x:v>速度/计算</x:v>
      </x:c>
      <x:c r="H1543" s="19" t="str">
        <x:v>D:/Codex/GRL研究/outputs/grid26/GRID26_contribution_report.md</x:v>
      </x:c>
    </x:row>
    <x:row r="1544" ht="36" customHeight="1">
      <x:c r="A1544" s="19" t="str">
        <x:v>GRID26</x:v>
      </x:c>
      <x:c r="B1544" s="19" t="str">
        <x:v>GRID26_contribution_report.md</x:v>
      </x:c>
      <x:c r="C1544" s="19" t="str">
        <x:v>1. GRID26：实际提速贡献核对</x:v>
      </x:c>
      <x:c r="D1544" s="19" t="str">
        <x:v>方法=OLDNN128_GUARD；搜索时间减少=+18.31%</x:v>
      </x:c>
      <x:c r="E1544" s="19" t="str">
        <x:v>总控制时间减少</x:v>
      </x:c>
      <x:c r="F1544" s="19" t="str">
        <x:v>-2.82%</x:v>
      </x:c>
      <x:c r="G1544" s="19" t="str">
        <x:v>速度/计算</x:v>
      </x:c>
      <x:c r="H1544" s="19" t="str">
        <x:v>D:/Codex/GRL研究/outputs/grid26/GRID26_contribution_report.md</x:v>
      </x:c>
    </x:row>
    <x:row r="1545" ht="36" customHeight="1">
      <x:c r="A1545" s="19" t="str">
        <x:v>GRID26</x:v>
      </x:c>
      <x:c r="B1545" s="19" t="str">
        <x:v>GRID26_contribution_report.md</x:v>
      </x:c>
      <x:c r="C1545" s="19" t="str">
        <x:v>1. GRID26：实际提速贡献核对</x:v>
      </x:c>
      <x:c r="D1545" s="19" t="str">
        <x:v>方法=OLDNN128_GUARD；搜索时间减少=+18.31%</x:v>
      </x:c>
      <x:c r="E1545" s="19" t="str">
        <x:v>搜索查询减少</x:v>
      </x:c>
      <x:c r="F1545" s="19" t="str">
        <x:v>34.09%</x:v>
      </x:c>
      <x:c r="G1545" s="19" t="str">
        <x:v>速度/计算</x:v>
      </x:c>
      <x:c r="H1545" s="19" t="str">
        <x:v>D:/Codex/GRL研究/outputs/grid26/GRID26_contribution_report.md</x:v>
      </x:c>
    </x:row>
    <x:row r="1546" ht="36" customHeight="1">
      <x:c r="A1546" s="19" t="str">
        <x:v>GRID26</x:v>
      </x:c>
      <x:c r="B1546" s="19" t="str">
        <x:v>GRID26_contribution_report.md</x:v>
      </x:c>
      <x:c r="C1546" s="19" t="str">
        <x:v>1. GRID26：实际提速贡献核对</x:v>
      </x:c>
      <x:c r="D1546" s="19" t="str">
        <x:v>方法=OLDNN128_GUARD；搜索时间减少=+18.31%</x:v>
      </x:c>
      <x:c r="E1546" s="19" t="str">
        <x:v>完成日期</x:v>
      </x:c>
      <x:c r="F1546" s="19" t="str">
        <x:v>3/4</x:v>
      </x:c>
      <x:c r="G1546" s="19" t="str">
        <x:v>质量/成本</x:v>
      </x:c>
      <x:c r="H1546" s="19" t="str">
        <x:v>D:/Codex/GRL研究/outputs/grid26/GRID26_contribution_report.md</x:v>
      </x:c>
    </x:row>
    <x:row r="1547" ht="36" customHeight="1">
      <x:c r="A1547" s="19" t="str">
        <x:v>GRID26</x:v>
      </x:c>
      <x:c r="B1547" s="19" t="str">
        <x:v>GRID26_contribution_report.md</x:v>
      </x:c>
      <x:c r="C1547" s="19" t="str">
        <x:v>2. 时间分解（百分点，算术分解，不是因果归因）</x:v>
      </x:c>
      <x:c r="D1547" s="19" t="str">
        <x:v>方法=GNN0_128_GUARD；搜索贡献=+1.916</x:v>
      </x:c>
      <x:c r="E1547" s="19" t="str">
        <x:v>搜索贡献</x:v>
      </x:c>
      <x:c r="F1547" s="19" t="str">
        <x:v>+1.916</x:v>
      </x:c>
      <x:c r="G1547" s="19" t="str">
        <x:v>其他/配置</x:v>
      </x:c>
      <x:c r="H1547" s="19" t="str">
        <x:v>D:/Codex/GRL研究/outputs/grid26/GRID26_contribution_report.md</x:v>
      </x:c>
    </x:row>
    <x:row r="1548" ht="36" customHeight="1">
      <x:c r="A1548" s="19" t="str">
        <x:v>GRID26</x:v>
      </x:c>
      <x:c r="B1548" s="19" t="str">
        <x:v>GRID26_contribution_report.md</x:v>
      </x:c>
      <x:c r="C1548" s="19" t="str">
        <x:v>2. 时间分解（百分点，算术分解，不是因果归因）</x:v>
      </x:c>
      <x:c r="D1548" s="19" t="str">
        <x:v>方法=GNN0_128_GUARD；搜索贡献=+1.916</x:v>
      </x:c>
      <x:c r="E1548" s="19" t="str">
        <x:v>其余控制贡献</x:v>
      </x:c>
      <x:c r="F1548" s="19" t="str">
        <x:v>-0.516</x:v>
      </x:c>
      <x:c r="G1548" s="19" t="str">
        <x:v>速度/计算</x:v>
      </x:c>
      <x:c r="H1548" s="19" t="str">
        <x:v>D:/Codex/GRL研究/outputs/grid26/GRID26_contribution_report.md</x:v>
      </x:c>
    </x:row>
    <x:row r="1549" ht="36" customHeight="1">
      <x:c r="A1549" s="19" t="str">
        <x:v>GRID26</x:v>
      </x:c>
      <x:c r="B1549" s="19" t="str">
        <x:v>GRID26_contribution_report.md</x:v>
      </x:c>
      <x:c r="C1549" s="19" t="str">
        <x:v>2. 时间分解（百分点，算术分解，不是因果归因）</x:v>
      </x:c>
      <x:c r="D1549" s="19" t="str">
        <x:v>方法=GNN0_128_GUARD；搜索贡献=+1.916</x:v>
      </x:c>
      <x:c r="E1549" s="19" t="str">
        <x:v>总控制减少</x:v>
      </x:c>
      <x:c r="F1549" s="19" t="str">
        <x:v>+1.401</x:v>
      </x:c>
      <x:c r="G1549" s="19" t="str">
        <x:v>速度/计算</x:v>
      </x:c>
      <x:c r="H1549" s="19" t="str">
        <x:v>D:/Codex/GRL研究/outputs/grid26/GRID26_contribution_report.md</x:v>
      </x:c>
    </x:row>
    <x:row r="1550" ht="36" customHeight="1">
      <x:c r="A1550" s="19" t="str">
        <x:v>GRID26</x:v>
      </x:c>
      <x:c r="B1550" s="19" t="str">
        <x:v>GRID26_contribution_report.md</x:v>
      </x:c>
      <x:c r="C1550" s="19" t="str">
        <x:v>2. 时间分解（百分点，算术分解，不是因果归因）</x:v>
      </x:c>
      <x:c r="D1550" s="19" t="str">
        <x:v>方法=GNN1_128_GUARD；搜索贡献=+1.680</x:v>
      </x:c>
      <x:c r="E1550" s="19" t="str">
        <x:v>搜索贡献</x:v>
      </x:c>
      <x:c r="F1550" s="19" t="str">
        <x:v>+1.680</x:v>
      </x:c>
      <x:c r="G1550" s="19" t="str">
        <x:v>其他/配置</x:v>
      </x:c>
      <x:c r="H1550" s="19" t="str">
        <x:v>D:/Codex/GRL研究/outputs/grid26/GRID26_contribution_report.md</x:v>
      </x:c>
    </x:row>
    <x:row r="1551" ht="36" customHeight="1">
      <x:c r="A1551" s="19" t="str">
        <x:v>GRID26</x:v>
      </x:c>
      <x:c r="B1551" s="19" t="str">
        <x:v>GRID26_contribution_report.md</x:v>
      </x:c>
      <x:c r="C1551" s="19" t="str">
        <x:v>2. 时间分解（百分点，算术分解，不是因果归因）</x:v>
      </x:c>
      <x:c r="D1551" s="19" t="str">
        <x:v>方法=GNN1_128_GUARD；搜索贡献=+1.680</x:v>
      </x:c>
      <x:c r="E1551" s="19" t="str">
        <x:v>其余控制贡献</x:v>
      </x:c>
      <x:c r="F1551" s="19" t="str">
        <x:v>-0.803</x:v>
      </x:c>
      <x:c r="G1551" s="19" t="str">
        <x:v>速度/计算</x:v>
      </x:c>
      <x:c r="H1551" s="19" t="str">
        <x:v>D:/Codex/GRL研究/outputs/grid26/GRID26_contribution_report.md</x:v>
      </x:c>
    </x:row>
    <x:row r="1552" ht="36" customHeight="1">
      <x:c r="A1552" s="19" t="str">
        <x:v>GRID26</x:v>
      </x:c>
      <x:c r="B1552" s="19" t="str">
        <x:v>GRID26_contribution_report.md</x:v>
      </x:c>
      <x:c r="C1552" s="19" t="str">
        <x:v>2. 时间分解（百分点，算术分解，不是因果归因）</x:v>
      </x:c>
      <x:c r="D1552" s="19" t="str">
        <x:v>方法=GNN1_128_GUARD；搜索贡献=+1.680</x:v>
      </x:c>
      <x:c r="E1552" s="19" t="str">
        <x:v>总控制减少</x:v>
      </x:c>
      <x:c r="F1552" s="19" t="str">
        <x:v>+0.877</x:v>
      </x:c>
      <x:c r="G1552" s="19" t="str">
        <x:v>速度/计算</x:v>
      </x:c>
      <x:c r="H1552" s="19" t="str">
        <x:v>D:/Codex/GRL研究/outputs/grid26/GRID26_contribution_report.md</x:v>
      </x:c>
    </x:row>
    <x:row r="1553" ht="36" customHeight="1">
      <x:c r="A1553" s="19" t="str">
        <x:v>GRID26</x:v>
      </x:c>
      <x:c r="B1553" s="19" t="str">
        <x:v>GRID26_contribution_report.md</x:v>
      </x:c>
      <x:c r="C1553" s="19" t="str">
        <x:v>2. 时间分解（百分点，算术分解，不是因果归因）</x:v>
      </x:c>
      <x:c r="D1553" s="19" t="str">
        <x:v>方法=OLDNN128_GUARD；搜索贡献=+1.795</x:v>
      </x:c>
      <x:c r="E1553" s="19" t="str">
        <x:v>搜索贡献</x:v>
      </x:c>
      <x:c r="F1553" s="19" t="str">
        <x:v>+1.795</x:v>
      </x:c>
      <x:c r="G1553" s="19" t="str">
        <x:v>其他/配置</x:v>
      </x:c>
      <x:c r="H1553" s="19" t="str">
        <x:v>D:/Codex/GRL研究/outputs/grid26/GRID26_contribution_report.md</x:v>
      </x:c>
    </x:row>
    <x:row r="1554" ht="36" customHeight="1">
      <x:c r="A1554" s="19" t="str">
        <x:v>GRID26</x:v>
      </x:c>
      <x:c r="B1554" s="19" t="str">
        <x:v>GRID26_contribution_report.md</x:v>
      </x:c>
      <x:c r="C1554" s="19" t="str">
        <x:v>2. 时间分解（百分点，算术分解，不是因果归因）</x:v>
      </x:c>
      <x:c r="D1554" s="19" t="str">
        <x:v>方法=OLDNN128_GUARD；搜索贡献=+1.795</x:v>
      </x:c>
      <x:c r="E1554" s="19" t="str">
        <x:v>其余控制贡献</x:v>
      </x:c>
      <x:c r="F1554" s="19" t="str">
        <x:v>-4.616</x:v>
      </x:c>
      <x:c r="G1554" s="19" t="str">
        <x:v>速度/计算</x:v>
      </x:c>
      <x:c r="H1554" s="19" t="str">
        <x:v>D:/Codex/GRL研究/outputs/grid26/GRID26_contribution_report.md</x:v>
      </x:c>
    </x:row>
    <x:row r="1555" ht="36" customHeight="1">
      <x:c r="A1555" s="19" t="str">
        <x:v>GRID26</x:v>
      </x:c>
      <x:c r="B1555" s="19" t="str">
        <x:v>GRID26_contribution_report.md</x:v>
      </x:c>
      <x:c r="C1555" s="19" t="str">
        <x:v>2. 时间分解（百分点，算术分解，不是因果归因）</x:v>
      </x:c>
      <x:c r="D1555" s="19" t="str">
        <x:v>方法=OLDNN128_GUARD；搜索贡献=+1.795</x:v>
      </x:c>
      <x:c r="E1555" s="19" t="str">
        <x:v>总控制减少</x:v>
      </x:c>
      <x:c r="F1555" s="19" t="str">
        <x:v>-2.821</x:v>
      </x:c>
      <x:c r="G1555" s="19" t="str">
        <x:v>速度/计算</x:v>
      </x:c>
      <x:c r="H1555" s="19" t="str">
        <x:v>D:/Codex/GRL研究/outputs/grid26/GRID26_contribution_report.md</x:v>
      </x:c>
    </x:row>
    <x:row r="1556" ht="36" customHeight="1">
      <x:c r="A1556" s="19" t="str">
        <x:v>GRID26</x:v>
      </x:c>
      <x:c r="B1556" s="19" t="str">
        <x:v>GRID26_contribution_report.md</x:v>
      </x:c>
      <x:c r="C1556" s="19" t="str">
        <x:v>3. 重复稳定性</x:v>
      </x:c>
      <x:c r="D1556" s="19" t="str">
        <x:v>方法=GNN0_128_GUARD；重复0总控制减少=-1.53%</x:v>
      </x:c>
      <x:c r="E1556" s="19" t="str">
        <x:v>重复0总控制减少</x:v>
      </x:c>
      <x:c r="F1556" s="19" t="str">
        <x:v>-1.53%</x:v>
      </x:c>
      <x:c r="G1556" s="19" t="str">
        <x:v>速度/计算</x:v>
      </x:c>
      <x:c r="H1556" s="19" t="str">
        <x:v>D:/Codex/GRL研究/outputs/grid26/GRID26_contribution_report.md</x:v>
      </x:c>
    </x:row>
    <x:row r="1557" ht="36" customHeight="1">
      <x:c r="A1557" s="19" t="str">
        <x:v>GRID26</x:v>
      </x:c>
      <x:c r="B1557" s="19" t="str">
        <x:v>GRID26_contribution_report.md</x:v>
      </x:c>
      <x:c r="C1557" s="19" t="str">
        <x:v>3. 重复稳定性</x:v>
      </x:c>
      <x:c r="D1557" s="19" t="str">
        <x:v>方法=GNN0_128_GUARD；重复0总控制减少=-1.53%</x:v>
      </x:c>
      <x:c r="E1557" s="19" t="str">
        <x:v>重复1</x:v>
      </x:c>
      <x:c r="F1557" s="19" t="str">
        <x:v>+3.37%</x:v>
      </x:c>
      <x:c r="G1557" s="19" t="str">
        <x:v>其他/配置</x:v>
      </x:c>
      <x:c r="H1557" s="19" t="str">
        <x:v>D:/Codex/GRL研究/outputs/grid26/GRID26_contribution_report.md</x:v>
      </x:c>
    </x:row>
    <x:row r="1558" ht="36" customHeight="1">
      <x:c r="A1558" s="19" t="str">
        <x:v>GRID26</x:v>
      </x:c>
      <x:c r="B1558" s="19" t="str">
        <x:v>GRID26_contribution_report.md</x:v>
      </x:c>
      <x:c r="C1558" s="19" t="str">
        <x:v>3. 重复稳定性</x:v>
      </x:c>
      <x:c r="D1558" s="19" t="str">
        <x:v>方法=GNN0_128_GUARD；重复0总控制减少=-1.53%</x:v>
      </x:c>
      <x:c r="E1558" s="19" t="str">
        <x:v>重复2</x:v>
      </x:c>
      <x:c r="F1558" s="19" t="str">
        <x:v>+2.44%</x:v>
      </x:c>
      <x:c r="G1558" s="19" t="str">
        <x:v>其他/配置</x:v>
      </x:c>
      <x:c r="H1558" s="19" t="str">
        <x:v>D:/Codex/GRL研究/outputs/grid26/GRID26_contribution_report.md</x:v>
      </x:c>
    </x:row>
    <x:row r="1559" ht="36" customHeight="1">
      <x:c r="A1559" s="19" t="str">
        <x:v>GRID26</x:v>
      </x:c>
      <x:c r="B1559" s="19" t="str">
        <x:v>GRID26_contribution_report.md</x:v>
      </x:c>
      <x:c r="C1559" s="19" t="str">
        <x:v>3. 重复稳定性</x:v>
      </x:c>
      <x:c r="D1559" s="19" t="str">
        <x:v>方法=GNN1_128_GUARD；重复0总控制减少=-2.80%</x:v>
      </x:c>
      <x:c r="E1559" s="19" t="str">
        <x:v>重复0总控制减少</x:v>
      </x:c>
      <x:c r="F1559" s="19" t="str">
        <x:v>-2.80%</x:v>
      </x:c>
      <x:c r="G1559" s="19" t="str">
        <x:v>速度/计算</x:v>
      </x:c>
      <x:c r="H1559" s="19" t="str">
        <x:v>D:/Codex/GRL研究/outputs/grid26/GRID26_contribution_report.md</x:v>
      </x:c>
    </x:row>
    <x:row r="1560" ht="36" customHeight="1">
      <x:c r="A1560" s="19" t="str">
        <x:v>GRID26</x:v>
      </x:c>
      <x:c r="B1560" s="19" t="str">
        <x:v>GRID26_contribution_report.md</x:v>
      </x:c>
      <x:c r="C1560" s="19" t="str">
        <x:v>3. 重复稳定性</x:v>
      </x:c>
      <x:c r="D1560" s="19" t="str">
        <x:v>方法=GNN1_128_GUARD；重复0总控制减少=-2.80%</x:v>
      </x:c>
      <x:c r="E1560" s="19" t="str">
        <x:v>重复1</x:v>
      </x:c>
      <x:c r="F1560" s="19" t="str">
        <x:v>+3.07%</x:v>
      </x:c>
      <x:c r="G1560" s="19" t="str">
        <x:v>其他/配置</x:v>
      </x:c>
      <x:c r="H1560" s="19" t="str">
        <x:v>D:/Codex/GRL研究/outputs/grid26/GRID26_contribution_report.md</x:v>
      </x:c>
    </x:row>
    <x:row r="1561" ht="36" customHeight="1">
      <x:c r="A1561" s="19" t="str">
        <x:v>GRID26</x:v>
      </x:c>
      <x:c r="B1561" s="19" t="str">
        <x:v>GRID26_contribution_report.md</x:v>
      </x:c>
      <x:c r="C1561" s="19" t="str">
        <x:v>3. 重复稳定性</x:v>
      </x:c>
      <x:c r="D1561" s="19" t="str">
        <x:v>方法=GNN1_128_GUARD；重复0总控制减少=-2.80%</x:v>
      </x:c>
      <x:c r="E1561" s="19" t="str">
        <x:v>重复2</x:v>
      </x:c>
      <x:c r="F1561" s="19" t="str">
        <x:v>+2.45%</x:v>
      </x:c>
      <x:c r="G1561" s="19" t="str">
        <x:v>其他/配置</x:v>
      </x:c>
      <x:c r="H1561" s="19" t="str">
        <x:v>D:/Codex/GRL研究/outputs/grid26/GRID26_contribution_report.md</x:v>
      </x:c>
    </x:row>
    <x:row r="1562" ht="36" customHeight="1">
      <x:c r="A1562" s="19" t="str">
        <x:v>GRID26</x:v>
      </x:c>
      <x:c r="B1562" s="19" t="str">
        <x:v>GRID26_contribution_report.md</x:v>
      </x:c>
      <x:c r="C1562" s="19" t="str">
        <x:v>3. 重复稳定性</x:v>
      </x:c>
      <x:c r="D1562" s="19" t="str">
        <x:v>方法=OLDNN128_GUARD；重复0总控制减少=-7.28%</x:v>
      </x:c>
      <x:c r="E1562" s="19" t="str">
        <x:v>重复0总控制减少</x:v>
      </x:c>
      <x:c r="F1562" s="19" t="str">
        <x:v>-7.28%</x:v>
      </x:c>
      <x:c r="G1562" s="19" t="str">
        <x:v>速度/计算</x:v>
      </x:c>
      <x:c r="H1562" s="19" t="str">
        <x:v>D:/Codex/GRL研究/outputs/grid26/GRID26_contribution_report.md</x:v>
      </x:c>
    </x:row>
    <x:row r="1563" ht="36" customHeight="1">
      <x:c r="A1563" s="19" t="str">
        <x:v>GRID26</x:v>
      </x:c>
      <x:c r="B1563" s="19" t="str">
        <x:v>GRID26_contribution_report.md</x:v>
      </x:c>
      <x:c r="C1563" s="19" t="str">
        <x:v>3. 重复稳定性</x:v>
      </x:c>
      <x:c r="D1563" s="19" t="str">
        <x:v>方法=OLDNN128_GUARD；重复0总控制减少=-7.28%</x:v>
      </x:c>
      <x:c r="E1563" s="19" t="str">
        <x:v>重复1</x:v>
      </x:c>
      <x:c r="F1563" s="19" t="str">
        <x:v>-3.35%</x:v>
      </x:c>
      <x:c r="G1563" s="19" t="str">
        <x:v>其他/配置</x:v>
      </x:c>
      <x:c r="H1563" s="19" t="str">
        <x:v>D:/Codex/GRL研究/outputs/grid26/GRID26_contribution_report.md</x:v>
      </x:c>
    </x:row>
    <x:row r="1564" ht="36" customHeight="1">
      <x:c r="A1564" s="19" t="str">
        <x:v>GRID26</x:v>
      </x:c>
      <x:c r="B1564" s="19" t="str">
        <x:v>GRID26_contribution_report.md</x:v>
      </x:c>
      <x:c r="C1564" s="19" t="str">
        <x:v>3. 重复稳定性</x:v>
      </x:c>
      <x:c r="D1564" s="19" t="str">
        <x:v>方法=OLDNN128_GUARD；重复0总控制减少=-7.28%</x:v>
      </x:c>
      <x:c r="E1564" s="19" t="str">
        <x:v>重复2</x:v>
      </x:c>
      <x:c r="F1564" s="19" t="str">
        <x:v>+2.32%</x:v>
      </x:c>
      <x:c r="G1564" s="19" t="str">
        <x:v>其他/配置</x:v>
      </x:c>
      <x:c r="H1564" s="19" t="str">
        <x:v>D:/Codex/GRL研究/outputs/grid26/GRID26_contribution_report.md</x:v>
      </x:c>
    </x:row>
    <x:row r="1565" ht="36" customHeight="1">
      <x:c r="A1565" s="19" t="str">
        <x:v>GRID26</x:v>
      </x:c>
      <x:c r="B1565" s="19" t="str">
        <x:v>GRID26_pilot_report.md</x:v>
      </x:c>
      <x:c r="C1565" s="19" t="str">
        <x:v>1. GRID26：统一串行计时</x:v>
      </x:c>
      <x:c r="D1565" s="19" t="str">
        <x:v>方法=FULL；运行数=1</x:v>
      </x:c>
      <x:c r="E1565" s="19" t="str">
        <x:v>运行数</x:v>
      </x:c>
      <x:c r="F1565" s="19" t="str">
        <x:v>1</x:v>
      </x:c>
      <x:c r="G1565" s="19" t="str">
        <x:v>其他/配置</x:v>
      </x:c>
      <x:c r="H1565" s="19" t="str">
        <x:v>D:/Codex/GRL研究/outputs/grid26/GRID26_pilot_report.md</x:v>
      </x:c>
    </x:row>
    <x:row r="1566" ht="36" customHeight="1">
      <x:c r="A1566" s="19" t="str">
        <x:v>GRID26</x:v>
      </x:c>
      <x:c r="B1566" s="19" t="str">
        <x:v>GRID26_pilot_report.md</x:v>
      </x:c>
      <x:c r="C1566" s="19" t="str">
        <x:v>1. GRID26：统一串行计时</x:v>
      </x:c>
      <x:c r="D1566" s="19" t="str">
        <x:v>方法=FULL；运行数=1</x:v>
      </x:c>
      <x:c r="E1566" s="19" t="str">
        <x:v>总控制时间减少</x:v>
      </x:c>
      <x:c r="F1566" s="19" t="str">
        <x:v>+0.00%</x:v>
      </x:c>
      <x:c r="G1566" s="19" t="str">
        <x:v>速度/计算</x:v>
      </x:c>
      <x:c r="H1566" s="19" t="str">
        <x:v>D:/Codex/GRL研究/outputs/grid26/GRID26_pilot_report.md</x:v>
      </x:c>
    </x:row>
    <x:row r="1567" ht="36" customHeight="1">
      <x:c r="A1567" s="19" t="str">
        <x:v>GRID26</x:v>
      </x:c>
      <x:c r="B1567" s="19" t="str">
        <x:v>GRID26_pilot_report.md</x:v>
      </x:c>
      <x:c r="C1567" s="19" t="str">
        <x:v>1. GRID26：统一串行计时</x:v>
      </x:c>
      <x:c r="D1567" s="19" t="str">
        <x:v>方法=FULL；运行数=1</x:v>
      </x:c>
      <x:c r="E1567" s="19" t="str">
        <x:v>搜索时间减少</x:v>
      </x:c>
      <x:c r="F1567" s="19" t="str">
        <x:v>+0.00%</x:v>
      </x:c>
      <x:c r="G1567" s="19" t="str">
        <x:v>速度/计算</x:v>
      </x:c>
      <x:c r="H1567" s="19" t="str">
        <x:v>D:/Codex/GRL研究/outputs/grid26/GRID26_pilot_report.md</x:v>
      </x:c>
    </x:row>
    <x:row r="1568" ht="36" customHeight="1">
      <x:c r="A1568" s="19" t="str">
        <x:v>GRID26</x:v>
      </x:c>
      <x:c r="B1568" s="19" t="str">
        <x:v>GRID26_pilot_report.md</x:v>
      </x:c>
      <x:c r="C1568" s="19" t="str">
        <x:v>1. GRID26：统一串行计时</x:v>
      </x:c>
      <x:c r="D1568" s="19" t="str">
        <x:v>方法=FULL；运行数=1</x:v>
      </x:c>
      <x:c r="E1568" s="19" t="str">
        <x:v>搜索查询减少</x:v>
      </x:c>
      <x:c r="F1568" s="19" t="str">
        <x:v>0.00%</x:v>
      </x:c>
      <x:c r="G1568" s="19" t="str">
        <x:v>速度/计算</x:v>
      </x:c>
      <x:c r="H1568" s="19" t="str">
        <x:v>D:/Codex/GRL研究/outputs/grid26/GRID26_pilot_report.md</x:v>
      </x:c>
    </x:row>
    <x:row r="1569" ht="36" customHeight="1">
      <x:c r="A1569" s="19" t="str">
        <x:v>GRID26</x:v>
      </x:c>
      <x:c r="B1569" s="19" t="str">
        <x:v>GRID26_pilot_report.md</x:v>
      </x:c>
      <x:c r="C1569" s="19" t="str">
        <x:v>1. GRID26：统一串行计时</x:v>
      </x:c>
      <x:c r="D1569" s="19" t="str">
        <x:v>方法=FULL；运行数=1</x:v>
      </x:c>
      <x:c r="E1569" s="19" t="str">
        <x:v>质量路径相同</x:v>
      </x:c>
      <x:c r="F1569" s="19" t="str">
        <x:v>True</x:v>
      </x:c>
      <x:c r="G1569" s="19" t="str">
        <x:v>质量/成本</x:v>
      </x:c>
      <x:c r="H1569" s="19" t="str">
        <x:v>D:/Codex/GRL研究/outputs/grid26/GRID26_pilot_report.md</x:v>
      </x:c>
    </x:row>
    <x:row r="1570" ht="36" customHeight="1">
      <x:c r="A1570" s="19" t="str">
        <x:v>GRID26</x:v>
      </x:c>
      <x:c r="B1570" s="19" t="str">
        <x:v>GRID26_pilot_report.md</x:v>
      </x:c>
      <x:c r="C1570" s="19" t="str">
        <x:v>1. GRID26：统一串行计时</x:v>
      </x:c>
      <x:c r="D1570" s="19" t="str">
        <x:v>方法=GNN0_128_GUARD；运行数=1</x:v>
      </x:c>
      <x:c r="E1570" s="19" t="str">
        <x:v>运行数</x:v>
      </x:c>
      <x:c r="F1570" s="19" t="str">
        <x:v>1</x:v>
      </x:c>
      <x:c r="G1570" s="19" t="str">
        <x:v>其他/配置</x:v>
      </x:c>
      <x:c r="H1570" s="19" t="str">
        <x:v>D:/Codex/GRL研究/outputs/grid26/GRID26_pilot_report.md</x:v>
      </x:c>
    </x:row>
    <x:row r="1571" ht="36" customHeight="1">
      <x:c r="A1571" s="19" t="str">
        <x:v>GRID26</x:v>
      </x:c>
      <x:c r="B1571" s="19" t="str">
        <x:v>GRID26_pilot_report.md</x:v>
      </x:c>
      <x:c r="C1571" s="19" t="str">
        <x:v>1. GRID26：统一串行计时</x:v>
      </x:c>
      <x:c r="D1571" s="19" t="str">
        <x:v>方法=GNN0_128_GUARD；运行数=1</x:v>
      </x:c>
      <x:c r="E1571" s="19" t="str">
        <x:v>总控制时间减少</x:v>
      </x:c>
      <x:c r="F1571" s="19" t="str">
        <x:v>-8.56%</x:v>
      </x:c>
      <x:c r="G1571" s="19" t="str">
        <x:v>速度/计算</x:v>
      </x:c>
      <x:c r="H1571" s="19" t="str">
        <x:v>D:/Codex/GRL研究/outputs/grid26/GRID26_pilot_report.md</x:v>
      </x:c>
    </x:row>
    <x:row r="1572" ht="36" customHeight="1">
      <x:c r="A1572" s="19" t="str">
        <x:v>GRID26</x:v>
      </x:c>
      <x:c r="B1572" s="19" t="str">
        <x:v>GRID26_pilot_report.md</x:v>
      </x:c>
      <x:c r="C1572" s="19" t="str">
        <x:v>1. GRID26：统一串行计时</x:v>
      </x:c>
      <x:c r="D1572" s="19" t="str">
        <x:v>方法=GNN0_128_GUARD；运行数=1</x:v>
      </x:c>
      <x:c r="E1572" s="19" t="str">
        <x:v>搜索时间减少</x:v>
      </x:c>
      <x:c r="F1572" s="19" t="str">
        <x:v>+5.38%</x:v>
      </x:c>
      <x:c r="G1572" s="19" t="str">
        <x:v>速度/计算</x:v>
      </x:c>
      <x:c r="H1572" s="19" t="str">
        <x:v>D:/Codex/GRL研究/outputs/grid26/GRID26_pilot_report.md</x:v>
      </x:c>
    </x:row>
    <x:row r="1573" ht="36" customHeight="1">
      <x:c r="A1573" s="19" t="str">
        <x:v>GRID26</x:v>
      </x:c>
      <x:c r="B1573" s="19" t="str">
        <x:v>GRID26_pilot_report.md</x:v>
      </x:c>
      <x:c r="C1573" s="19" t="str">
        <x:v>1. GRID26：统一串行计时</x:v>
      </x:c>
      <x:c r="D1573" s="19" t="str">
        <x:v>方法=GNN0_128_GUARD；运行数=1</x:v>
      </x:c>
      <x:c r="E1573" s="19" t="str">
        <x:v>搜索查询减少</x:v>
      </x:c>
      <x:c r="F1573" s="19" t="str">
        <x:v>31.52%</x:v>
      </x:c>
      <x:c r="G1573" s="19" t="str">
        <x:v>速度/计算</x:v>
      </x:c>
      <x:c r="H1573" s="19" t="str">
        <x:v>D:/Codex/GRL研究/outputs/grid26/GRID26_pilot_report.md</x:v>
      </x:c>
    </x:row>
    <x:row r="1574" ht="36" customHeight="1">
      <x:c r="A1574" s="19" t="str">
        <x:v>GRID26</x:v>
      </x:c>
      <x:c r="B1574" s="19" t="str">
        <x:v>GRID26_pilot_report.md</x:v>
      </x:c>
      <x:c r="C1574" s="19" t="str">
        <x:v>1. GRID26：统一串行计时</x:v>
      </x:c>
      <x:c r="D1574" s="19" t="str">
        <x:v>方法=GNN0_128_GUARD；运行数=1</x:v>
      </x:c>
      <x:c r="E1574" s="19" t="str">
        <x:v>质量路径相同</x:v>
      </x:c>
      <x:c r="F1574" s="19" t="str">
        <x:v>True</x:v>
      </x:c>
      <x:c r="G1574" s="19" t="str">
        <x:v>质量/成本</x:v>
      </x:c>
      <x:c r="H1574" s="19" t="str">
        <x:v>D:/Codex/GRL研究/outputs/grid26/GRID26_pilot_report.md</x:v>
      </x:c>
    </x:row>
    <x:row r="1575" ht="36" customHeight="1">
      <x:c r="A1575" s="19" t="str">
        <x:v>GRID26</x:v>
      </x:c>
      <x:c r="B1575" s="19" t="str">
        <x:v>GRID26_pilot_report.md</x:v>
      </x:c>
      <x:c r="C1575" s="19" t="str">
        <x:v>1. GRID26：统一串行计时</x:v>
      </x:c>
      <x:c r="D1575" s="19" t="str">
        <x:v>方法=GNN1_128_GUARD；运行数=1</x:v>
      </x:c>
      <x:c r="E1575" s="19" t="str">
        <x:v>运行数</x:v>
      </x:c>
      <x:c r="F1575" s="19" t="str">
        <x:v>1</x:v>
      </x:c>
      <x:c r="G1575" s="19" t="str">
        <x:v>其他/配置</x:v>
      </x:c>
      <x:c r="H1575" s="19" t="str">
        <x:v>D:/Codex/GRL研究/outputs/grid26/GRID26_pilot_report.md</x:v>
      </x:c>
    </x:row>
    <x:row r="1576" ht="36" customHeight="1">
      <x:c r="A1576" s="19" t="str">
        <x:v>GRID26</x:v>
      </x:c>
      <x:c r="B1576" s="19" t="str">
        <x:v>GRID26_pilot_report.md</x:v>
      </x:c>
      <x:c r="C1576" s="19" t="str">
        <x:v>1. GRID26：统一串行计时</x:v>
      </x:c>
      <x:c r="D1576" s="19" t="str">
        <x:v>方法=GNN1_128_GUARD；运行数=1</x:v>
      </x:c>
      <x:c r="E1576" s="19" t="str">
        <x:v>总控制时间减少</x:v>
      </x:c>
      <x:c r="F1576" s="19" t="str">
        <x:v>-25.05%</x:v>
      </x:c>
      <x:c r="G1576" s="19" t="str">
        <x:v>速度/计算</x:v>
      </x:c>
      <x:c r="H1576" s="19" t="str">
        <x:v>D:/Codex/GRL研究/outputs/grid26/GRID26_pilot_report.md</x:v>
      </x:c>
    </x:row>
    <x:row r="1577" ht="36" customHeight="1">
      <x:c r="A1577" s="19" t="str">
        <x:v>GRID26</x:v>
      </x:c>
      <x:c r="B1577" s="19" t="str">
        <x:v>GRID26_pilot_report.md</x:v>
      </x:c>
      <x:c r="C1577" s="19" t="str">
        <x:v>1. GRID26：统一串行计时</x:v>
      </x:c>
      <x:c r="D1577" s="19" t="str">
        <x:v>方法=GNN1_128_GUARD；运行数=1</x:v>
      </x:c>
      <x:c r="E1577" s="19" t="str">
        <x:v>搜索时间减少</x:v>
      </x:c>
      <x:c r="F1577" s="19" t="str">
        <x:v>-7.52%</x:v>
      </x:c>
      <x:c r="G1577" s="19" t="str">
        <x:v>速度/计算</x:v>
      </x:c>
      <x:c r="H1577" s="19" t="str">
        <x:v>D:/Codex/GRL研究/outputs/grid26/GRID26_pilot_report.md</x:v>
      </x:c>
    </x:row>
    <x:row r="1578" ht="36" customHeight="1">
      <x:c r="A1578" s="19" t="str">
        <x:v>GRID26</x:v>
      </x:c>
      <x:c r="B1578" s="19" t="str">
        <x:v>GRID26_pilot_report.md</x:v>
      </x:c>
      <x:c r="C1578" s="19" t="str">
        <x:v>1. GRID26：统一串行计时</x:v>
      </x:c>
      <x:c r="D1578" s="19" t="str">
        <x:v>方法=GNN1_128_GUARD；运行数=1</x:v>
      </x:c>
      <x:c r="E1578" s="19" t="str">
        <x:v>搜索查询减少</x:v>
      </x:c>
      <x:c r="F1578" s="19" t="str">
        <x:v>31.52%</x:v>
      </x:c>
      <x:c r="G1578" s="19" t="str">
        <x:v>速度/计算</x:v>
      </x:c>
      <x:c r="H1578" s="19" t="str">
        <x:v>D:/Codex/GRL研究/outputs/grid26/GRID26_pilot_report.md</x:v>
      </x:c>
    </x:row>
    <x:row r="1579" ht="36" customHeight="1">
      <x:c r="A1579" s="19" t="str">
        <x:v>GRID26</x:v>
      </x:c>
      <x:c r="B1579" s="19" t="str">
        <x:v>GRID26_pilot_report.md</x:v>
      </x:c>
      <x:c r="C1579" s="19" t="str">
        <x:v>1. GRID26：统一串行计时</x:v>
      </x:c>
      <x:c r="D1579" s="19" t="str">
        <x:v>方法=GNN1_128_GUARD；运行数=1</x:v>
      </x:c>
      <x:c r="E1579" s="19" t="str">
        <x:v>质量路径相同</x:v>
      </x:c>
      <x:c r="F1579" s="19" t="str">
        <x:v>True</x:v>
      </x:c>
      <x:c r="G1579" s="19" t="str">
        <x:v>质量/成本</x:v>
      </x:c>
      <x:c r="H1579" s="19" t="str">
        <x:v>D:/Codex/GRL研究/outputs/grid26/GRID26_pilot_report.md</x:v>
      </x:c>
    </x:row>
    <x:row r="1580" ht="36" customHeight="1">
      <x:c r="A1580" s="19" t="str">
        <x:v>GRID26</x:v>
      </x:c>
      <x:c r="B1580" s="19" t="str">
        <x:v>GRID26_pilot_report.md</x:v>
      </x:c>
      <x:c r="C1580" s="19" t="str">
        <x:v>1. GRID26：统一串行计时</x:v>
      </x:c>
      <x:c r="D1580" s="19" t="str">
        <x:v>方法=OLDNN128_GUARD；运行数=1</x:v>
      </x:c>
      <x:c r="E1580" s="19" t="str">
        <x:v>运行数</x:v>
      </x:c>
      <x:c r="F1580" s="19" t="str">
        <x:v>1</x:v>
      </x:c>
      <x:c r="G1580" s="19" t="str">
        <x:v>其他/配置</x:v>
      </x:c>
      <x:c r="H1580" s="19" t="str">
        <x:v>D:/Codex/GRL研究/outputs/grid26/GRID26_pilot_report.md</x:v>
      </x:c>
    </x:row>
    <x:row r="1581" ht="36" customHeight="1">
      <x:c r="A1581" s="19" t="str">
        <x:v>GRID26</x:v>
      </x:c>
      <x:c r="B1581" s="19" t="str">
        <x:v>GRID26_pilot_report.md</x:v>
      </x:c>
      <x:c r="C1581" s="19" t="str">
        <x:v>1. GRID26：统一串行计时</x:v>
      </x:c>
      <x:c r="D1581" s="19" t="str">
        <x:v>方法=OLDNN128_GUARD；运行数=1</x:v>
      </x:c>
      <x:c r="E1581" s="19" t="str">
        <x:v>总控制时间减少</x:v>
      </x:c>
      <x:c r="F1581" s="19" t="str">
        <x:v>-9.24%</x:v>
      </x:c>
      <x:c r="G1581" s="19" t="str">
        <x:v>速度/计算</x:v>
      </x:c>
      <x:c r="H1581" s="19" t="str">
        <x:v>D:/Codex/GRL研究/outputs/grid26/GRID26_pilot_report.md</x:v>
      </x:c>
    </x:row>
    <x:row r="1582" ht="36" customHeight="1">
      <x:c r="A1582" s="19" t="str">
        <x:v>GRID26</x:v>
      </x:c>
      <x:c r="B1582" s="19" t="str">
        <x:v>GRID26_pilot_report.md</x:v>
      </x:c>
      <x:c r="C1582" s="19" t="str">
        <x:v>1. GRID26：统一串行计时</x:v>
      </x:c>
      <x:c r="D1582" s="19" t="str">
        <x:v>方法=OLDNN128_GUARD；运行数=1</x:v>
      </x:c>
      <x:c r="E1582" s="19" t="str">
        <x:v>搜索时间减少</x:v>
      </x:c>
      <x:c r="F1582" s="19" t="str">
        <x:v>+6.15%</x:v>
      </x:c>
      <x:c r="G1582" s="19" t="str">
        <x:v>速度/计算</x:v>
      </x:c>
      <x:c r="H1582" s="19" t="str">
        <x:v>D:/Codex/GRL研究/outputs/grid26/GRID26_pilot_report.md</x:v>
      </x:c>
    </x:row>
    <x:row r="1583" ht="36" customHeight="1">
      <x:c r="A1583" s="19" t="str">
        <x:v>GRID26</x:v>
      </x:c>
      <x:c r="B1583" s="19" t="str">
        <x:v>GRID26_pilot_report.md</x:v>
      </x:c>
      <x:c r="C1583" s="19" t="str">
        <x:v>1. GRID26：统一串行计时</x:v>
      </x:c>
      <x:c r="D1583" s="19" t="str">
        <x:v>方法=OLDNN128_GUARD；运行数=1</x:v>
      </x:c>
      <x:c r="E1583" s="19" t="str">
        <x:v>搜索查询减少</x:v>
      </x:c>
      <x:c r="F1583" s="19" t="str">
        <x:v>31.52%</x:v>
      </x:c>
      <x:c r="G1583" s="19" t="str">
        <x:v>速度/计算</x:v>
      </x:c>
      <x:c r="H1583" s="19" t="str">
        <x:v>D:/Codex/GRL研究/outputs/grid26/GRID26_pilot_report.md</x:v>
      </x:c>
    </x:row>
    <x:row r="1584" ht="36" customHeight="1">
      <x:c r="A1584" s="19" t="str">
        <x:v>GRID26</x:v>
      </x:c>
      <x:c r="B1584" s="19" t="str">
        <x:v>GRID26_pilot_report.md</x:v>
      </x:c>
      <x:c r="C1584" s="19" t="str">
        <x:v>1. GRID26：统一串行计时</x:v>
      </x:c>
      <x:c r="D1584" s="19" t="str">
        <x:v>方法=OLDNN128_GUARD；运行数=1</x:v>
      </x:c>
      <x:c r="E1584" s="19" t="str">
        <x:v>质量路径相同</x:v>
      </x:c>
      <x:c r="F1584" s="19" t="str">
        <x:v>True</x:v>
      </x:c>
      <x:c r="G1584" s="19" t="str">
        <x:v>质量/成本</x:v>
      </x:c>
      <x:c r="H1584" s="19" t="str">
        <x:v>D:/Codex/GRL研究/outputs/grid26/GRID26_pilot_report.md</x:v>
      </x:c>
    </x:row>
    <x:row r="1585" ht="36" customHeight="1">
      <x:c r="A1585" s="19" t="str">
        <x:v>GRID28</x:v>
      </x:c>
      <x:c r="B1585" s="19" t="str">
        <x:v>GRID28_accounting_report.md</x:v>
      </x:c>
      <x:c r="C1585" s="19" t="str">
        <x:v>1. GRID28 查询、搜索、完整控制成本分开核对</x:v>
      </x:c>
      <x:c r="D1585" s="19" t="str">
        <x:v>方法=LOCAL_GNN0；查询节省=50.90%</x:v>
      </x:c>
      <x:c r="E1585" s="19" t="str">
        <x:v>查询节省</x:v>
      </x:c>
      <x:c r="F1585" s="19" t="str">
        <x:v>50.90%</x:v>
      </x:c>
      <x:c r="G1585" s="19" t="str">
        <x:v>速度/计算</x:v>
      </x:c>
      <x:c r="H1585" s="19" t="str">
        <x:v>D:/Codex/GRL研究/outputs/grid28/GRID28_accounting_report.md</x:v>
      </x:c>
    </x:row>
    <x:row r="1586" ht="36" customHeight="1">
      <x:c r="A1586" s="19" t="str">
        <x:v>GRID28</x:v>
      </x:c>
      <x:c r="B1586" s="19" t="str">
        <x:v>GRID28_accounting_report.md</x:v>
      </x:c>
      <x:c r="C1586" s="19" t="str">
        <x:v>1. GRID28 查询、搜索、完整控制成本分开核对</x:v>
      </x:c>
      <x:c r="D1586" s="19" t="str">
        <x:v>方法=LOCAL_GNN0；查询节省=50.90%</x:v>
      </x:c>
      <x:c r="E1586" s="19" t="str">
        <x:v>搜索时间减少</x:v>
      </x:c>
      <x:c r="F1586" s="19" t="str">
        <x:v>43.18%</x:v>
      </x:c>
      <x:c r="G1586" s="19" t="str">
        <x:v>速度/计算</x:v>
      </x:c>
      <x:c r="H1586" s="19" t="str">
        <x:v>D:/Codex/GRL研究/outputs/grid28/GRID28_accounting_report.md</x:v>
      </x:c>
    </x:row>
    <x:row r="1587" ht="36" customHeight="1">
      <x:c r="A1587" s="19" t="str">
        <x:v>GRID28</x:v>
      </x:c>
      <x:c r="B1587" s="19" t="str">
        <x:v>GRID28_accounting_report.md</x:v>
      </x:c>
      <x:c r="C1587" s="19" t="str">
        <x:v>1. GRID28 查询、搜索、完整控制成本分开核对</x:v>
      </x:c>
      <x:c r="D1587" s="19" t="str">
        <x:v>方法=LOCAL_GNN0；查询节省=50.90%</x:v>
      </x:c>
      <x:c r="E1587" s="19" t="str">
        <x:v>总控制时间减少</x:v>
      </x:c>
      <x:c r="F1587" s="19" t="str">
        <x:v>8.83%</x:v>
      </x:c>
      <x:c r="G1587" s="19" t="str">
        <x:v>速度/计算</x:v>
      </x:c>
      <x:c r="H1587" s="19" t="str">
        <x:v>D:/Codex/GRL研究/outputs/grid28/GRID28_accounting_report.md</x:v>
      </x:c>
    </x:row>
    <x:row r="1588" ht="36" customHeight="1">
      <x:c r="A1588" s="19" t="str">
        <x:v>GRID28</x:v>
      </x:c>
      <x:c r="B1588" s="19" t="str">
        <x:v>GRID28_accounting_report.md</x:v>
      </x:c>
      <x:c r="C1588" s="19" t="str">
        <x:v>1. GRID28 查询、搜索、完整控制成本分开核对</x:v>
      </x:c>
      <x:c r="D1588" s="19" t="str">
        <x:v>方法=LOCAL_GNN0；查询节省=50.90%</x:v>
      </x:c>
      <x:c r="E1588" s="19" t="str">
        <x:v>完成周成本平均增幅/最大</x:v>
      </x:c>
      <x:c r="F1588" s="19" t="str">
        <x:v>0.0454% / 0.1361%</x:v>
      </x:c>
      <x:c r="G1588" s="19" t="str">
        <x:v>质量/成本</x:v>
      </x:c>
      <x:c r="H1588" s="19" t="str">
        <x:v>D:/Codex/GRL研究/outputs/grid28/GRID28_accounting_report.md</x:v>
      </x:c>
    </x:row>
    <x:row r="1589" ht="36" customHeight="1">
      <x:c r="A1589" s="19" t="str">
        <x:v>GRID28</x:v>
      </x:c>
      <x:c r="B1589" s="19" t="str">
        <x:v>GRID28_accounting_report.md</x:v>
      </x:c>
      <x:c r="C1589" s="19" t="str">
        <x:v>1. GRID28 查询、搜索、完整控制成本分开核对</x:v>
      </x:c>
      <x:c r="D1589" s="19" t="str">
        <x:v>方法=LOCAL_GNN0；查询节省=50.90%</x:v>
      </x:c>
      <x:c r="E1589" s="19" t="str">
        <x:v>完成/日期</x:v>
      </x:c>
      <x:c r="F1589" s="19" t="str">
        <x:v>3/4</x:v>
      </x:c>
      <x:c r="G1589" s="19" t="str">
        <x:v>质量/成本</x:v>
      </x:c>
      <x:c r="H1589" s="19" t="str">
        <x:v>D:/Codex/GRL研究/outputs/grid28/GRID28_accounting_report.md</x:v>
      </x:c>
    </x:row>
    <x:row r="1590" ht="36" customHeight="1">
      <x:c r="A1590" s="19" t="str">
        <x:v>GRID28</x:v>
      </x:c>
      <x:c r="B1590" s="19" t="str">
        <x:v>GRID28_accounting_report.md</x:v>
      </x:c>
      <x:c r="C1590" s="19" t="str">
        <x:v>1. GRID28 查询、搜索、完整控制成本分开核对</x:v>
      </x:c>
      <x:c r="D1590" s="19" t="str">
        <x:v>方法=LOCAL_PPO；查询节省=47.78%</x:v>
      </x:c>
      <x:c r="E1590" s="19" t="str">
        <x:v>查询节省</x:v>
      </x:c>
      <x:c r="F1590" s="19" t="str">
        <x:v>47.78%</x:v>
      </x:c>
      <x:c r="G1590" s="19" t="str">
        <x:v>速度/计算</x:v>
      </x:c>
      <x:c r="H1590" s="19" t="str">
        <x:v>D:/Codex/GRL研究/outputs/grid28/GRID28_accounting_report.md</x:v>
      </x:c>
    </x:row>
    <x:row r="1591" ht="36" customHeight="1">
      <x:c r="A1591" s="19" t="str">
        <x:v>GRID28</x:v>
      </x:c>
      <x:c r="B1591" s="19" t="str">
        <x:v>GRID28_accounting_report.md</x:v>
      </x:c>
      <x:c r="C1591" s="19" t="str">
        <x:v>1. GRID28 查询、搜索、完整控制成本分开核对</x:v>
      </x:c>
      <x:c r="D1591" s="19" t="str">
        <x:v>方法=LOCAL_PPO；查询节省=47.78%</x:v>
      </x:c>
      <x:c r="E1591" s="19" t="str">
        <x:v>搜索时间减少</x:v>
      </x:c>
      <x:c r="F1591" s="19" t="str">
        <x:v>37.74%</x:v>
      </x:c>
      <x:c r="G1591" s="19" t="str">
        <x:v>速度/计算</x:v>
      </x:c>
      <x:c r="H1591" s="19" t="str">
        <x:v>D:/Codex/GRL研究/outputs/grid28/GRID28_accounting_report.md</x:v>
      </x:c>
    </x:row>
    <x:row r="1592" ht="36" customHeight="1">
      <x:c r="A1592" s="19" t="str">
        <x:v>GRID28</x:v>
      </x:c>
      <x:c r="B1592" s="19" t="str">
        <x:v>GRID28_accounting_report.md</x:v>
      </x:c>
      <x:c r="C1592" s="19" t="str">
        <x:v>1. GRID28 查询、搜索、完整控制成本分开核对</x:v>
      </x:c>
      <x:c r="D1592" s="19" t="str">
        <x:v>方法=LOCAL_PPO；查询节省=47.78%</x:v>
      </x:c>
      <x:c r="E1592" s="19" t="str">
        <x:v>总控制时间减少</x:v>
      </x:c>
      <x:c r="F1592" s="19" t="str">
        <x:v>3.45%</x:v>
      </x:c>
      <x:c r="G1592" s="19" t="str">
        <x:v>速度/计算</x:v>
      </x:c>
      <x:c r="H1592" s="19" t="str">
        <x:v>D:/Codex/GRL研究/outputs/grid28/GRID28_accounting_report.md</x:v>
      </x:c>
    </x:row>
    <x:row r="1593" ht="36" customHeight="1">
      <x:c r="A1593" s="19" t="str">
        <x:v>GRID28</x:v>
      </x:c>
      <x:c r="B1593" s="19" t="str">
        <x:v>GRID28_accounting_report.md</x:v>
      </x:c>
      <x:c r="C1593" s="19" t="str">
        <x:v>1. GRID28 查询、搜索、完整控制成本分开核对</x:v>
      </x:c>
      <x:c r="D1593" s="19" t="str">
        <x:v>方法=LOCAL_PPO；查询节省=47.78%</x:v>
      </x:c>
      <x:c r="E1593" s="19" t="str">
        <x:v>完成周成本平均增幅/最大</x:v>
      </x:c>
      <x:c r="F1593" s="19" t="str">
        <x:v>0.0454% / 0.1361%</x:v>
      </x:c>
      <x:c r="G1593" s="19" t="str">
        <x:v>质量/成本</x:v>
      </x:c>
      <x:c r="H1593" s="19" t="str">
        <x:v>D:/Codex/GRL研究/outputs/grid28/GRID28_accounting_report.md</x:v>
      </x:c>
    </x:row>
    <x:row r="1594" ht="36" customHeight="1">
      <x:c r="A1594" s="19" t="str">
        <x:v>GRID28</x:v>
      </x:c>
      <x:c r="B1594" s="19" t="str">
        <x:v>GRID28_accounting_report.md</x:v>
      </x:c>
      <x:c r="C1594" s="19" t="str">
        <x:v>1. GRID28 查询、搜索、完整控制成本分开核对</x:v>
      </x:c>
      <x:c r="D1594" s="19" t="str">
        <x:v>方法=LOCAL_PPO；查询节省=47.78%</x:v>
      </x:c>
      <x:c r="E1594" s="19" t="str">
        <x:v>完成/日期</x:v>
      </x:c>
      <x:c r="F1594" s="19" t="str">
        <x:v>3/4</x:v>
      </x:c>
      <x:c r="G1594" s="19" t="str">
        <x:v>质量/成本</x:v>
      </x:c>
      <x:c r="H1594" s="19" t="str">
        <x:v>D:/Codex/GRL研究/outputs/grid28/GRID28_accounting_report.md</x:v>
      </x:c>
    </x:row>
    <x:row r="1595" ht="36" customHeight="1">
      <x:c r="A1595" s="19" t="str">
        <x:v>GRID28</x:v>
      </x:c>
      <x:c r="B1595" s="19" t="str">
        <x:v>GRID28_all_report.md</x:v>
      </x:c>
      <x:c r="C1595" s="19" t="str">
        <x:v>1. GRID28 all 闭环开发结果</x:v>
      </x:c>
      <x:c r="D1595" s="19" t="str">
        <x:v>方法/日期=LOCAL_GNN0/2035-03-05_0；完成/步数=True/2017</x:v>
      </x:c>
      <x:c r="E1595" s="19" t="str">
        <x:v>完成/步数</x:v>
      </x:c>
      <x:c r="F1595" s="19" t="str">
        <x:v>True/2017</x:v>
      </x:c>
      <x:c r="G1595" s="19" t="str">
        <x:v>质量/成本</x:v>
      </x:c>
      <x:c r="H1595" s="19" t="str">
        <x:v>D:/Codex/GRL研究/outputs/grid28/GRID28_all_report.md</x:v>
      </x:c>
    </x:row>
    <x:row r="1596" ht="36" customHeight="1">
      <x:c r="A1596" s="19" t="str">
        <x:v>GRID28</x:v>
      </x:c>
      <x:c r="B1596" s="19" t="str">
        <x:v>GRID28_all_report.md</x:v>
      </x:c>
      <x:c r="C1596" s="19" t="str">
        <x:v>1. GRID28 all 闭环开发结果</x:v>
      </x:c>
      <x:c r="D1596" s="19" t="str">
        <x:v>方法/日期=LOCAL_GNN0/2035-03-05_0；完成/步数=True/2017</x:v>
      </x:c>
      <x:c r="E1596" s="19" t="str">
        <x:v>成本差</x:v>
      </x:c>
      <x:c r="F1596" s="19" t="str">
        <x:v>+0.14%</x:v>
      </x:c>
      <x:c r="G1596" s="19" t="str">
        <x:v>质量/成本</x:v>
      </x:c>
      <x:c r="H1596" s="19" t="str">
        <x:v>D:/Codex/GRL研究/outputs/grid28/GRID28_all_report.md</x:v>
      </x:c>
    </x:row>
    <x:row r="1597" ht="36" customHeight="1">
      <x:c r="A1597" s="19" t="str">
        <x:v>GRID28</x:v>
      </x:c>
      <x:c r="B1597" s="19" t="str">
        <x:v>GRID28_all_report.md</x:v>
      </x:c>
      <x:c r="C1597" s="19" t="str">
        <x:v>1. GRID28 all 闭环开发结果</x:v>
      </x:c>
      <x:c r="D1597" s="19" t="str">
        <x:v>方法/日期=LOCAL_GNN0/2035-03-05_0；完成/步数=True/2017</x:v>
      </x:c>
      <x:c r="E1597" s="19" t="str">
        <x:v>查询减少</x:v>
      </x:c>
      <x:c r="F1597" s="19" t="str">
        <x:v>+54.15%</x:v>
      </x:c>
      <x:c r="G1597" s="19" t="str">
        <x:v>速度/计算</x:v>
      </x:c>
      <x:c r="H1597" s="19" t="str">
        <x:v>D:/Codex/GRL研究/outputs/grid28/GRID28_all_report.md</x:v>
      </x:c>
    </x:row>
    <x:row r="1598" ht="36" customHeight="1">
      <x:c r="A1598" s="19" t="str">
        <x:v>GRID28</x:v>
      </x:c>
      <x:c r="B1598" s="19" t="str">
        <x:v>GRID28_all_report.md</x:v>
      </x:c>
      <x:c r="C1598" s="19" t="str">
        <x:v>1. GRID28 all 闭环开发结果</x:v>
      </x:c>
      <x:c r="D1598" s="19" t="str">
        <x:v>方法/日期=LOCAL_GNN0/2035-03-05_0；完成/步数=True/2017</x:v>
      </x:c>
      <x:c r="E1598" s="19" t="str">
        <x:v>搜索时间减少</x:v>
      </x:c>
      <x:c r="F1598" s="19" t="str">
        <x:v>+46.22%</x:v>
      </x:c>
      <x:c r="G1598" s="19" t="str">
        <x:v>速度/计算</x:v>
      </x:c>
      <x:c r="H1598" s="19" t="str">
        <x:v>D:/Codex/GRL研究/outputs/grid28/GRID28_all_report.md</x:v>
      </x:c>
    </x:row>
    <x:row r="1599" ht="36" customHeight="1">
      <x:c r="A1599" s="19" t="str">
        <x:v>GRID28</x:v>
      </x:c>
      <x:c r="B1599" s="19" t="str">
        <x:v>GRID28_all_report.md</x:v>
      </x:c>
      <x:c r="C1599" s="19" t="str">
        <x:v>1. GRID28 all 闭环开发结果</x:v>
      </x:c>
      <x:c r="D1599" s="19" t="str">
        <x:v>方法/日期=LOCAL_GNN0/2035-03-05_0；完成/步数=True/2017</x:v>
      </x:c>
      <x:c r="E1599" s="19" t="str">
        <x:v>总控制减少</x:v>
      </x:c>
      <x:c r="F1599" s="19" t="str">
        <x:v>+4.87%</x:v>
      </x:c>
      <x:c r="G1599" s="19" t="str">
        <x:v>速度/计算</x:v>
      </x:c>
      <x:c r="H1599" s="19" t="str">
        <x:v>D:/Codex/GRL研究/outputs/grid28/GRID28_all_report.md</x:v>
      </x:c>
    </x:row>
    <x:row r="1600" ht="36" customHeight="1">
      <x:c r="A1600" s="19" t="str">
        <x:v>GRID28</x:v>
      </x:c>
      <x:c r="B1600" s="19" t="str">
        <x:v>GRID28_all_report.md</x:v>
      </x:c>
      <x:c r="C1600" s="19" t="str">
        <x:v>1. GRID28 all 闭环开发结果</x:v>
      </x:c>
      <x:c r="D1600" s="19" t="str">
        <x:v>方法/日期=LOCAL_GNN0/2035-03-05_0；完成/步数=True/2017</x:v>
      </x:c>
      <x:c r="E1600" s="19" t="str">
        <x:v>质量筛查</x:v>
      </x:c>
      <x:c r="F1600" s="19" t="str">
        <x:v>True</x:v>
      </x:c>
      <x:c r="G1600" s="19" t="str">
        <x:v>质量/成本</x:v>
      </x:c>
      <x:c r="H1600" s="19" t="str">
        <x:v>D:/Codex/GRL研究/outputs/grid28/GRID28_all_report.md</x:v>
      </x:c>
    </x:row>
    <x:row r="1601" ht="36" customHeight="1">
      <x:c r="A1601" s="19" t="str">
        <x:v>GRID28</x:v>
      </x:c>
      <x:c r="B1601" s="19" t="str">
        <x:v>GRID28_all_report.md</x:v>
      </x:c>
      <x:c r="C1601" s="19" t="str">
        <x:v>1. GRID28 all 闭环开发结果</x:v>
      </x:c>
      <x:c r="D1601" s="19" t="str">
        <x:v>方法/日期=LOCAL_PPO/2035-03-05_0；完成/步数=True/2017</x:v>
      </x:c>
      <x:c r="E1601" s="19" t="str">
        <x:v>完成/步数</x:v>
      </x:c>
      <x:c r="F1601" s="19" t="str">
        <x:v>True/2017</x:v>
      </x:c>
      <x:c r="G1601" s="19" t="str">
        <x:v>质量/成本</x:v>
      </x:c>
      <x:c r="H1601" s="19" t="str">
        <x:v>D:/Codex/GRL研究/outputs/grid28/GRID28_all_report.md</x:v>
      </x:c>
    </x:row>
    <x:row r="1602" ht="36" customHeight="1">
      <x:c r="A1602" s="19" t="str">
        <x:v>GRID28</x:v>
      </x:c>
      <x:c r="B1602" s="19" t="str">
        <x:v>GRID28_all_report.md</x:v>
      </x:c>
      <x:c r="C1602" s="19" t="str">
        <x:v>1. GRID28 all 闭环开发结果</x:v>
      </x:c>
      <x:c r="D1602" s="19" t="str">
        <x:v>方法/日期=LOCAL_PPO/2035-03-05_0；完成/步数=True/2017</x:v>
      </x:c>
      <x:c r="E1602" s="19" t="str">
        <x:v>成本差</x:v>
      </x:c>
      <x:c r="F1602" s="19" t="str">
        <x:v>+0.14%</x:v>
      </x:c>
      <x:c r="G1602" s="19" t="str">
        <x:v>质量/成本</x:v>
      </x:c>
      <x:c r="H1602" s="19" t="str">
        <x:v>D:/Codex/GRL研究/outputs/grid28/GRID28_all_report.md</x:v>
      </x:c>
    </x:row>
    <x:row r="1603" ht="36" customHeight="1">
      <x:c r="A1603" s="19" t="str">
        <x:v>GRID28</x:v>
      </x:c>
      <x:c r="B1603" s="19" t="str">
        <x:v>GRID28_all_report.md</x:v>
      </x:c>
      <x:c r="C1603" s="19" t="str">
        <x:v>1. GRID28 all 闭环开发结果</x:v>
      </x:c>
      <x:c r="D1603" s="19" t="str">
        <x:v>方法/日期=LOCAL_PPO/2035-03-05_0；完成/步数=True/2017</x:v>
      </x:c>
      <x:c r="E1603" s="19" t="str">
        <x:v>查询减少</x:v>
      </x:c>
      <x:c r="F1603" s="19" t="str">
        <x:v>+53.03%</x:v>
      </x:c>
      <x:c r="G1603" s="19" t="str">
        <x:v>速度/计算</x:v>
      </x:c>
      <x:c r="H1603" s="19" t="str">
        <x:v>D:/Codex/GRL研究/outputs/grid28/GRID28_all_report.md</x:v>
      </x:c>
    </x:row>
    <x:row r="1604" ht="36" customHeight="1">
      <x:c r="A1604" s="19" t="str">
        <x:v>GRID28</x:v>
      </x:c>
      <x:c r="B1604" s="19" t="str">
        <x:v>GRID28_all_report.md</x:v>
      </x:c>
      <x:c r="C1604" s="19" t="str">
        <x:v>1. GRID28 all 闭环开发结果</x:v>
      </x:c>
      <x:c r="D1604" s="19" t="str">
        <x:v>方法/日期=LOCAL_PPO/2035-03-05_0；完成/步数=True/2017</x:v>
      </x:c>
      <x:c r="E1604" s="19" t="str">
        <x:v>搜索时间减少</x:v>
      </x:c>
      <x:c r="F1604" s="19" t="str">
        <x:v>+45.36%</x:v>
      </x:c>
      <x:c r="G1604" s="19" t="str">
        <x:v>速度/计算</x:v>
      </x:c>
      <x:c r="H1604" s="19" t="str">
        <x:v>D:/Codex/GRL研究/outputs/grid28/GRID28_all_report.md</x:v>
      </x:c>
    </x:row>
    <x:row r="1605" ht="36" customHeight="1">
      <x:c r="A1605" s="19" t="str">
        <x:v>GRID28</x:v>
      </x:c>
      <x:c r="B1605" s="19" t="str">
        <x:v>GRID28_all_report.md</x:v>
      </x:c>
      <x:c r="C1605" s="19" t="str">
        <x:v>1. GRID28 all 闭环开发结果</x:v>
      </x:c>
      <x:c r="D1605" s="19" t="str">
        <x:v>方法/日期=LOCAL_PPO/2035-03-05_0；完成/步数=True/2017</x:v>
      </x:c>
      <x:c r="E1605" s="19" t="str">
        <x:v>总控制减少</x:v>
      </x:c>
      <x:c r="F1605" s="19" t="str">
        <x:v>+5.06%</x:v>
      </x:c>
      <x:c r="G1605" s="19" t="str">
        <x:v>速度/计算</x:v>
      </x:c>
      <x:c r="H1605" s="19" t="str">
        <x:v>D:/Codex/GRL研究/outputs/grid28/GRID28_all_report.md</x:v>
      </x:c>
    </x:row>
    <x:row r="1606" ht="36" customHeight="1">
      <x:c r="A1606" s="19" t="str">
        <x:v>GRID28</x:v>
      </x:c>
      <x:c r="B1606" s="19" t="str">
        <x:v>GRID28_all_report.md</x:v>
      </x:c>
      <x:c r="C1606" s="19" t="str">
        <x:v>1. GRID28 all 闭环开发结果</x:v>
      </x:c>
      <x:c r="D1606" s="19" t="str">
        <x:v>方法/日期=LOCAL_PPO/2035-03-05_0；完成/步数=True/2017</x:v>
      </x:c>
      <x:c r="E1606" s="19" t="str">
        <x:v>质量筛查</x:v>
      </x:c>
      <x:c r="F1606" s="19" t="str">
        <x:v>True</x:v>
      </x:c>
      <x:c r="G1606" s="19" t="str">
        <x:v>质量/成本</x:v>
      </x:c>
      <x:c r="H1606" s="19" t="str">
        <x:v>D:/Codex/GRL研究/outputs/grid28/GRID28_all_report.md</x:v>
      </x:c>
    </x:row>
    <x:row r="1607" ht="36" customHeight="1">
      <x:c r="A1607" s="19" t="str">
        <x:v>GRID28</x:v>
      </x:c>
      <x:c r="B1607" s="19" t="str">
        <x:v>GRID28_all_report.md</x:v>
      </x:c>
      <x:c r="C1607" s="19" t="str">
        <x:v>1. GRID28 all 闭环开发结果</x:v>
      </x:c>
      <x:c r="D1607" s="19" t="str">
        <x:v>方法/日期=LOCAL_GNN0/2035-06-25_8；完成/步数=False/1901</x:v>
      </x:c>
      <x:c r="E1607" s="19" t="str">
        <x:v>完成/步数</x:v>
      </x:c>
      <x:c r="F1607" s="19" t="str">
        <x:v>False/1901</x:v>
      </x:c>
      <x:c r="G1607" s="19" t="str">
        <x:v>质量/成本</x:v>
      </x:c>
      <x:c r="H1607" s="19" t="str">
        <x:v>D:/Codex/GRL研究/outputs/grid28/GRID28_all_report.md</x:v>
      </x:c>
    </x:row>
    <x:row r="1608" ht="36" customHeight="1">
      <x:c r="A1608" s="19" t="str">
        <x:v>GRID28</x:v>
      </x:c>
      <x:c r="B1608" s="19" t="str">
        <x:v>GRID28_all_report.md</x:v>
      </x:c>
      <x:c r="C1608" s="19" t="str">
        <x:v>1. GRID28 all 闭环开发结果</x:v>
      </x:c>
      <x:c r="D1608" s="19" t="str">
        <x:v>方法/日期=LOCAL_GNN0/2035-06-25_8；完成/步数=False/1901</x:v>
      </x:c>
      <x:c r="E1608" s="19" t="str">
        <x:v>成本差</x:v>
      </x:c>
      <x:c r="F1608" s="19" t="str">
        <x:v>不比较</x:v>
      </x:c>
      <x:c r="G1608" s="19" t="str">
        <x:v>质量/成本</x:v>
      </x:c>
      <x:c r="H1608" s="19" t="str">
        <x:v>D:/Codex/GRL研究/outputs/grid28/GRID28_all_report.md</x:v>
      </x:c>
    </x:row>
    <x:row r="1609" ht="36" customHeight="1">
      <x:c r="A1609" s="19" t="str">
        <x:v>GRID28</x:v>
      </x:c>
      <x:c r="B1609" s="19" t="str">
        <x:v>GRID28_all_report.md</x:v>
      </x:c>
      <x:c r="C1609" s="19" t="str">
        <x:v>1. GRID28 all 闭环开发结果</x:v>
      </x:c>
      <x:c r="D1609" s="19" t="str">
        <x:v>方法/日期=LOCAL_GNN0/2035-06-25_8；完成/步数=False/1901</x:v>
      </x:c>
      <x:c r="E1609" s="19" t="str">
        <x:v>查询减少</x:v>
      </x:c>
      <x:c r="F1609" s="19" t="str">
        <x:v>+43.16%</x:v>
      </x:c>
      <x:c r="G1609" s="19" t="str">
        <x:v>速度/计算</x:v>
      </x:c>
      <x:c r="H1609" s="19" t="str">
        <x:v>D:/Codex/GRL研究/outputs/grid28/GRID28_all_report.md</x:v>
      </x:c>
    </x:row>
    <x:row r="1610" ht="36" customHeight="1">
      <x:c r="A1610" s="19" t="str">
        <x:v>GRID28</x:v>
      </x:c>
      <x:c r="B1610" s="19" t="str">
        <x:v>GRID28_all_report.md</x:v>
      </x:c>
      <x:c r="C1610" s="19" t="str">
        <x:v>1. GRID28 all 闭环开发结果</x:v>
      </x:c>
      <x:c r="D1610" s="19" t="str">
        <x:v>方法/日期=LOCAL_GNN0/2035-06-25_8；完成/步数=False/1901</x:v>
      </x:c>
      <x:c r="E1610" s="19" t="str">
        <x:v>搜索时间减少</x:v>
      </x:c>
      <x:c r="F1610" s="19" t="str">
        <x:v>+32.67%</x:v>
      </x:c>
      <x:c r="G1610" s="19" t="str">
        <x:v>速度/计算</x:v>
      </x:c>
      <x:c r="H1610" s="19" t="str">
        <x:v>D:/Codex/GRL研究/outputs/grid28/GRID28_all_report.md</x:v>
      </x:c>
    </x:row>
    <x:row r="1611" ht="36" customHeight="1">
      <x:c r="A1611" s="19" t="str">
        <x:v>GRID28</x:v>
      </x:c>
      <x:c r="B1611" s="19" t="str">
        <x:v>GRID28_all_report.md</x:v>
      </x:c>
      <x:c r="C1611" s="19" t="str">
        <x:v>1. GRID28 all 闭环开发结果</x:v>
      </x:c>
      <x:c r="D1611" s="19" t="str">
        <x:v>方法/日期=LOCAL_GNN0/2035-06-25_8；完成/步数=False/1901</x:v>
      </x:c>
      <x:c r="E1611" s="19" t="str">
        <x:v>总控制减少</x:v>
      </x:c>
      <x:c r="F1611" s="19" t="str">
        <x:v>+9.74%</x:v>
      </x:c>
      <x:c r="G1611" s="19" t="str">
        <x:v>速度/计算</x:v>
      </x:c>
      <x:c r="H1611" s="19" t="str">
        <x:v>D:/Codex/GRL研究/outputs/grid28/GRID28_all_report.md</x:v>
      </x:c>
    </x:row>
    <x:row r="1612" ht="36" customHeight="1">
      <x:c r="A1612" s="19" t="str">
        <x:v>GRID28</x:v>
      </x:c>
      <x:c r="B1612" s="19" t="str">
        <x:v>GRID28_all_report.md</x:v>
      </x:c>
      <x:c r="C1612" s="19" t="str">
        <x:v>1. GRID28 all 闭环开发结果</x:v>
      </x:c>
      <x:c r="D1612" s="19" t="str">
        <x:v>方法/日期=LOCAL_GNN0/2035-06-25_8；完成/步数=False/1901</x:v>
      </x:c>
      <x:c r="E1612" s="19" t="str">
        <x:v>质量筛查</x:v>
      </x:c>
      <x:c r="F1612" s="19" t="str">
        <x:v>True</x:v>
      </x:c>
      <x:c r="G1612" s="19" t="str">
        <x:v>质量/成本</x:v>
      </x:c>
      <x:c r="H1612" s="19" t="str">
        <x:v>D:/Codex/GRL研究/outputs/grid28/GRID28_all_report.md</x:v>
      </x:c>
    </x:row>
    <x:row r="1613" ht="36" customHeight="1">
      <x:c r="A1613" s="19" t="str">
        <x:v>GRID28</x:v>
      </x:c>
      <x:c r="B1613" s="19" t="str">
        <x:v>GRID28_all_report.md</x:v>
      </x:c>
      <x:c r="C1613" s="19" t="str">
        <x:v>1. GRID28 all 闭环开发结果</x:v>
      </x:c>
      <x:c r="D1613" s="19" t="str">
        <x:v>方法/日期=LOCAL_PPO/2035-06-25_8；完成/步数=False/1901</x:v>
      </x:c>
      <x:c r="E1613" s="19" t="str">
        <x:v>完成/步数</x:v>
      </x:c>
      <x:c r="F1613" s="19" t="str">
        <x:v>False/1901</x:v>
      </x:c>
      <x:c r="G1613" s="19" t="str">
        <x:v>质量/成本</x:v>
      </x:c>
      <x:c r="H1613" s="19" t="str">
        <x:v>D:/Codex/GRL研究/outputs/grid28/GRID28_all_report.md</x:v>
      </x:c>
    </x:row>
    <x:row r="1614" ht="36" customHeight="1">
      <x:c r="A1614" s="19" t="str">
        <x:v>GRID28</x:v>
      </x:c>
      <x:c r="B1614" s="19" t="str">
        <x:v>GRID28_all_report.md</x:v>
      </x:c>
      <x:c r="C1614" s="19" t="str">
        <x:v>1. GRID28 all 闭环开发结果</x:v>
      </x:c>
      <x:c r="D1614" s="19" t="str">
        <x:v>方法/日期=LOCAL_PPO/2035-06-25_8；完成/步数=False/1901</x:v>
      </x:c>
      <x:c r="E1614" s="19" t="str">
        <x:v>成本差</x:v>
      </x:c>
      <x:c r="F1614" s="19" t="str">
        <x:v>不比较</x:v>
      </x:c>
      <x:c r="G1614" s="19" t="str">
        <x:v>质量/成本</x:v>
      </x:c>
      <x:c r="H1614" s="19" t="str">
        <x:v>D:/Codex/GRL研究/outputs/grid28/GRID28_all_report.md</x:v>
      </x:c>
    </x:row>
    <x:row r="1615" ht="36" customHeight="1">
      <x:c r="A1615" s="19" t="str">
        <x:v>GRID28</x:v>
      </x:c>
      <x:c r="B1615" s="19" t="str">
        <x:v>GRID28_all_report.md</x:v>
      </x:c>
      <x:c r="C1615" s="19" t="str">
        <x:v>1. GRID28 all 闭环开发结果</x:v>
      </x:c>
      <x:c r="D1615" s="19" t="str">
        <x:v>方法/日期=LOCAL_PPO/2035-06-25_8；完成/步数=False/1901</x:v>
      </x:c>
      <x:c r="E1615" s="19" t="str">
        <x:v>查询减少</x:v>
      </x:c>
      <x:c r="F1615" s="19" t="str">
        <x:v>+43.69%</x:v>
      </x:c>
      <x:c r="G1615" s="19" t="str">
        <x:v>速度/计算</x:v>
      </x:c>
      <x:c r="H1615" s="19" t="str">
        <x:v>D:/Codex/GRL研究/outputs/grid28/GRID28_all_report.md</x:v>
      </x:c>
    </x:row>
    <x:row r="1616" ht="36" customHeight="1">
      <x:c r="A1616" s="19" t="str">
        <x:v>GRID28</x:v>
      </x:c>
      <x:c r="B1616" s="19" t="str">
        <x:v>GRID28_all_report.md</x:v>
      </x:c>
      <x:c r="C1616" s="19" t="str">
        <x:v>1. GRID28 all 闭环开发结果</x:v>
      </x:c>
      <x:c r="D1616" s="19" t="str">
        <x:v>方法/日期=LOCAL_PPO/2035-06-25_8；完成/步数=False/1901</x:v>
      </x:c>
      <x:c r="E1616" s="19" t="str">
        <x:v>搜索时间减少</x:v>
      </x:c>
      <x:c r="F1616" s="19" t="str">
        <x:v>+33.91%</x:v>
      </x:c>
      <x:c r="G1616" s="19" t="str">
        <x:v>速度/计算</x:v>
      </x:c>
      <x:c r="H1616" s="19" t="str">
        <x:v>D:/Codex/GRL研究/outputs/grid28/GRID28_all_report.md</x:v>
      </x:c>
    </x:row>
    <x:row r="1617" ht="36" customHeight="1">
      <x:c r="A1617" s="19" t="str">
        <x:v>GRID28</x:v>
      </x:c>
      <x:c r="B1617" s="19" t="str">
        <x:v>GRID28_all_report.md</x:v>
      </x:c>
      <x:c r="C1617" s="19" t="str">
        <x:v>1. GRID28 all 闭环开发结果</x:v>
      </x:c>
      <x:c r="D1617" s="19" t="str">
        <x:v>方法/日期=LOCAL_PPO/2035-06-25_8；完成/步数=False/1901</x:v>
      </x:c>
      <x:c r="E1617" s="19" t="str">
        <x:v>总控制减少</x:v>
      </x:c>
      <x:c r="F1617" s="19" t="str">
        <x:v>+2.14%</x:v>
      </x:c>
      <x:c r="G1617" s="19" t="str">
        <x:v>速度/计算</x:v>
      </x:c>
      <x:c r="H1617" s="19" t="str">
        <x:v>D:/Codex/GRL研究/outputs/grid28/GRID28_all_report.md</x:v>
      </x:c>
    </x:row>
    <x:row r="1618" ht="36" customHeight="1">
      <x:c r="A1618" s="19" t="str">
        <x:v>GRID28</x:v>
      </x:c>
      <x:c r="B1618" s="19" t="str">
        <x:v>GRID28_all_report.md</x:v>
      </x:c>
      <x:c r="C1618" s="19" t="str">
        <x:v>1. GRID28 all 闭环开发结果</x:v>
      </x:c>
      <x:c r="D1618" s="19" t="str">
        <x:v>方法/日期=LOCAL_PPO/2035-06-25_8；完成/步数=False/1901</x:v>
      </x:c>
      <x:c r="E1618" s="19" t="str">
        <x:v>质量筛查</x:v>
      </x:c>
      <x:c r="F1618" s="19" t="str">
        <x:v>True</x:v>
      </x:c>
      <x:c r="G1618" s="19" t="str">
        <x:v>质量/成本</x:v>
      </x:c>
      <x:c r="H1618" s="19" t="str">
        <x:v>D:/Codex/GRL研究/outputs/grid28/GRID28_all_report.md</x:v>
      </x:c>
    </x:row>
    <x:row r="1619" ht="36" customHeight="1">
      <x:c r="A1619" s="19" t="str">
        <x:v>GRID28</x:v>
      </x:c>
      <x:c r="B1619" s="19" t="str">
        <x:v>GRID28_all_report.md</x:v>
      </x:c>
      <x:c r="C1619" s="19" t="str">
        <x:v>1. GRID28 all 闭环开发结果</x:v>
      </x:c>
      <x:c r="D1619" s="19" t="str">
        <x:v>方法/日期=LOCAL_PPO/2035-09-03_4；完成/步数=True/2017</x:v>
      </x:c>
      <x:c r="E1619" s="19" t="str">
        <x:v>完成/步数</x:v>
      </x:c>
      <x:c r="F1619" s="19" t="str">
        <x:v>True/2017</x:v>
      </x:c>
      <x:c r="G1619" s="19" t="str">
        <x:v>质量/成本</x:v>
      </x:c>
      <x:c r="H1619" s="19" t="str">
        <x:v>D:/Codex/GRL研究/outputs/grid28/GRID28_all_report.md</x:v>
      </x:c>
    </x:row>
    <x:row r="1620" ht="36" customHeight="1">
      <x:c r="A1620" s="19" t="str">
        <x:v>GRID28</x:v>
      </x:c>
      <x:c r="B1620" s="19" t="str">
        <x:v>GRID28_all_report.md</x:v>
      </x:c>
      <x:c r="C1620" s="19" t="str">
        <x:v>1. GRID28 all 闭环开发结果</x:v>
      </x:c>
      <x:c r="D1620" s="19" t="str">
        <x:v>方法/日期=LOCAL_PPO/2035-09-03_4；完成/步数=True/2017</x:v>
      </x:c>
      <x:c r="E1620" s="19" t="str">
        <x:v>成本差</x:v>
      </x:c>
      <x:c r="F1620" s="19" t="str">
        <x:v>+0.00%</x:v>
      </x:c>
      <x:c r="G1620" s="19" t="str">
        <x:v>质量/成本</x:v>
      </x:c>
      <x:c r="H1620" s="19" t="str">
        <x:v>D:/Codex/GRL研究/outputs/grid28/GRID28_all_report.md</x:v>
      </x:c>
    </x:row>
    <x:row r="1621" ht="36" customHeight="1">
      <x:c r="A1621" s="19" t="str">
        <x:v>GRID28</x:v>
      </x:c>
      <x:c r="B1621" s="19" t="str">
        <x:v>GRID28_all_report.md</x:v>
      </x:c>
      <x:c r="C1621" s="19" t="str">
        <x:v>1. GRID28 all 闭环开发结果</x:v>
      </x:c>
      <x:c r="D1621" s="19" t="str">
        <x:v>方法/日期=LOCAL_PPO/2035-09-03_4；完成/步数=True/2017</x:v>
      </x:c>
      <x:c r="E1621" s="19" t="str">
        <x:v>查询减少</x:v>
      </x:c>
      <x:c r="F1621" s="19" t="str">
        <x:v>+45.62%</x:v>
      </x:c>
      <x:c r="G1621" s="19" t="str">
        <x:v>速度/计算</x:v>
      </x:c>
      <x:c r="H1621" s="19" t="str">
        <x:v>D:/Codex/GRL研究/outputs/grid28/GRID28_all_report.md</x:v>
      </x:c>
    </x:row>
    <x:row r="1622" ht="36" customHeight="1">
      <x:c r="A1622" s="19" t="str">
        <x:v>GRID28</x:v>
      </x:c>
      <x:c r="B1622" s="19" t="str">
        <x:v>GRID28_all_report.md</x:v>
      </x:c>
      <x:c r="C1622" s="19" t="str">
        <x:v>1. GRID28 all 闭环开发结果</x:v>
      </x:c>
      <x:c r="D1622" s="19" t="str">
        <x:v>方法/日期=LOCAL_PPO/2035-09-03_4；完成/步数=True/2017</x:v>
      </x:c>
      <x:c r="E1622" s="19" t="str">
        <x:v>搜索时间减少</x:v>
      </x:c>
      <x:c r="F1622" s="19" t="str">
        <x:v>+34.27%</x:v>
      </x:c>
      <x:c r="G1622" s="19" t="str">
        <x:v>速度/计算</x:v>
      </x:c>
      <x:c r="H1622" s="19" t="str">
        <x:v>D:/Codex/GRL研究/outputs/grid28/GRID28_all_report.md</x:v>
      </x:c>
    </x:row>
    <x:row r="1623" ht="36" customHeight="1">
      <x:c r="A1623" s="19" t="str">
        <x:v>GRID28</x:v>
      </x:c>
      <x:c r="B1623" s="19" t="str">
        <x:v>GRID28_all_report.md</x:v>
      </x:c>
      <x:c r="C1623" s="19" t="str">
        <x:v>1. GRID28 all 闭环开发结果</x:v>
      </x:c>
      <x:c r="D1623" s="19" t="str">
        <x:v>方法/日期=LOCAL_PPO/2035-09-03_4；完成/步数=True/2017</x:v>
      </x:c>
      <x:c r="E1623" s="19" t="str">
        <x:v>总控制减少</x:v>
      </x:c>
      <x:c r="F1623" s="19" t="str">
        <x:v>+6.82%</x:v>
      </x:c>
      <x:c r="G1623" s="19" t="str">
        <x:v>速度/计算</x:v>
      </x:c>
      <x:c r="H1623" s="19" t="str">
        <x:v>D:/Codex/GRL研究/outputs/grid28/GRID28_all_report.md</x:v>
      </x:c>
    </x:row>
    <x:row r="1624" ht="36" customHeight="1">
      <x:c r="A1624" s="19" t="str">
        <x:v>GRID28</x:v>
      </x:c>
      <x:c r="B1624" s="19" t="str">
        <x:v>GRID28_all_report.md</x:v>
      </x:c>
      <x:c r="C1624" s="19" t="str">
        <x:v>1. GRID28 all 闭环开发结果</x:v>
      </x:c>
      <x:c r="D1624" s="19" t="str">
        <x:v>方法/日期=LOCAL_PPO/2035-09-03_4；完成/步数=True/2017</x:v>
      </x:c>
      <x:c r="E1624" s="19" t="str">
        <x:v>质量筛查</x:v>
      </x:c>
      <x:c r="F1624" s="19" t="str">
        <x:v>True</x:v>
      </x:c>
      <x:c r="G1624" s="19" t="str">
        <x:v>质量/成本</x:v>
      </x:c>
      <x:c r="H1624" s="19" t="str">
        <x:v>D:/Codex/GRL研究/outputs/grid28/GRID28_all_report.md</x:v>
      </x:c>
    </x:row>
    <x:row r="1625" ht="36" customHeight="1">
      <x:c r="A1625" s="19" t="str">
        <x:v>GRID28</x:v>
      </x:c>
      <x:c r="B1625" s="19" t="str">
        <x:v>GRID28_all_report.md</x:v>
      </x:c>
      <x:c r="C1625" s="19" t="str">
        <x:v>1. GRID28 all 闭环开发结果</x:v>
      </x:c>
      <x:c r="D1625" s="19" t="str">
        <x:v>方法/日期=LOCAL_GNN0/2035-09-03_4；完成/步数=True/2017</x:v>
      </x:c>
      <x:c r="E1625" s="19" t="str">
        <x:v>完成/步数</x:v>
      </x:c>
      <x:c r="F1625" s="19" t="str">
        <x:v>True/2017</x:v>
      </x:c>
      <x:c r="G1625" s="19" t="str">
        <x:v>质量/成本</x:v>
      </x:c>
      <x:c r="H1625" s="19" t="str">
        <x:v>D:/Codex/GRL研究/outputs/grid28/GRID28_all_report.md</x:v>
      </x:c>
    </x:row>
    <x:row r="1626" ht="36" customHeight="1">
      <x:c r="A1626" s="19" t="str">
        <x:v>GRID28</x:v>
      </x:c>
      <x:c r="B1626" s="19" t="str">
        <x:v>GRID28_all_report.md</x:v>
      </x:c>
      <x:c r="C1626" s="19" t="str">
        <x:v>1. GRID28 all 闭环开发结果</x:v>
      </x:c>
      <x:c r="D1626" s="19" t="str">
        <x:v>方法/日期=LOCAL_GNN0/2035-09-03_4；完成/步数=True/2017</x:v>
      </x:c>
      <x:c r="E1626" s="19" t="str">
        <x:v>成本差</x:v>
      </x:c>
      <x:c r="F1626" s="19" t="str">
        <x:v>+0.00%</x:v>
      </x:c>
      <x:c r="G1626" s="19" t="str">
        <x:v>质量/成本</x:v>
      </x:c>
      <x:c r="H1626" s="19" t="str">
        <x:v>D:/Codex/GRL研究/outputs/grid28/GRID28_all_report.md</x:v>
      </x:c>
    </x:row>
    <x:row r="1627" ht="36" customHeight="1">
      <x:c r="A1627" s="19" t="str">
        <x:v>GRID28</x:v>
      </x:c>
      <x:c r="B1627" s="19" t="str">
        <x:v>GRID28_all_report.md</x:v>
      </x:c>
      <x:c r="C1627" s="19" t="str">
        <x:v>1. GRID28 all 闭环开发结果</x:v>
      </x:c>
      <x:c r="D1627" s="19" t="str">
        <x:v>方法/日期=LOCAL_GNN0/2035-09-03_4；完成/步数=True/2017</x:v>
      </x:c>
      <x:c r="E1627" s="19" t="str">
        <x:v>查询减少</x:v>
      </x:c>
      <x:c r="F1627" s="19" t="str">
        <x:v>+52.78%</x:v>
      </x:c>
      <x:c r="G1627" s="19" t="str">
        <x:v>速度/计算</x:v>
      </x:c>
      <x:c r="H1627" s="19" t="str">
        <x:v>D:/Codex/GRL研究/outputs/grid28/GRID28_all_report.md</x:v>
      </x:c>
    </x:row>
    <x:row r="1628" ht="36" customHeight="1">
      <x:c r="A1628" s="19" t="str">
        <x:v>GRID28</x:v>
      </x:c>
      <x:c r="B1628" s="19" t="str">
        <x:v>GRID28_all_report.md</x:v>
      </x:c>
      <x:c r="C1628" s="19" t="str">
        <x:v>1. GRID28 all 闭环开发结果</x:v>
      </x:c>
      <x:c r="D1628" s="19" t="str">
        <x:v>方法/日期=LOCAL_GNN0/2035-09-03_4；完成/步数=True/2017</x:v>
      </x:c>
      <x:c r="E1628" s="19" t="str">
        <x:v>搜索时间减少</x:v>
      </x:c>
      <x:c r="F1628" s="19" t="str">
        <x:v>+46.83%</x:v>
      </x:c>
      <x:c r="G1628" s="19" t="str">
        <x:v>速度/计算</x:v>
      </x:c>
      <x:c r="H1628" s="19" t="str">
        <x:v>D:/Codex/GRL研究/outputs/grid28/GRID28_all_report.md</x:v>
      </x:c>
    </x:row>
    <x:row r="1629" ht="36" customHeight="1">
      <x:c r="A1629" s="19" t="str">
        <x:v>GRID28</x:v>
      </x:c>
      <x:c r="B1629" s="19" t="str">
        <x:v>GRID28_all_report.md</x:v>
      </x:c>
      <x:c r="C1629" s="19" t="str">
        <x:v>1. GRID28 all 闭环开发结果</x:v>
      </x:c>
      <x:c r="D1629" s="19" t="str">
        <x:v>方法/日期=LOCAL_GNN0/2035-09-03_4；完成/步数=True/2017</x:v>
      </x:c>
      <x:c r="E1629" s="19" t="str">
        <x:v>总控制减少</x:v>
      </x:c>
      <x:c r="F1629" s="19" t="str">
        <x:v>+11.09%</x:v>
      </x:c>
      <x:c r="G1629" s="19" t="str">
        <x:v>速度/计算</x:v>
      </x:c>
      <x:c r="H1629" s="19" t="str">
        <x:v>D:/Codex/GRL研究/outputs/grid28/GRID28_all_report.md</x:v>
      </x:c>
    </x:row>
    <x:row r="1630" ht="36" customHeight="1">
      <x:c r="A1630" s="19" t="str">
        <x:v>GRID28</x:v>
      </x:c>
      <x:c r="B1630" s="19" t="str">
        <x:v>GRID28_all_report.md</x:v>
      </x:c>
      <x:c r="C1630" s="19" t="str">
        <x:v>1. GRID28 all 闭环开发结果</x:v>
      </x:c>
      <x:c r="D1630" s="19" t="str">
        <x:v>方法/日期=LOCAL_GNN0/2035-09-03_4；完成/步数=True/2017</x:v>
      </x:c>
      <x:c r="E1630" s="19" t="str">
        <x:v>质量筛查</x:v>
      </x:c>
      <x:c r="F1630" s="19" t="str">
        <x:v>True</x:v>
      </x:c>
      <x:c r="G1630" s="19" t="str">
        <x:v>质量/成本</x:v>
      </x:c>
      <x:c r="H1630" s="19" t="str">
        <x:v>D:/Codex/GRL研究/outputs/grid28/GRID28_all_report.md</x:v>
      </x:c>
    </x:row>
    <x:row r="1631" ht="36" customHeight="1">
      <x:c r="A1631" s="19" t="str">
        <x:v>GRID28</x:v>
      </x:c>
      <x:c r="B1631" s="19" t="str">
        <x:v>GRID28_all_report.md</x:v>
      </x:c>
      <x:c r="C1631" s="19" t="str">
        <x:v>1. GRID28 all 闭环开发结果</x:v>
      </x:c>
      <x:c r="D1631" s="19" t="str">
        <x:v>方法/日期=LOCAL_GNN0/2035-10-01_5；完成/步数=True/2017</x:v>
      </x:c>
      <x:c r="E1631" s="19" t="str">
        <x:v>完成/步数</x:v>
      </x:c>
      <x:c r="F1631" s="19" t="str">
        <x:v>True/2017</x:v>
      </x:c>
      <x:c r="G1631" s="19" t="str">
        <x:v>质量/成本</x:v>
      </x:c>
      <x:c r="H1631" s="19" t="str">
        <x:v>D:/Codex/GRL研究/outputs/grid28/GRID28_all_report.md</x:v>
      </x:c>
    </x:row>
    <x:row r="1632" ht="36" customHeight="1">
      <x:c r="A1632" s="19" t="str">
        <x:v>GRID28</x:v>
      </x:c>
      <x:c r="B1632" s="19" t="str">
        <x:v>GRID28_all_report.md</x:v>
      </x:c>
      <x:c r="C1632" s="19" t="str">
        <x:v>1. GRID28 all 闭环开发结果</x:v>
      </x:c>
      <x:c r="D1632" s="19" t="str">
        <x:v>方法/日期=LOCAL_GNN0/2035-10-01_5；完成/步数=True/2017</x:v>
      </x:c>
      <x:c r="E1632" s="19" t="str">
        <x:v>成本差</x:v>
      </x:c>
      <x:c r="F1632" s="19" t="str">
        <x:v>+0.00%</x:v>
      </x:c>
      <x:c r="G1632" s="19" t="str">
        <x:v>质量/成本</x:v>
      </x:c>
      <x:c r="H1632" s="19" t="str">
        <x:v>D:/Codex/GRL研究/outputs/grid28/GRID28_all_report.md</x:v>
      </x:c>
    </x:row>
    <x:row r="1633" ht="36" customHeight="1">
      <x:c r="A1633" s="19" t="str">
        <x:v>GRID28</x:v>
      </x:c>
      <x:c r="B1633" s="19" t="str">
        <x:v>GRID28_all_report.md</x:v>
      </x:c>
      <x:c r="C1633" s="19" t="str">
        <x:v>1. GRID28 all 闭环开发结果</x:v>
      </x:c>
      <x:c r="D1633" s="19" t="str">
        <x:v>方法/日期=LOCAL_GNN0/2035-10-01_5；完成/步数=True/2017</x:v>
      </x:c>
      <x:c r="E1633" s="19" t="str">
        <x:v>查询减少</x:v>
      </x:c>
      <x:c r="F1633" s="19" t="str">
        <x:v>+0.00%</x:v>
      </x:c>
      <x:c r="G1633" s="19" t="str">
        <x:v>速度/计算</x:v>
      </x:c>
      <x:c r="H1633" s="19" t="str">
        <x:v>D:/Codex/GRL研究/outputs/grid28/GRID28_all_report.md</x:v>
      </x:c>
    </x:row>
    <x:row r="1634" ht="36" customHeight="1">
      <x:c r="A1634" s="19" t="str">
        <x:v>GRID28</x:v>
      </x:c>
      <x:c r="B1634" s="19" t="str">
        <x:v>GRID28_all_report.md</x:v>
      </x:c>
      <x:c r="C1634" s="19" t="str">
        <x:v>1. GRID28 all 闭环开发结果</x:v>
      </x:c>
      <x:c r="D1634" s="19" t="str">
        <x:v>方法/日期=LOCAL_GNN0/2035-10-01_5；完成/步数=True/2017</x:v>
      </x:c>
      <x:c r="E1634" s="19" t="str">
        <x:v>搜索时间减少</x:v>
      </x:c>
      <x:c r="F1634" s="19" t="str">
        <x:v>+9.69%</x:v>
      </x:c>
      <x:c r="G1634" s="19" t="str">
        <x:v>速度/计算</x:v>
      </x:c>
      <x:c r="H1634" s="19" t="str">
        <x:v>D:/Codex/GRL研究/outputs/grid28/GRID28_all_report.md</x:v>
      </x:c>
    </x:row>
    <x:row r="1635" ht="36" customHeight="1">
      <x:c r="A1635" s="19" t="str">
        <x:v>GRID28</x:v>
      </x:c>
      <x:c r="B1635" s="19" t="str">
        <x:v>GRID28_all_report.md</x:v>
      </x:c>
      <x:c r="C1635" s="19" t="str">
        <x:v>1. GRID28 all 闭环开发结果</x:v>
      </x:c>
      <x:c r="D1635" s="19" t="str">
        <x:v>方法/日期=LOCAL_GNN0/2035-10-01_5；完成/步数=True/2017</x:v>
      </x:c>
      <x:c r="E1635" s="19" t="str">
        <x:v>总控制减少</x:v>
      </x:c>
      <x:c r="F1635" s="19" t="str">
        <x:v>+9.28%</x:v>
      </x:c>
      <x:c r="G1635" s="19" t="str">
        <x:v>速度/计算</x:v>
      </x:c>
      <x:c r="H1635" s="19" t="str">
        <x:v>D:/Codex/GRL研究/outputs/grid28/GRID28_all_report.md</x:v>
      </x:c>
    </x:row>
    <x:row r="1636" ht="36" customHeight="1">
      <x:c r="A1636" s="19" t="str">
        <x:v>GRID28</x:v>
      </x:c>
      <x:c r="B1636" s="19" t="str">
        <x:v>GRID28_all_report.md</x:v>
      </x:c>
      <x:c r="C1636" s="19" t="str">
        <x:v>1. GRID28 all 闭环开发结果</x:v>
      </x:c>
      <x:c r="D1636" s="19" t="str">
        <x:v>方法/日期=LOCAL_GNN0/2035-10-01_5；完成/步数=True/2017</x:v>
      </x:c>
      <x:c r="E1636" s="19" t="str">
        <x:v>质量筛查</x:v>
      </x:c>
      <x:c r="F1636" s="19" t="str">
        <x:v>True</x:v>
      </x:c>
      <x:c r="G1636" s="19" t="str">
        <x:v>质量/成本</x:v>
      </x:c>
      <x:c r="H1636" s="19" t="str">
        <x:v>D:/Codex/GRL研究/outputs/grid28/GRID28_all_report.md</x:v>
      </x:c>
    </x:row>
    <x:row r="1637" ht="36" customHeight="1">
      <x:c r="A1637" s="19" t="str">
        <x:v>GRID28</x:v>
      </x:c>
      <x:c r="B1637" s="19" t="str">
        <x:v>GRID28_all_report.md</x:v>
      </x:c>
      <x:c r="C1637" s="19" t="str">
        <x:v>1. GRID28 all 闭环开发结果</x:v>
      </x:c>
      <x:c r="D1637" s="19" t="str">
        <x:v>方法/日期=LOCAL_PPO/2035-10-01_5；完成/步数=True/2017</x:v>
      </x:c>
      <x:c r="E1637" s="19" t="str">
        <x:v>完成/步数</x:v>
      </x:c>
      <x:c r="F1637" s="19" t="str">
        <x:v>True/2017</x:v>
      </x:c>
      <x:c r="G1637" s="19" t="str">
        <x:v>质量/成本</x:v>
      </x:c>
      <x:c r="H1637" s="19" t="str">
        <x:v>D:/Codex/GRL研究/outputs/grid28/GRID28_all_report.md</x:v>
      </x:c>
    </x:row>
    <x:row r="1638" ht="36" customHeight="1">
      <x:c r="A1638" s="19" t="str">
        <x:v>GRID28</x:v>
      </x:c>
      <x:c r="B1638" s="19" t="str">
        <x:v>GRID28_all_report.md</x:v>
      </x:c>
      <x:c r="C1638" s="19" t="str">
        <x:v>1. GRID28 all 闭环开发结果</x:v>
      </x:c>
      <x:c r="D1638" s="19" t="str">
        <x:v>方法/日期=LOCAL_PPO/2035-10-01_5；完成/步数=True/2017</x:v>
      </x:c>
      <x:c r="E1638" s="19" t="str">
        <x:v>成本差</x:v>
      </x:c>
      <x:c r="F1638" s="19" t="str">
        <x:v>+0.00%</x:v>
      </x:c>
      <x:c r="G1638" s="19" t="str">
        <x:v>质量/成本</x:v>
      </x:c>
      <x:c r="H1638" s="19" t="str">
        <x:v>D:/Codex/GRL研究/outputs/grid28/GRID28_all_report.md</x:v>
      </x:c>
    </x:row>
    <x:row r="1639" ht="36" customHeight="1">
      <x:c r="A1639" s="19" t="str">
        <x:v>GRID28</x:v>
      </x:c>
      <x:c r="B1639" s="19" t="str">
        <x:v>GRID28_all_report.md</x:v>
      </x:c>
      <x:c r="C1639" s="19" t="str">
        <x:v>1. GRID28 all 闭环开发结果</x:v>
      </x:c>
      <x:c r="D1639" s="19" t="str">
        <x:v>方法/日期=LOCAL_PPO/2035-10-01_5；完成/步数=True/2017</x:v>
      </x:c>
      <x:c r="E1639" s="19" t="str">
        <x:v>查询减少</x:v>
      </x:c>
      <x:c r="F1639" s="19" t="str">
        <x:v>+0.00%</x:v>
      </x:c>
      <x:c r="G1639" s="19" t="str">
        <x:v>速度/计算</x:v>
      </x:c>
      <x:c r="H1639" s="19" t="str">
        <x:v>D:/Codex/GRL研究/outputs/grid28/GRID28_all_report.md</x:v>
      </x:c>
    </x:row>
    <x:row r="1640" ht="36" customHeight="1">
      <x:c r="A1640" s="19" t="str">
        <x:v>GRID28</x:v>
      </x:c>
      <x:c r="B1640" s="19" t="str">
        <x:v>GRID28_all_report.md</x:v>
      </x:c>
      <x:c r="C1640" s="19" t="str">
        <x:v>1. GRID28 all 闭环开发结果</x:v>
      </x:c>
      <x:c r="D1640" s="19" t="str">
        <x:v>方法/日期=LOCAL_PPO/2035-10-01_5；完成/步数=True/2017</x:v>
      </x:c>
      <x:c r="E1640" s="19" t="str">
        <x:v>搜索时间减少</x:v>
      </x:c>
      <x:c r="F1640" s="19" t="str">
        <x:v>+2.71%</x:v>
      </x:c>
      <x:c r="G1640" s="19" t="str">
        <x:v>速度/计算</x:v>
      </x:c>
      <x:c r="H1640" s="19" t="str">
        <x:v>D:/Codex/GRL研究/outputs/grid28/GRID28_all_report.md</x:v>
      </x:c>
    </x:row>
    <x:row r="1641" ht="36" customHeight="1">
      <x:c r="A1641" s="19" t="str">
        <x:v>GRID28</x:v>
      </x:c>
      <x:c r="B1641" s="19" t="str">
        <x:v>GRID28_all_report.md</x:v>
      </x:c>
      <x:c r="C1641" s="19" t="str">
        <x:v>1. GRID28 all 闭环开发结果</x:v>
      </x:c>
      <x:c r="D1641" s="19" t="str">
        <x:v>方法/日期=LOCAL_PPO/2035-10-01_5；完成/步数=True/2017</x:v>
      </x:c>
      <x:c r="E1641" s="19" t="str">
        <x:v>总控制减少</x:v>
      </x:c>
      <x:c r="F1641" s="19" t="str">
        <x:v>-0.23%</x:v>
      </x:c>
      <x:c r="G1641" s="19" t="str">
        <x:v>速度/计算</x:v>
      </x:c>
      <x:c r="H1641" s="19" t="str">
        <x:v>D:/Codex/GRL研究/outputs/grid28/GRID28_all_report.md</x:v>
      </x:c>
    </x:row>
    <x:row r="1642" ht="36" customHeight="1">
      <x:c r="A1642" s="19" t="str">
        <x:v>GRID28</x:v>
      </x:c>
      <x:c r="B1642" s="19" t="str">
        <x:v>GRID28_all_report.md</x:v>
      </x:c>
      <x:c r="C1642" s="19" t="str">
        <x:v>1. GRID28 all 闭环开发结果</x:v>
      </x:c>
      <x:c r="D1642" s="19" t="str">
        <x:v>方法/日期=LOCAL_PPO/2035-10-01_5；完成/步数=True/2017</x:v>
      </x:c>
      <x:c r="E1642" s="19" t="str">
        <x:v>质量筛查</x:v>
      </x:c>
      <x:c r="F1642" s="19" t="str">
        <x:v>True</x:v>
      </x:c>
      <x:c r="G1642" s="19" t="str">
        <x:v>质量/成本</x:v>
      </x:c>
      <x:c r="H1642" s="19" t="str">
        <x:v>D:/Codex/GRL研究/outputs/grid28/GRID28_all_report.md</x:v>
      </x:c>
    </x:row>
    <x:row r="1643" ht="36" customHeight="1">
      <x:c r="A1643" s="19" t="str">
        <x:v>GRID28</x:v>
      </x:c>
      <x:c r="B1643" s="19" t="str">
        <x:v>GRID28_pilot_report.md</x:v>
      </x:c>
      <x:c r="C1643" s="19" t="str">
        <x:v>1. GRID28 pilot 闭环开发结果</x:v>
      </x:c>
      <x:c r="D1643" s="19" t="str">
        <x:v>方法/日期=LOCAL_GNN0/2035-03-05_0；完成/步数=True/2017</x:v>
      </x:c>
      <x:c r="E1643" s="19" t="str">
        <x:v>完成/步数</x:v>
      </x:c>
      <x:c r="F1643" s="19" t="str">
        <x:v>True/2017</x:v>
      </x:c>
      <x:c r="G1643" s="19" t="str">
        <x:v>质量/成本</x:v>
      </x:c>
      <x:c r="H1643" s="19" t="str">
        <x:v>D:/Codex/GRL研究/outputs/grid28/GRID28_pilot_report.md</x:v>
      </x:c>
    </x:row>
    <x:row r="1644" ht="36" customHeight="1">
      <x:c r="A1644" s="19" t="str">
        <x:v>GRID28</x:v>
      </x:c>
      <x:c r="B1644" s="19" t="str">
        <x:v>GRID28_pilot_report.md</x:v>
      </x:c>
      <x:c r="C1644" s="19" t="str">
        <x:v>1. GRID28 pilot 闭环开发结果</x:v>
      </x:c>
      <x:c r="D1644" s="19" t="str">
        <x:v>方法/日期=LOCAL_GNN0/2035-03-05_0；完成/步数=True/2017</x:v>
      </x:c>
      <x:c r="E1644" s="19" t="str">
        <x:v>成本差</x:v>
      </x:c>
      <x:c r="F1644" s="19" t="str">
        <x:v>+0.14%</x:v>
      </x:c>
      <x:c r="G1644" s="19" t="str">
        <x:v>质量/成本</x:v>
      </x:c>
      <x:c r="H1644" s="19" t="str">
        <x:v>D:/Codex/GRL研究/outputs/grid28/GRID28_pilot_report.md</x:v>
      </x:c>
    </x:row>
    <x:row r="1645" ht="36" customHeight="1">
      <x:c r="A1645" s="19" t="str">
        <x:v>GRID28</x:v>
      </x:c>
      <x:c r="B1645" s="19" t="str">
        <x:v>GRID28_pilot_report.md</x:v>
      </x:c>
      <x:c r="C1645" s="19" t="str">
        <x:v>1. GRID28 pilot 闭环开发结果</x:v>
      </x:c>
      <x:c r="D1645" s="19" t="str">
        <x:v>方法/日期=LOCAL_GNN0/2035-03-05_0；完成/步数=True/2017</x:v>
      </x:c>
      <x:c r="E1645" s="19" t="str">
        <x:v>查询减少</x:v>
      </x:c>
      <x:c r="F1645" s="19" t="str">
        <x:v>+54.15%</x:v>
      </x:c>
      <x:c r="G1645" s="19" t="str">
        <x:v>速度/计算</x:v>
      </x:c>
      <x:c r="H1645" s="19" t="str">
        <x:v>D:/Codex/GRL研究/outputs/grid28/GRID28_pilot_report.md</x:v>
      </x:c>
    </x:row>
    <x:row r="1646" ht="36" customHeight="1">
      <x:c r="A1646" s="19" t="str">
        <x:v>GRID28</x:v>
      </x:c>
      <x:c r="B1646" s="19" t="str">
        <x:v>GRID28_pilot_report.md</x:v>
      </x:c>
      <x:c r="C1646" s="19" t="str">
        <x:v>1. GRID28 pilot 闭环开发结果</x:v>
      </x:c>
      <x:c r="D1646" s="19" t="str">
        <x:v>方法/日期=LOCAL_GNN0/2035-03-05_0；完成/步数=True/2017</x:v>
      </x:c>
      <x:c r="E1646" s="19" t="str">
        <x:v>搜索时间减少</x:v>
      </x:c>
      <x:c r="F1646" s="19" t="str">
        <x:v>+46.22%</x:v>
      </x:c>
      <x:c r="G1646" s="19" t="str">
        <x:v>速度/计算</x:v>
      </x:c>
      <x:c r="H1646" s="19" t="str">
        <x:v>D:/Codex/GRL研究/outputs/grid28/GRID28_pilot_report.md</x:v>
      </x:c>
    </x:row>
    <x:row r="1647" ht="36" customHeight="1">
      <x:c r="A1647" s="19" t="str">
        <x:v>GRID28</x:v>
      </x:c>
      <x:c r="B1647" s="19" t="str">
        <x:v>GRID28_pilot_report.md</x:v>
      </x:c>
      <x:c r="C1647" s="19" t="str">
        <x:v>1. GRID28 pilot 闭环开发结果</x:v>
      </x:c>
      <x:c r="D1647" s="19" t="str">
        <x:v>方法/日期=LOCAL_GNN0/2035-03-05_0；完成/步数=True/2017</x:v>
      </x:c>
      <x:c r="E1647" s="19" t="str">
        <x:v>总控制减少</x:v>
      </x:c>
      <x:c r="F1647" s="19" t="str">
        <x:v>+4.87%</x:v>
      </x:c>
      <x:c r="G1647" s="19" t="str">
        <x:v>速度/计算</x:v>
      </x:c>
      <x:c r="H1647" s="19" t="str">
        <x:v>D:/Codex/GRL研究/outputs/grid28/GRID28_pilot_report.md</x:v>
      </x:c>
    </x:row>
    <x:row r="1648" ht="36" customHeight="1">
      <x:c r="A1648" s="19" t="str">
        <x:v>GRID28</x:v>
      </x:c>
      <x:c r="B1648" s="19" t="str">
        <x:v>GRID28_pilot_report.md</x:v>
      </x:c>
      <x:c r="C1648" s="19" t="str">
        <x:v>1. GRID28 pilot 闭环开发结果</x:v>
      </x:c>
      <x:c r="D1648" s="19" t="str">
        <x:v>方法/日期=LOCAL_GNN0/2035-03-05_0；完成/步数=True/2017</x:v>
      </x:c>
      <x:c r="E1648" s="19" t="str">
        <x:v>质量筛查</x:v>
      </x:c>
      <x:c r="F1648" s="19" t="str">
        <x:v>True</x:v>
      </x:c>
      <x:c r="G1648" s="19" t="str">
        <x:v>质量/成本</x:v>
      </x:c>
      <x:c r="H1648" s="19" t="str">
        <x:v>D:/Codex/GRL研究/outputs/grid28/GRID28_pilot_report.md</x:v>
      </x:c>
    </x:row>
    <x:row r="1649" ht="36" customHeight="1">
      <x:c r="A1649" s="19" t="str">
        <x:v>GRID28</x:v>
      </x:c>
      <x:c r="B1649" s="19" t="str">
        <x:v>GRID28_pilot_report.md</x:v>
      </x:c>
      <x:c r="C1649" s="19" t="str">
        <x:v>1. GRID28 pilot 闭环开发结果</x:v>
      </x:c>
      <x:c r="D1649" s="19" t="str">
        <x:v>方法/日期=LOCAL_PPO/2035-03-05_0；完成/步数=True/2017</x:v>
      </x:c>
      <x:c r="E1649" s="19" t="str">
        <x:v>完成/步数</x:v>
      </x:c>
      <x:c r="F1649" s="19" t="str">
        <x:v>True/2017</x:v>
      </x:c>
      <x:c r="G1649" s="19" t="str">
        <x:v>质量/成本</x:v>
      </x:c>
      <x:c r="H1649" s="19" t="str">
        <x:v>D:/Codex/GRL研究/outputs/grid28/GRID28_pilot_report.md</x:v>
      </x:c>
    </x:row>
    <x:row r="1650" ht="36" customHeight="1">
      <x:c r="A1650" s="19" t="str">
        <x:v>GRID28</x:v>
      </x:c>
      <x:c r="B1650" s="19" t="str">
        <x:v>GRID28_pilot_report.md</x:v>
      </x:c>
      <x:c r="C1650" s="19" t="str">
        <x:v>1. GRID28 pilot 闭环开发结果</x:v>
      </x:c>
      <x:c r="D1650" s="19" t="str">
        <x:v>方法/日期=LOCAL_PPO/2035-03-05_0；完成/步数=True/2017</x:v>
      </x:c>
      <x:c r="E1650" s="19" t="str">
        <x:v>成本差</x:v>
      </x:c>
      <x:c r="F1650" s="19" t="str">
        <x:v>+0.14%</x:v>
      </x:c>
      <x:c r="G1650" s="19" t="str">
        <x:v>质量/成本</x:v>
      </x:c>
      <x:c r="H1650" s="19" t="str">
        <x:v>D:/Codex/GRL研究/outputs/grid28/GRID28_pilot_report.md</x:v>
      </x:c>
    </x:row>
    <x:row r="1651" ht="36" customHeight="1">
      <x:c r="A1651" s="19" t="str">
        <x:v>GRID28</x:v>
      </x:c>
      <x:c r="B1651" s="19" t="str">
        <x:v>GRID28_pilot_report.md</x:v>
      </x:c>
      <x:c r="C1651" s="19" t="str">
        <x:v>1. GRID28 pilot 闭环开发结果</x:v>
      </x:c>
      <x:c r="D1651" s="19" t="str">
        <x:v>方法/日期=LOCAL_PPO/2035-03-05_0；完成/步数=True/2017</x:v>
      </x:c>
      <x:c r="E1651" s="19" t="str">
        <x:v>查询减少</x:v>
      </x:c>
      <x:c r="F1651" s="19" t="str">
        <x:v>+53.03%</x:v>
      </x:c>
      <x:c r="G1651" s="19" t="str">
        <x:v>速度/计算</x:v>
      </x:c>
      <x:c r="H1651" s="19" t="str">
        <x:v>D:/Codex/GRL研究/outputs/grid28/GRID28_pilot_report.md</x:v>
      </x:c>
    </x:row>
    <x:row r="1652" ht="36" customHeight="1">
      <x:c r="A1652" s="19" t="str">
        <x:v>GRID28</x:v>
      </x:c>
      <x:c r="B1652" s="19" t="str">
        <x:v>GRID28_pilot_report.md</x:v>
      </x:c>
      <x:c r="C1652" s="19" t="str">
        <x:v>1. GRID28 pilot 闭环开发结果</x:v>
      </x:c>
      <x:c r="D1652" s="19" t="str">
        <x:v>方法/日期=LOCAL_PPO/2035-03-05_0；完成/步数=True/2017</x:v>
      </x:c>
      <x:c r="E1652" s="19" t="str">
        <x:v>搜索时间减少</x:v>
      </x:c>
      <x:c r="F1652" s="19" t="str">
        <x:v>+45.36%</x:v>
      </x:c>
      <x:c r="G1652" s="19" t="str">
        <x:v>速度/计算</x:v>
      </x:c>
      <x:c r="H1652" s="19" t="str">
        <x:v>D:/Codex/GRL研究/outputs/grid28/GRID28_pilot_report.md</x:v>
      </x:c>
    </x:row>
    <x:row r="1653" ht="36" customHeight="1">
      <x:c r="A1653" s="19" t="str">
        <x:v>GRID28</x:v>
      </x:c>
      <x:c r="B1653" s="19" t="str">
        <x:v>GRID28_pilot_report.md</x:v>
      </x:c>
      <x:c r="C1653" s="19" t="str">
        <x:v>1. GRID28 pilot 闭环开发结果</x:v>
      </x:c>
      <x:c r="D1653" s="19" t="str">
        <x:v>方法/日期=LOCAL_PPO/2035-03-05_0；完成/步数=True/2017</x:v>
      </x:c>
      <x:c r="E1653" s="19" t="str">
        <x:v>总控制减少</x:v>
      </x:c>
      <x:c r="F1653" s="19" t="str">
        <x:v>+5.06%</x:v>
      </x:c>
      <x:c r="G1653" s="19" t="str">
        <x:v>速度/计算</x:v>
      </x:c>
      <x:c r="H1653" s="19" t="str">
        <x:v>D:/Codex/GRL研究/outputs/grid28/GRID28_pilot_report.md</x:v>
      </x:c>
    </x:row>
    <x:row r="1654" ht="36" customHeight="1">
      <x:c r="A1654" s="19" t="str">
        <x:v>GRID28</x:v>
      </x:c>
      <x:c r="B1654" s="19" t="str">
        <x:v>GRID28_pilot_report.md</x:v>
      </x:c>
      <x:c r="C1654" s="19" t="str">
        <x:v>1. GRID28 pilot 闭环开发结果</x:v>
      </x:c>
      <x:c r="D1654" s="19" t="str">
        <x:v>方法/日期=LOCAL_PPO/2035-03-05_0；完成/步数=True/2017</x:v>
      </x:c>
      <x:c r="E1654" s="19" t="str">
        <x:v>质量筛查</x:v>
      </x:c>
      <x:c r="F1654" s="19" t="str">
        <x:v>True</x:v>
      </x:c>
      <x:c r="G1654" s="19" t="str">
        <x:v>质量/成本</x:v>
      </x:c>
      <x:c r="H1654" s="19" t="str">
        <x:v>D:/Codex/GRL研究/outputs/grid28/GRID28_pilot_report.md</x:v>
      </x:c>
    </x:row>
    <x:row r="1655" ht="36" customHeight="1">
      <x:c r="A1655" s="19" t="str">
        <x:v>GRID29</x:v>
      </x:c>
      <x:c r="B1655" s="19" t="str">
        <x:v>GRID29_report.md</x:v>
      </x:c>
      <x:c r="C1655" s="19" t="str">
        <x:v>1. GRID29 整套控制器模型复用试点</x:v>
      </x:c>
      <x:c r="D1655" s="19" t="str">
        <x:v>重复/顺序=0 / 原→复用；原控制时间=216.509s</x:v>
      </x:c>
      <x:c r="E1655" s="19" t="str">
        <x:v>原控制时间</x:v>
      </x:c>
      <x:c r="F1655" s="19" t="str">
        <x:v>216.509s</x:v>
      </x:c>
      <x:c r="G1655" s="19" t="str">
        <x:v>速度/计算</x:v>
      </x:c>
      <x:c r="H1655" s="19" t="str">
        <x:v>D:/Codex/GRL研究/outputs/grid29/GRID29_report.md</x:v>
      </x:c>
    </x:row>
    <x:row r="1656" ht="36" customHeight="1">
      <x:c r="A1656" s="19" t="str">
        <x:v>GRID29</x:v>
      </x:c>
      <x:c r="B1656" s="19" t="str">
        <x:v>GRID29_report.md</x:v>
      </x:c>
      <x:c r="C1656" s="19" t="str">
        <x:v>1. GRID29 整套控制器模型复用试点</x:v>
      </x:c>
      <x:c r="D1656" s="19" t="str">
        <x:v>重复/顺序=0 / 原→复用；原控制时间=216.509s</x:v>
      </x:c>
      <x:c r="E1656" s="19" t="str">
        <x:v>复用控制时间</x:v>
      </x:c>
      <x:c r="F1656" s="19" t="str">
        <x:v>192.846s</x:v>
      </x:c>
      <x:c r="G1656" s="19" t="str">
        <x:v>速度/计算</x:v>
      </x:c>
      <x:c r="H1656" s="19" t="str">
        <x:v>D:/Codex/GRL研究/outputs/grid29/GRID29_report.md</x:v>
      </x:c>
    </x:row>
    <x:row r="1657" ht="36" customHeight="1">
      <x:c r="A1657" s="19" t="str">
        <x:v>GRID29</x:v>
      </x:c>
      <x:c r="B1657" s="19" t="str">
        <x:v>GRID29_report.md</x:v>
      </x:c>
      <x:c r="C1657" s="19" t="str">
        <x:v>1. GRID29 整套控制器模型复用试点</x:v>
      </x:c>
      <x:c r="D1657" s="19" t="str">
        <x:v>重复/顺序=0 / 原→复用；原控制时间=216.509s</x:v>
      </x:c>
      <x:c r="E1657" s="19" t="str">
        <x:v>减少</x:v>
      </x:c>
      <x:c r="F1657" s="19" t="str">
        <x:v>10.93%</x:v>
      </x:c>
      <x:c r="G1657" s="19" t="str">
        <x:v>速度/计算</x:v>
      </x:c>
      <x:c r="H1657" s="19" t="str">
        <x:v>D:/Codex/GRL研究/outputs/grid29/GRID29_report.md</x:v>
      </x:c>
    </x:row>
    <x:row r="1658" ht="36" customHeight="1">
      <x:c r="A1658" s="19" t="str">
        <x:v>GRID29</x:v>
      </x:c>
      <x:c r="B1658" s="19" t="str">
        <x:v>GRID29_report.md</x:v>
      </x:c>
      <x:c r="C1658" s="19" t="str">
        <x:v>1. GRID29 整套控制器模型复用试点</x:v>
      </x:c>
      <x:c r="D1658" s="19" t="str">
        <x:v>重复/顺序=0 / 原→复用；原控制时间=216.509s</x:v>
      </x:c>
      <x:c r="E1658" s="19" t="str">
        <x:v>成本差</x:v>
      </x:c>
      <x:c r="F1658" s="19" t="str">
        <x:v>0</x:v>
      </x:c>
      <x:c r="G1658" s="19" t="str">
        <x:v>质量/成本</x:v>
      </x:c>
      <x:c r="H1658" s="19" t="str">
        <x:v>D:/Codex/GRL研究/outputs/grid29/GRID29_report.md</x:v>
      </x:c>
    </x:row>
    <x:row r="1659" ht="36" customHeight="1">
      <x:c r="A1659" s="19" t="str">
        <x:v>GRID29</x:v>
      </x:c>
      <x:c r="B1659" s="19" t="str">
        <x:v>GRID29_report.md</x:v>
      </x:c>
      <x:c r="C1659" s="19" t="str">
        <x:v>1. GRID29 整套控制器模型复用试点</x:v>
      </x:c>
      <x:c r="D1659" s="19" t="str">
        <x:v>重复/顺序=0 / 原→复用；原控制时间=216.509s</x:v>
      </x:c>
      <x:c r="E1659" s="19" t="str">
        <x:v>交付轨迹</x:v>
      </x:c>
      <x:c r="F1659" s="19" t="str">
        <x:v>完全相同</x:v>
      </x:c>
      <x:c r="G1659" s="19" t="str">
        <x:v>其他/配置</x:v>
      </x:c>
      <x:c r="H1659" s="19" t="str">
        <x:v>D:/Codex/GRL研究/outputs/grid29/GRID29_report.md</x:v>
      </x:c>
    </x:row>
    <x:row r="1660" ht="36" customHeight="1">
      <x:c r="A1660" s="19" t="str">
        <x:v>GRID29</x:v>
      </x:c>
      <x:c r="B1660" s="19" t="str">
        <x:v>GRID29_report.md</x:v>
      </x:c>
      <x:c r="C1660" s="19" t="str">
        <x:v>1. GRID29 整套控制器模型复用试点</x:v>
      </x:c>
      <x:c r="D1660" s="19" t="str">
        <x:v>重复/顺序=1 / 复用→原；原控制时间=176.785s</x:v>
      </x:c>
      <x:c r="E1660" s="19" t="str">
        <x:v>原控制时间</x:v>
      </x:c>
      <x:c r="F1660" s="19" t="str">
        <x:v>176.785s</x:v>
      </x:c>
      <x:c r="G1660" s="19" t="str">
        <x:v>速度/计算</x:v>
      </x:c>
      <x:c r="H1660" s="19" t="str">
        <x:v>D:/Codex/GRL研究/outputs/grid29/GRID29_report.md</x:v>
      </x:c>
    </x:row>
    <x:row r="1661" ht="36" customHeight="1">
      <x:c r="A1661" s="19" t="str">
        <x:v>GRID29</x:v>
      </x:c>
      <x:c r="B1661" s="19" t="str">
        <x:v>GRID29_report.md</x:v>
      </x:c>
      <x:c r="C1661" s="19" t="str">
        <x:v>1. GRID29 整套控制器模型复用试点</x:v>
      </x:c>
      <x:c r="D1661" s="19" t="str">
        <x:v>重复/顺序=1 / 复用→原；原控制时间=176.785s</x:v>
      </x:c>
      <x:c r="E1661" s="19" t="str">
        <x:v>复用控制时间</x:v>
      </x:c>
      <x:c r="F1661" s="19" t="str">
        <x:v>176.090s</x:v>
      </x:c>
      <x:c r="G1661" s="19" t="str">
        <x:v>速度/计算</x:v>
      </x:c>
      <x:c r="H1661" s="19" t="str">
        <x:v>D:/Codex/GRL研究/outputs/grid29/GRID29_report.md</x:v>
      </x:c>
    </x:row>
    <x:row r="1662" ht="36" customHeight="1">
      <x:c r="A1662" s="19" t="str">
        <x:v>GRID29</x:v>
      </x:c>
      <x:c r="B1662" s="19" t="str">
        <x:v>GRID29_report.md</x:v>
      </x:c>
      <x:c r="C1662" s="19" t="str">
        <x:v>1. GRID29 整套控制器模型复用试点</x:v>
      </x:c>
      <x:c r="D1662" s="19" t="str">
        <x:v>重复/顺序=1 / 复用→原；原控制时间=176.785s</x:v>
      </x:c>
      <x:c r="E1662" s="19" t="str">
        <x:v>减少</x:v>
      </x:c>
      <x:c r="F1662" s="19" t="str">
        <x:v>0.39%</x:v>
      </x:c>
      <x:c r="G1662" s="19" t="str">
        <x:v>速度/计算</x:v>
      </x:c>
      <x:c r="H1662" s="19" t="str">
        <x:v>D:/Codex/GRL研究/outputs/grid29/GRID29_report.md</x:v>
      </x:c>
    </x:row>
    <x:row r="1663" ht="36" customHeight="1">
      <x:c r="A1663" s="19" t="str">
        <x:v>GRID29</x:v>
      </x:c>
      <x:c r="B1663" s="19" t="str">
        <x:v>GRID29_report.md</x:v>
      </x:c>
      <x:c r="C1663" s="19" t="str">
        <x:v>1. GRID29 整套控制器模型复用试点</x:v>
      </x:c>
      <x:c r="D1663" s="19" t="str">
        <x:v>重复/顺序=1 / 复用→原；原控制时间=176.785s</x:v>
      </x:c>
      <x:c r="E1663" s="19" t="str">
        <x:v>成本差</x:v>
      </x:c>
      <x:c r="F1663" s="19" t="str">
        <x:v>0</x:v>
      </x:c>
      <x:c r="G1663" s="19" t="str">
        <x:v>质量/成本</x:v>
      </x:c>
      <x:c r="H1663" s="19" t="str">
        <x:v>D:/Codex/GRL研究/outputs/grid29/GRID29_report.md</x:v>
      </x:c>
    </x:row>
    <x:row r="1664" ht="36" customHeight="1">
      <x:c r="A1664" s="19" t="str">
        <x:v>GRID29</x:v>
      </x:c>
      <x:c r="B1664" s="19" t="str">
        <x:v>GRID29_report.md</x:v>
      </x:c>
      <x:c r="C1664" s="19" t="str">
        <x:v>1. GRID29 整套控制器模型复用试点</x:v>
      </x:c>
      <x:c r="D1664" s="19" t="str">
        <x:v>重复/顺序=1 / 复用→原；原控制时间=176.785s</x:v>
      </x:c>
      <x:c r="E1664" s="19" t="str">
        <x:v>交付轨迹</x:v>
      </x:c>
      <x:c r="F1664" s="19" t="str">
        <x:v>完全相同</x:v>
      </x:c>
      <x:c r="G1664" s="19" t="str">
        <x:v>其他/配置</x:v>
      </x:c>
      <x:c r="H1664" s="19" t="str">
        <x:v>D:/Codex/GRL研究/outputs/grid29/GRID29_report.md</x:v>
      </x:c>
    </x:row>
    <x:row r="1665" ht="36" customHeight="1">
      <x:c r="A1665" s="19" t="str">
        <x:v>GRID29B</x:v>
      </x:c>
      <x:c r="B1665" s="19" t="str">
        <x:v>GRID29B_report.md</x:v>
      </x:c>
      <x:c r="C1665" s="19" t="str">
        <x:v>1. GRID29B 实际状态配对诊断</x:v>
      </x:c>
      <x:c r="D1665" s="19" t="str">
        <x:v>阶段=actual_dc；对象=restoration_optimizer</x:v>
      </x:c>
      <x:c r="E1665" s="19" t="str">
        <x:v>对象</x:v>
      </x:c>
      <x:c r="F1665" s="19" t="str">
        <x:v>restoration_optimizer</x:v>
      </x:c>
      <x:c r="G1665" s="19" t="str">
        <x:v>其他/配置</x:v>
      </x:c>
      <x:c r="H1665" s="19" t="str">
        <x:v>D:/Codex/GRL研究/outputs/grid29b/GRID29B_report.md</x:v>
      </x:c>
    </x:row>
    <x:row r="1666" ht="36" customHeight="1">
      <x:c r="A1666" s="19" t="str">
        <x:v>GRID29B</x:v>
      </x:c>
      <x:c r="B1666" s="19" t="str">
        <x:v>GRID29B_report.md</x:v>
      </x:c>
      <x:c r="C1666" s="19" t="str">
        <x:v>1. GRID29B 实际状态配对诊断</x:v>
      </x:c>
      <x:c r="D1666" s="19" t="str">
        <x:v>阶段=actual_dc；对象=restoration_optimizer</x:v>
      </x:c>
      <x:c r="E1666" s="19" t="str">
        <x:v>solver</x:v>
      </x:c>
      <x:c r="F1666" s="19" t="str">
        <x:v>OSQP</x:v>
      </x:c>
      <x:c r="G1666" s="19" t="str">
        <x:v>其他/配置</x:v>
      </x:c>
      <x:c r="H1666" s="19" t="str">
        <x:v>D:/Codex/GRL研究/outputs/grid29b/GRID29B_report.md</x:v>
      </x:c>
    </x:row>
    <x:row r="1667" ht="36" customHeight="1">
      <x:c r="A1667" s="19" t="str">
        <x:v>GRID29B</x:v>
      </x:c>
      <x:c r="B1667" s="19" t="str">
        <x:v>GRID29B_report.md</x:v>
      </x:c>
      <x:c r="C1667" s="19" t="str">
        <x:v>1. GRID29B 实际状态配对诊断</x:v>
      </x:c>
      <x:c r="D1667" s="19" t="str">
        <x:v>阶段=actual_dc；对象=restoration_optimizer</x:v>
      </x:c>
      <x:c r="E1667" s="19" t="str">
        <x:v>次数</x:v>
      </x:c>
      <x:c r="F1667" s="19" t="str">
        <x:v>153</x:v>
      </x:c>
      <x:c r="G1667" s="19" t="str">
        <x:v>其他/配置</x:v>
      </x:c>
      <x:c r="H1667" s="19" t="str">
        <x:v>D:/Codex/GRL研究/outputs/grid29b/GRID29B_report.md</x:v>
      </x:c>
    </x:row>
    <x:row r="1668" ht="36" customHeight="1">
      <x:c r="A1668" s="19" t="str">
        <x:v>GRID29B</x:v>
      </x:c>
      <x:c r="B1668" s="19" t="str">
        <x:v>GRID29B_report.md</x:v>
      </x:c>
      <x:c r="C1668" s="19" t="str">
        <x:v>1. GRID29B 实际状态配对诊断</x:v>
      </x:c>
      <x:c r="D1668" s="19" t="str">
        <x:v>阶段=actual_dc；对象=restoration_optimizer</x:v>
      </x:c>
      <x:c r="E1668" s="19" t="str">
        <x:v>调用时间</x:v>
      </x:c>
      <x:c r="F1668" s="19" t="str">
        <x:v>30.022</x:v>
      </x:c>
      <x:c r="G1668" s="19" t="str">
        <x:v>速度/计算</x:v>
      </x:c>
      <x:c r="H1668" s="19" t="str">
        <x:v>D:/Codex/GRL研究/outputs/grid29b/GRID29B_report.md</x:v>
      </x:c>
    </x:row>
    <x:row r="1669" ht="36" customHeight="1">
      <x:c r="A1669" s="19" t="str">
        <x:v>GRID29B</x:v>
      </x:c>
      <x:c r="B1669" s="19" t="str">
        <x:v>GRID29B_report.md</x:v>
      </x:c>
      <x:c r="C1669" s="19" t="str">
        <x:v>1. GRID29B 实际状态配对诊断</x:v>
      </x:c>
      <x:c r="D1669" s="19" t="str">
        <x:v>阶段=actual_dc；对象=restoration_optimizer</x:v>
      </x:c>
      <x:c r="E1669" s="19" t="str">
        <x:v>编译时间</x:v>
      </x:c>
      <x:c r="F1669" s="19" t="str">
        <x:v>29.17269015312195</x:v>
      </x:c>
      <x:c r="G1669" s="19" t="str">
        <x:v>速度/计算</x:v>
      </x:c>
      <x:c r="H1669" s="19" t="str">
        <x:v>D:/Codex/GRL研究/outputs/grid29b/GRID29B_report.md</x:v>
      </x:c>
    </x:row>
    <x:row r="1670" ht="36" customHeight="1">
      <x:c r="A1670" s="19" t="str">
        <x:v>GRID29B</x:v>
      </x:c>
      <x:c r="B1670" s="19" t="str">
        <x:v>GRID29B_report.md</x:v>
      </x:c>
      <x:c r="C1670" s="19" t="str">
        <x:v>1. GRID29B 实际状态配对诊断</x:v>
      </x:c>
      <x:c r="D1670" s="19" t="str">
        <x:v>阶段=actual_dc；对象=restoration_optimizer</x:v>
      </x:c>
      <x:c r="E1670" s="19" t="str">
        <x:v>后端时间</x:v>
      </x:c>
      <x:c r="F1670" s="19" t="str">
        <x:v>0.06957</x:v>
      </x:c>
      <x:c r="G1670" s="19" t="str">
        <x:v>速度/计算</x:v>
      </x:c>
      <x:c r="H1670" s="19" t="str">
        <x:v>D:/Codex/GRL研究/outputs/grid29b/GRID29B_report.md</x:v>
      </x:c>
    </x:row>
    <x:row r="1671" ht="36" customHeight="1">
      <x:c r="A1671" s="19" t="str">
        <x:v>GRID29B</x:v>
      </x:c>
      <x:c r="B1671" s="19" t="str">
        <x:v>GRID29B_report.md</x:v>
      </x:c>
      <x:c r="C1671" s="19" t="str">
        <x:v>1. GRID29B 实际状态配对诊断</x:v>
      </x:c>
      <x:c r="D1671" s="19" t="str">
        <x:v>阶段=actual_dc；对象=restoration_optimizer</x:v>
      </x:c>
      <x:c r="E1671" s="19" t="str">
        <x:v>迭代</x:v>
      </x:c>
      <x:c r="F1671" s="19" t="str">
        <x:v>7650.0</x:v>
      </x:c>
      <x:c r="G1671" s="19" t="str">
        <x:v>其他/配置</x:v>
      </x:c>
      <x:c r="H1671" s="19" t="str">
        <x:v>D:/Codex/GRL研究/outputs/grid29b/GRID29B_report.md</x:v>
      </x:c>
    </x:row>
    <x:row r="1672" ht="36" customHeight="1">
      <x:c r="A1672" s="19" t="str">
        <x:v>GRID29B</x:v>
      </x:c>
      <x:c r="B1672" s="19" t="str">
        <x:v>GRID29B_report.md</x:v>
      </x:c>
      <x:c r="C1672" s="19" t="str">
        <x:v>1. GRID29B 实际状态配对诊断</x:v>
      </x:c>
      <x:c r="D1672" s="19" t="str">
        <x:v>阶段=actual_other；对象=base_optimizer</x:v>
      </x:c>
      <x:c r="E1672" s="19" t="str">
        <x:v>对象</x:v>
      </x:c>
      <x:c r="F1672" s="19" t="str">
        <x:v>base_optimizer</x:v>
      </x:c>
      <x:c r="G1672" s="19" t="str">
        <x:v>其他/配置</x:v>
      </x:c>
      <x:c r="H1672" s="19" t="str">
        <x:v>D:/Codex/GRL研究/outputs/grid29b/GRID29B_report.md</x:v>
      </x:c>
    </x:row>
    <x:row r="1673" ht="36" customHeight="1">
      <x:c r="A1673" s="19" t="str">
        <x:v>GRID29B</x:v>
      </x:c>
      <x:c r="B1673" s="19" t="str">
        <x:v>GRID29B_report.md</x:v>
      </x:c>
      <x:c r="C1673" s="19" t="str">
        <x:v>1. GRID29B 实际状态配对诊断</x:v>
      </x:c>
      <x:c r="D1673" s="19" t="str">
        <x:v>阶段=actual_other；对象=base_optimizer</x:v>
      </x:c>
      <x:c r="E1673" s="19" t="str">
        <x:v>solver</x:v>
      </x:c>
      <x:c r="F1673" s="19" t="str">
        <x:v>OSQP</x:v>
      </x:c>
      <x:c r="G1673" s="19" t="str">
        <x:v>其他/配置</x:v>
      </x:c>
      <x:c r="H1673" s="19" t="str">
        <x:v>D:/Codex/GRL研究/outputs/grid29b/GRID29B_report.md</x:v>
      </x:c>
    </x:row>
    <x:row r="1674" ht="36" customHeight="1">
      <x:c r="A1674" s="19" t="str">
        <x:v>GRID29B</x:v>
      </x:c>
      <x:c r="B1674" s="19" t="str">
        <x:v>GRID29B_report.md</x:v>
      </x:c>
      <x:c r="C1674" s="19" t="str">
        <x:v>1. GRID29B 实际状态配对诊断</x:v>
      </x:c>
      <x:c r="D1674" s="19" t="str">
        <x:v>阶段=actual_other；对象=base_optimizer</x:v>
      </x:c>
      <x:c r="E1674" s="19" t="str">
        <x:v>次数</x:v>
      </x:c>
      <x:c r="F1674" s="19" t="str">
        <x:v>34</x:v>
      </x:c>
      <x:c r="G1674" s="19" t="str">
        <x:v>其他/配置</x:v>
      </x:c>
      <x:c r="H1674" s="19" t="str">
        <x:v>D:/Codex/GRL研究/outputs/grid29b/GRID29B_report.md</x:v>
      </x:c>
    </x:row>
    <x:row r="1675" ht="36" customHeight="1">
      <x:c r="A1675" s="19" t="str">
        <x:v>GRID29B</x:v>
      </x:c>
      <x:c r="B1675" s="19" t="str">
        <x:v>GRID29B_report.md</x:v>
      </x:c>
      <x:c r="C1675" s="19" t="str">
        <x:v>1. GRID29B 实际状态配对诊断</x:v>
      </x:c>
      <x:c r="D1675" s="19" t="str">
        <x:v>阶段=actual_other；对象=base_optimizer</x:v>
      </x:c>
      <x:c r="E1675" s="19" t="str">
        <x:v>调用时间</x:v>
      </x:c>
      <x:c r="F1675" s="19" t="str">
        <x:v>67.682</x:v>
      </x:c>
      <x:c r="G1675" s="19" t="str">
        <x:v>速度/计算</x:v>
      </x:c>
      <x:c r="H1675" s="19" t="str">
        <x:v>D:/Codex/GRL研究/outputs/grid29b/GRID29B_report.md</x:v>
      </x:c>
    </x:row>
    <x:row r="1676" ht="36" customHeight="1">
      <x:c r="A1676" s="19" t="str">
        <x:v>GRID29B</x:v>
      </x:c>
      <x:c r="B1676" s="19" t="str">
        <x:v>GRID29B_report.md</x:v>
      </x:c>
      <x:c r="C1676" s="19" t="str">
        <x:v>1. GRID29B 实际状态配对诊断</x:v>
      </x:c>
      <x:c r="D1676" s="19" t="str">
        <x:v>阶段=actual_other；对象=base_optimizer</x:v>
      </x:c>
      <x:c r="E1676" s="19" t="str">
        <x:v>编译时间</x:v>
      </x:c>
      <x:c r="F1676" s="19" t="str">
        <x:v>7.4533936977386475</x:v>
      </x:c>
      <x:c r="G1676" s="19" t="str">
        <x:v>速度/计算</x:v>
      </x:c>
      <x:c r="H1676" s="19" t="str">
        <x:v>D:/Codex/GRL研究/outputs/grid29b/GRID29B_report.md</x:v>
      </x:c>
    </x:row>
    <x:row r="1677" ht="36" customHeight="1">
      <x:c r="A1677" s="19" t="str">
        <x:v>GRID29B</x:v>
      </x:c>
      <x:c r="B1677" s="19" t="str">
        <x:v>GRID29B_report.md</x:v>
      </x:c>
      <x:c r="C1677" s="19" t="str">
        <x:v>1. GRID29B 实际状态配对诊断</x:v>
      </x:c>
      <x:c r="D1677" s="19" t="str">
        <x:v>阶段=actual_other；对象=base_optimizer</x:v>
      </x:c>
      <x:c r="E1677" s="19" t="str">
        <x:v>后端时间</x:v>
      </x:c>
      <x:c r="F1677" s="19" t="str">
        <x:v>59.978269</x:v>
      </x:c>
      <x:c r="G1677" s="19" t="str">
        <x:v>速度/计算</x:v>
      </x:c>
      <x:c r="H1677" s="19" t="str">
        <x:v>D:/Codex/GRL研究/outputs/grid29b/GRID29B_report.md</x:v>
      </x:c>
    </x:row>
    <x:row r="1678" ht="36" customHeight="1">
      <x:c r="A1678" s="19" t="str">
        <x:v>GRID29B</x:v>
      </x:c>
      <x:c r="B1678" s="19" t="str">
        <x:v>GRID29B_report.md</x:v>
      </x:c>
      <x:c r="C1678" s="19" t="str">
        <x:v>1. GRID29B 实际状态配对诊断</x:v>
      </x:c>
      <x:c r="D1678" s="19" t="str">
        <x:v>阶段=actual_other；对象=base_optimizer</x:v>
      </x:c>
      <x:c r="E1678" s="19" t="str">
        <x:v>迭代</x:v>
      </x:c>
      <x:c r="F1678" s="19" t="str">
        <x:v>2484500.0</x:v>
      </x:c>
      <x:c r="G1678" s="19" t="str">
        <x:v>其他/配置</x:v>
      </x:c>
      <x:c r="H1678" s="19" t="str">
        <x:v>D:/Codex/GRL研究/outputs/grid29b/GRID29B_report.md</x:v>
      </x:c>
    </x:row>
    <x:row r="1679" ht="36" customHeight="1">
      <x:c r="A1679" s="19" t="str">
        <x:v>GRID29B</x:v>
      </x:c>
      <x:c r="B1679" s="19" t="str">
        <x:v>GRID29B_report.md</x:v>
      </x:c>
      <x:c r="C1679" s="19" t="str">
        <x:v>1. GRID29B 实际状态配对诊断</x:v>
      </x:c>
      <x:c r="D1679" s="19" t="str">
        <x:v>阶段=actual_other；对象=restoration_optimizer</x:v>
      </x:c>
      <x:c r="E1679" s="19" t="str">
        <x:v>对象</x:v>
      </x:c>
      <x:c r="F1679" s="19" t="str">
        <x:v>restoration_optimizer</x:v>
      </x:c>
      <x:c r="G1679" s="19" t="str">
        <x:v>其他/配置</x:v>
      </x:c>
      <x:c r="H1679" s="19" t="str">
        <x:v>D:/Codex/GRL研究/outputs/grid29b/GRID29B_report.md</x:v>
      </x:c>
    </x:row>
    <x:row r="1680" ht="36" customHeight="1">
      <x:c r="A1680" s="19" t="str">
        <x:v>GRID29B</x:v>
      </x:c>
      <x:c r="B1680" s="19" t="str">
        <x:v>GRID29B_report.md</x:v>
      </x:c>
      <x:c r="C1680" s="19" t="str">
        <x:v>1. GRID29B 实际状态配对诊断</x:v>
      </x:c>
      <x:c r="D1680" s="19" t="str">
        <x:v>阶段=actual_other；对象=restoration_optimizer</x:v>
      </x:c>
      <x:c r="E1680" s="19" t="str">
        <x:v>solver</x:v>
      </x:c>
      <x:c r="F1680" s="19" t="str">
        <x:v>OSQP</x:v>
      </x:c>
      <x:c r="G1680" s="19" t="str">
        <x:v>其他/配置</x:v>
      </x:c>
      <x:c r="H1680" s="19" t="str">
        <x:v>D:/Codex/GRL研究/outputs/grid29b/GRID29B_report.md</x:v>
      </x:c>
    </x:row>
    <x:row r="1681" ht="36" customHeight="1">
      <x:c r="A1681" s="19" t="str">
        <x:v>GRID29B</x:v>
      </x:c>
      <x:c r="B1681" s="19" t="str">
        <x:v>GRID29B_report.md</x:v>
      </x:c>
      <x:c r="C1681" s="19" t="str">
        <x:v>1. GRID29B 实际状态配对诊断</x:v>
      </x:c>
      <x:c r="D1681" s="19" t="str">
        <x:v>阶段=actual_other；对象=restoration_optimizer</x:v>
      </x:c>
      <x:c r="E1681" s="19" t="str">
        <x:v>次数</x:v>
      </x:c>
      <x:c r="F1681" s="19" t="str">
        <x:v>153</x:v>
      </x:c>
      <x:c r="G1681" s="19" t="str">
        <x:v>其他/配置</x:v>
      </x:c>
      <x:c r="H1681" s="19" t="str">
        <x:v>D:/Codex/GRL研究/outputs/grid29b/GRID29B_report.md</x:v>
      </x:c>
    </x:row>
    <x:row r="1682" ht="36" customHeight="1">
      <x:c r="A1682" s="19" t="str">
        <x:v>GRID29B</x:v>
      </x:c>
      <x:c r="B1682" s="19" t="str">
        <x:v>GRID29B_report.md</x:v>
      </x:c>
      <x:c r="C1682" s="19" t="str">
        <x:v>1. GRID29B 实际状态配对诊断</x:v>
      </x:c>
      <x:c r="D1682" s="19" t="str">
        <x:v>阶段=actual_other；对象=restoration_optimizer</x:v>
      </x:c>
      <x:c r="E1682" s="19" t="str">
        <x:v>调用时间</x:v>
      </x:c>
      <x:c r="F1682" s="19" t="str">
        <x:v>38.030</x:v>
      </x:c>
      <x:c r="G1682" s="19" t="str">
        <x:v>速度/计算</x:v>
      </x:c>
      <x:c r="H1682" s="19" t="str">
        <x:v>D:/Codex/GRL研究/outputs/grid29b/GRID29B_report.md</x:v>
      </x:c>
    </x:row>
    <x:row r="1683" ht="36" customHeight="1">
      <x:c r="A1683" s="19" t="str">
        <x:v>GRID29B</x:v>
      </x:c>
      <x:c r="B1683" s="19" t="str">
        <x:v>GRID29B_report.md</x:v>
      </x:c>
      <x:c r="C1683" s="19" t="str">
        <x:v>1. GRID29B 实际状态配对诊断</x:v>
      </x:c>
      <x:c r="D1683" s="19" t="str">
        <x:v>阶段=actual_other；对象=restoration_optimizer</x:v>
      </x:c>
      <x:c r="E1683" s="19" t="str">
        <x:v>编译时间</x:v>
      </x:c>
      <x:c r="F1683" s="19" t="str">
        <x:v>34.72405004501343</x:v>
      </x:c>
      <x:c r="G1683" s="19" t="str">
        <x:v>速度/计算</x:v>
      </x:c>
      <x:c r="H1683" s="19" t="str">
        <x:v>D:/Codex/GRL研究/outputs/grid29b/GRID29B_report.md</x:v>
      </x:c>
    </x:row>
    <x:row r="1684" ht="36" customHeight="1">
      <x:c r="A1684" s="19" t="str">
        <x:v>GRID29B</x:v>
      </x:c>
      <x:c r="B1684" s="19" t="str">
        <x:v>GRID29B_report.md</x:v>
      </x:c>
      <x:c r="C1684" s="19" t="str">
        <x:v>1. GRID29B 实际状态配对诊断</x:v>
      </x:c>
      <x:c r="D1684" s="19" t="str">
        <x:v>阶段=actual_other；对象=restoration_optimizer</x:v>
      </x:c>
      <x:c r="E1684" s="19" t="str">
        <x:v>后端时间</x:v>
      </x:c>
      <x:c r="F1684" s="19" t="str">
        <x:v>2.2733541</x:v>
      </x:c>
      <x:c r="G1684" s="19" t="str">
        <x:v>速度/计算</x:v>
      </x:c>
      <x:c r="H1684" s="19" t="str">
        <x:v>D:/Codex/GRL研究/outputs/grid29b/GRID29B_report.md</x:v>
      </x:c>
    </x:row>
    <x:row r="1685" ht="36" customHeight="1">
      <x:c r="A1685" s="19" t="str">
        <x:v>GRID29B</x:v>
      </x:c>
      <x:c r="B1685" s="19" t="str">
        <x:v>GRID29B_report.md</x:v>
      </x:c>
      <x:c r="C1685" s="19" t="str">
        <x:v>1. GRID29B 实际状态配对诊断</x:v>
      </x:c>
      <x:c r="D1685" s="19" t="str">
        <x:v>阶段=actual_other；对象=restoration_optimizer</x:v>
      </x:c>
      <x:c r="E1685" s="19" t="str">
        <x:v>迭代</x:v>
      </x:c>
      <x:c r="F1685" s="19" t="str">
        <x:v>91450.0</x:v>
      </x:c>
      <x:c r="G1685" s="19" t="str">
        <x:v>其他/配置</x:v>
      </x:c>
      <x:c r="H1685" s="19" t="str">
        <x:v>D:/Codex/GRL研究/outputs/grid29b/GRID29B_report.md</x:v>
      </x:c>
    </x:row>
    <x:row r="1686" ht="36" customHeight="1">
      <x:c r="A1686" s="19" t="str">
        <x:v>GRID29B</x:v>
      </x:c>
      <x:c r="B1686" s="19" t="str">
        <x:v>GRID29B_report.md</x:v>
      </x:c>
      <x:c r="C1686" s="19" t="str">
        <x:v>1. GRID29B 实际状态配对诊断</x:v>
      </x:c>
      <x:c r="D1686" s="19" t="str">
        <x:v>阶段=shadow_cached；对象=shadow_cached</x:v>
      </x:c>
      <x:c r="E1686" s="19" t="str">
        <x:v>对象</x:v>
      </x:c>
      <x:c r="F1686" s="19" t="str">
        <x:v>shadow_cached</x:v>
      </x:c>
      <x:c r="G1686" s="19" t="str">
        <x:v>其他/配置</x:v>
      </x:c>
      <x:c r="H1686" s="19" t="str">
        <x:v>D:/Codex/GRL研究/outputs/grid29b/GRID29B_report.md</x:v>
      </x:c>
    </x:row>
    <x:row r="1687" ht="36" customHeight="1">
      <x:c r="A1687" s="19" t="str">
        <x:v>GRID29B</x:v>
      </x:c>
      <x:c r="B1687" s="19" t="str">
        <x:v>GRID29B_report.md</x:v>
      </x:c>
      <x:c r="C1687" s="19" t="str">
        <x:v>1. GRID29B 实际状态配对诊断</x:v>
      </x:c>
      <x:c r="D1687" s="19" t="str">
        <x:v>阶段=shadow_cached；对象=shadow_cached</x:v>
      </x:c>
      <x:c r="E1687" s="19" t="str">
        <x:v>solver</x:v>
      </x:c>
      <x:c r="F1687" s="19" t="str">
        <x:v>OSQP</x:v>
      </x:c>
      <x:c r="G1687" s="19" t="str">
        <x:v>其他/配置</x:v>
      </x:c>
      <x:c r="H1687" s="19" t="str">
        <x:v>D:/Codex/GRL研究/outputs/grid29b/GRID29B_report.md</x:v>
      </x:c>
    </x:row>
    <x:row r="1688" ht="36" customHeight="1">
      <x:c r="A1688" s="19" t="str">
        <x:v>GRID29B</x:v>
      </x:c>
      <x:c r="B1688" s="19" t="str">
        <x:v>GRID29B_report.md</x:v>
      </x:c>
      <x:c r="C1688" s="19" t="str">
        <x:v>1. GRID29B 实际状态配对诊断</x:v>
      </x:c>
      <x:c r="D1688" s="19" t="str">
        <x:v>阶段=shadow_cached；对象=shadow_cached</x:v>
      </x:c>
      <x:c r="E1688" s="19" t="str">
        <x:v>次数</x:v>
      </x:c>
      <x:c r="F1688" s="19" t="str">
        <x:v>153</x:v>
      </x:c>
      <x:c r="G1688" s="19" t="str">
        <x:v>其他/配置</x:v>
      </x:c>
      <x:c r="H1688" s="19" t="str">
        <x:v>D:/Codex/GRL研究/outputs/grid29b/GRID29B_report.md</x:v>
      </x:c>
    </x:row>
    <x:row r="1689" ht="36" customHeight="1">
      <x:c r="A1689" s="19" t="str">
        <x:v>GRID29B</x:v>
      </x:c>
      <x:c r="B1689" s="19" t="str">
        <x:v>GRID29B_report.md</x:v>
      </x:c>
      <x:c r="C1689" s="19" t="str">
        <x:v>1. GRID29B 实际状态配对诊断</x:v>
      </x:c>
      <x:c r="D1689" s="19" t="str">
        <x:v>阶段=shadow_cached；对象=shadow_cached</x:v>
      </x:c>
      <x:c r="E1689" s="19" t="str">
        <x:v>调用时间</x:v>
      </x:c>
      <x:c r="F1689" s="19" t="str">
        <x:v>11.873</x:v>
      </x:c>
      <x:c r="G1689" s="19" t="str">
        <x:v>速度/计算</x:v>
      </x:c>
      <x:c r="H1689" s="19" t="str">
        <x:v>D:/Codex/GRL研究/outputs/grid29b/GRID29B_report.md</x:v>
      </x:c>
    </x:row>
    <x:row r="1690" ht="36" customHeight="1">
      <x:c r="A1690" s="19" t="str">
        <x:v>GRID29B</x:v>
      </x:c>
      <x:c r="B1690" s="19" t="str">
        <x:v>GRID29B_report.md</x:v>
      </x:c>
      <x:c r="C1690" s="19" t="str">
        <x:v>1. GRID29B 实际状态配对诊断</x:v>
      </x:c>
      <x:c r="D1690" s="19" t="str">
        <x:v>阶段=shadow_cached；对象=shadow_cached</x:v>
      </x:c>
      <x:c r="E1690" s="19" t="str">
        <x:v>编译时间</x:v>
      </x:c>
      <x:c r="F1690" s="19" t="str">
        <x:v>11.40942668914795</x:v>
      </x:c>
      <x:c r="G1690" s="19" t="str">
        <x:v>速度/计算</x:v>
      </x:c>
      <x:c r="H1690" s="19" t="str">
        <x:v>D:/Codex/GRL研究/outputs/grid29b/GRID29B_report.md</x:v>
      </x:c>
    </x:row>
    <x:row r="1691" ht="36" customHeight="1">
      <x:c r="A1691" s="19" t="str">
        <x:v>GRID29B</x:v>
      </x:c>
      <x:c r="B1691" s="19" t="str">
        <x:v>GRID29B_report.md</x:v>
      </x:c>
      <x:c r="C1691" s="19" t="str">
        <x:v>1. GRID29B 实际状态配对诊断</x:v>
      </x:c>
      <x:c r="D1691" s="19" t="str">
        <x:v>阶段=shadow_cached；对象=shadow_cached</x:v>
      </x:c>
      <x:c r="E1691" s="19" t="str">
        <x:v>后端时间</x:v>
      </x:c>
      <x:c r="F1691" s="19" t="str">
        <x:v>0.0683693</x:v>
      </x:c>
      <x:c r="G1691" s="19" t="str">
        <x:v>速度/计算</x:v>
      </x:c>
      <x:c r="H1691" s="19" t="str">
        <x:v>D:/Codex/GRL研究/outputs/grid29b/GRID29B_report.md</x:v>
      </x:c>
    </x:row>
    <x:row r="1692" ht="36" customHeight="1">
      <x:c r="A1692" s="19" t="str">
        <x:v>GRID29B</x:v>
      </x:c>
      <x:c r="B1692" s="19" t="str">
        <x:v>GRID29B_report.md</x:v>
      </x:c>
      <x:c r="C1692" s="19" t="str">
        <x:v>1. GRID29B 实际状态配对诊断</x:v>
      </x:c>
      <x:c r="D1692" s="19" t="str">
        <x:v>阶段=shadow_cached；对象=shadow_cached</x:v>
      </x:c>
      <x:c r="E1692" s="19" t="str">
        <x:v>迭代</x:v>
      </x:c>
      <x:c r="F1692" s="19" t="str">
        <x:v>7650.0</x:v>
      </x:c>
      <x:c r="G1692" s="19" t="str">
        <x:v>其他/配置</x:v>
      </x:c>
      <x:c r="H1692" s="19" t="str">
        <x:v>D:/Codex/GRL研究/outputs/grid29b/GRID29B_report.md</x:v>
      </x:c>
    </x:row>
    <x:row r="1693" ht="36" customHeight="1">
      <x:c r="A1693" s="19" t="str">
        <x:v>GRID29B</x:v>
      </x:c>
      <x:c r="B1693" s="19" t="str">
        <x:v>GRID29B_report.md</x:v>
      </x:c>
      <x:c r="C1693" s="19" t="str">
        <x:v>1. GRID29B 实际状态配对诊断</x:v>
      </x:c>
      <x:c r="D1693" s="19" t="str">
        <x:v>阶段=shadow_original；对象=shadow_original</x:v>
      </x:c>
      <x:c r="E1693" s="19" t="str">
        <x:v>对象</x:v>
      </x:c>
      <x:c r="F1693" s="19" t="str">
        <x:v>shadow_original</x:v>
      </x:c>
      <x:c r="G1693" s="19" t="str">
        <x:v>其他/配置</x:v>
      </x:c>
      <x:c r="H1693" s="19" t="str">
        <x:v>D:/Codex/GRL研究/outputs/grid29b/GRID29B_report.md</x:v>
      </x:c>
    </x:row>
    <x:row r="1694" ht="36" customHeight="1">
      <x:c r="A1694" s="19" t="str">
        <x:v>GRID29B</x:v>
      </x:c>
      <x:c r="B1694" s="19" t="str">
        <x:v>GRID29B_report.md</x:v>
      </x:c>
      <x:c r="C1694" s="19" t="str">
        <x:v>1. GRID29B 实际状态配对诊断</x:v>
      </x:c>
      <x:c r="D1694" s="19" t="str">
        <x:v>阶段=shadow_original；对象=shadow_original</x:v>
      </x:c>
      <x:c r="E1694" s="19" t="str">
        <x:v>solver</x:v>
      </x:c>
      <x:c r="F1694" s="19" t="str">
        <x:v>OSQP</x:v>
      </x:c>
      <x:c r="G1694" s="19" t="str">
        <x:v>其他/配置</x:v>
      </x:c>
      <x:c r="H1694" s="19" t="str">
        <x:v>D:/Codex/GRL研究/outputs/grid29b/GRID29B_report.md</x:v>
      </x:c>
    </x:row>
    <x:row r="1695" ht="36" customHeight="1">
      <x:c r="A1695" s="19" t="str">
        <x:v>GRID29B</x:v>
      </x:c>
      <x:c r="B1695" s="19" t="str">
        <x:v>GRID29B_report.md</x:v>
      </x:c>
      <x:c r="C1695" s="19" t="str">
        <x:v>1. GRID29B 实际状态配对诊断</x:v>
      </x:c>
      <x:c r="D1695" s="19" t="str">
        <x:v>阶段=shadow_original；对象=shadow_original</x:v>
      </x:c>
      <x:c r="E1695" s="19" t="str">
        <x:v>次数</x:v>
      </x:c>
      <x:c r="F1695" s="19" t="str">
        <x:v>153</x:v>
      </x:c>
      <x:c r="G1695" s="19" t="str">
        <x:v>其他/配置</x:v>
      </x:c>
      <x:c r="H1695" s="19" t="str">
        <x:v>D:/Codex/GRL研究/outputs/grid29b/GRID29B_report.md</x:v>
      </x:c>
    </x:row>
    <x:row r="1696" ht="36" customHeight="1">
      <x:c r="A1696" s="19" t="str">
        <x:v>GRID29B</x:v>
      </x:c>
      <x:c r="B1696" s="19" t="str">
        <x:v>GRID29B_report.md</x:v>
      </x:c>
      <x:c r="C1696" s="19" t="str">
        <x:v>1. GRID29B 实际状态配对诊断</x:v>
      </x:c>
      <x:c r="D1696" s="19" t="str">
        <x:v>阶段=shadow_original；对象=shadow_original</x:v>
      </x:c>
      <x:c r="E1696" s="19" t="str">
        <x:v>调用时间</x:v>
      </x:c>
      <x:c r="F1696" s="19" t="str">
        <x:v>31.691</x:v>
      </x:c>
      <x:c r="G1696" s="19" t="str">
        <x:v>速度/计算</x:v>
      </x:c>
      <x:c r="H1696" s="19" t="str">
        <x:v>D:/Codex/GRL研究/outputs/grid29b/GRID29B_report.md</x:v>
      </x:c>
    </x:row>
    <x:row r="1697" ht="36" customHeight="1">
      <x:c r="A1697" s="19" t="str">
        <x:v>GRID29B</x:v>
      </x:c>
      <x:c r="B1697" s="19" t="str">
        <x:v>GRID29B_report.md</x:v>
      </x:c>
      <x:c r="C1697" s="19" t="str">
        <x:v>1. GRID29B 实际状态配对诊断</x:v>
      </x:c>
      <x:c r="D1697" s="19" t="str">
        <x:v>阶段=shadow_original；对象=shadow_original</x:v>
      </x:c>
      <x:c r="E1697" s="19" t="str">
        <x:v>编译时间</x:v>
      </x:c>
      <x:c r="F1697" s="19" t="str">
        <x:v>30.852704763412476</x:v>
      </x:c>
      <x:c r="G1697" s="19" t="str">
        <x:v>速度/计算</x:v>
      </x:c>
      <x:c r="H1697" s="19" t="str">
        <x:v>D:/Codex/GRL研究/outputs/grid29b/GRID29B_report.md</x:v>
      </x:c>
    </x:row>
    <x:row r="1698" ht="36" customHeight="1">
      <x:c r="A1698" s="19" t="str">
        <x:v>GRID29B</x:v>
      </x:c>
      <x:c r="B1698" s="19" t="str">
        <x:v>GRID29B_report.md</x:v>
      </x:c>
      <x:c r="C1698" s="19" t="str">
        <x:v>1. GRID29B 实际状态配对诊断</x:v>
      </x:c>
      <x:c r="D1698" s="19" t="str">
        <x:v>阶段=shadow_original；对象=shadow_original</x:v>
      </x:c>
      <x:c r="E1698" s="19" t="str">
        <x:v>后端时间</x:v>
      </x:c>
      <x:c r="F1698" s="19" t="str">
        <x:v>0.0698789</x:v>
      </x:c>
      <x:c r="G1698" s="19" t="str">
        <x:v>速度/计算</x:v>
      </x:c>
      <x:c r="H1698" s="19" t="str">
        <x:v>D:/Codex/GRL研究/outputs/grid29b/GRID29B_report.md</x:v>
      </x:c>
    </x:row>
    <x:row r="1699" ht="36" customHeight="1">
      <x:c r="A1699" s="19" t="str">
        <x:v>GRID29B</x:v>
      </x:c>
      <x:c r="B1699" s="19" t="str">
        <x:v>GRID29B_report.md</x:v>
      </x:c>
      <x:c r="C1699" s="19" t="str">
        <x:v>1. GRID29B 实际状态配对诊断</x:v>
      </x:c>
      <x:c r="D1699" s="19" t="str">
        <x:v>阶段=shadow_original；对象=shadow_original</x:v>
      </x:c>
      <x:c r="E1699" s="19" t="str">
        <x:v>迭代</x:v>
      </x:c>
      <x:c r="F1699" s="19" t="str">
        <x:v>7650.0</x:v>
      </x:c>
      <x:c r="G1699" s="19" t="str">
        <x:v>其他/配置</x:v>
      </x:c>
      <x:c r="H1699" s="19" t="str">
        <x:v>D:/Codex/GRL研究/outputs/grid29b/GRID29B_report.md</x:v>
      </x:c>
    </x:row>
    <x:row r="1700" ht="36" customHeight="1">
      <x:c r="A1700" s="19" t="str">
        <x:v>GRID29B</x:v>
      </x:c>
      <x:c r="B1700" s="19" t="str">
        <x:v>GRID29B_report.md</x:v>
      </x:c>
      <x:c r="C1700" s="19" t="str">
        <x:v>2. GRID29B 实际状态配对诊断</x:v>
      </x:c>
      <x:c r="D1700" s="19" t="str">
        <x:v>旧重复=0；整体节省=23.664</x:v>
      </x:c>
      <x:c r="E1700" s="19" t="str">
        <x:v>整体节省</x:v>
      </x:c>
      <x:c r="F1700" s="19" t="str">
        <x:v>23.664</x:v>
      </x:c>
      <x:c r="G1700" s="19" t="str">
        <x:v>其他/配置</x:v>
      </x:c>
      <x:c r="H1700" s="19" t="str">
        <x:v>D:/Codex/GRL研究/outputs/grid29b/GRID29B_report.md</x:v>
      </x:c>
    </x:row>
    <x:row r="1701" ht="36" customHeight="1">
      <x:c r="A1701" s="19" t="str">
        <x:v>GRID29B</x:v>
      </x:c>
      <x:c r="B1701" s="19" t="str">
        <x:v>GRID29B_report.md</x:v>
      </x:c>
      <x:c r="C1701" s="19" t="str">
        <x:v>2. GRID29B 实际状态配对诊断</x:v>
      </x:c>
      <x:c r="D1701" s="19" t="str">
        <x:v>旧重复=0；整体节省=23.664</x:v>
      </x:c>
      <x:c r="E1701" s="19" t="str">
        <x:v>预测节省</x:v>
      </x:c>
      <x:c r="F1701" s="19" t="str">
        <x:v>0.197</x:v>
      </x:c>
      <x:c r="G1701" s="19" t="str">
        <x:v>速度/计算</x:v>
      </x:c>
      <x:c r="H1701" s="19" t="str">
        <x:v>D:/Codex/GRL研究/outputs/grid29b/GRID29B_report.md</x:v>
      </x:c>
    </x:row>
    <x:row r="1702" ht="36" customHeight="1">
      <x:c r="A1702" s="19" t="str">
        <x:v>GRID29B</x:v>
      </x:c>
      <x:c r="B1702" s="19" t="str">
        <x:v>GRID29B_report.md</x:v>
      </x:c>
      <x:c r="C1702" s="19" t="str">
        <x:v>2. GRID29B 实际状态配对诊断</x:v>
      </x:c>
      <x:c r="D1702" s="19" t="str">
        <x:v>旧重复=0；整体节省=23.664</x:v>
      </x:c>
      <x:c r="E1702" s="19" t="str">
        <x:v>非预测节省</x:v>
      </x:c>
      <x:c r="F1702" s="19" t="str">
        <x:v>23.467</x:v>
      </x:c>
      <x:c r="G1702" s="19" t="str">
        <x:v>速度/计算</x:v>
      </x:c>
      <x:c r="H1702" s="19" t="str">
        <x:v>D:/Codex/GRL研究/outputs/grid29b/GRID29B_report.md</x:v>
      </x:c>
    </x:row>
    <x:row r="1703" ht="36" customHeight="1">
      <x:c r="A1703" s="19" t="str">
        <x:v>GRID29B</x:v>
      </x:c>
      <x:c r="B1703" s="19" t="str">
        <x:v>GRID29B_report.md</x:v>
      </x:c>
      <x:c r="C1703" s="19" t="str">
        <x:v>2. GRID29B 实际状态配对诊断</x:v>
      </x:c>
      <x:c r="D1703" s="19" t="str">
        <x:v>旧重复=0；整体节省=23.664</x:v>
      </x:c>
      <x:c r="E1703" s="19" t="str">
        <x:v>restore=True步节省</x:v>
      </x:c>
      <x:c r="F1703" s="19" t="str">
        <x:v>25.416</x:v>
      </x:c>
      <x:c r="G1703" s="19" t="str">
        <x:v>其他/配置</x:v>
      </x:c>
      <x:c r="H1703" s="19" t="str">
        <x:v>D:/Codex/GRL研究/outputs/grid29b/GRID29B_report.md</x:v>
      </x:c>
    </x:row>
    <x:row r="1704" ht="36" customHeight="1">
      <x:c r="A1704" s="19" t="str">
        <x:v>GRID29B</x:v>
      </x:c>
      <x:c r="B1704" s="19" t="str">
        <x:v>GRID29B_report.md</x:v>
      </x:c>
      <x:c r="C1704" s="19" t="str">
        <x:v>2. GRID29B 实际状态配对诊断</x:v>
      </x:c>
      <x:c r="D1704" s="19" t="str">
        <x:v>旧重复=0；整体节省=23.664</x:v>
      </x:c>
      <x:c r="E1704" s="19" t="str">
        <x:v>其余步节省</x:v>
      </x:c>
      <x:c r="F1704" s="19" t="str">
        <x:v>-1.752</x:v>
      </x:c>
      <x:c r="G1704" s="19" t="str">
        <x:v>其他/配置</x:v>
      </x:c>
      <x:c r="H1704" s="19" t="str">
        <x:v>D:/Codex/GRL研究/outputs/grid29b/GRID29B_report.md</x:v>
      </x:c>
    </x:row>
    <x:row r="1705" ht="36" customHeight="1">
      <x:c r="A1705" s="19" t="str">
        <x:v>GRID29B</x:v>
      </x:c>
      <x:c r="B1705" s="19" t="str">
        <x:v>GRID29B_report.md</x:v>
      </x:c>
      <x:c r="C1705" s="19" t="str">
        <x:v>2. GRID29B 实际状态配对诊断</x:v>
      </x:c>
      <x:c r="D1705" s="19" t="str">
        <x:v>旧重复=1；整体节省=0.695</x:v>
      </x:c>
      <x:c r="E1705" s="19" t="str">
        <x:v>整体节省</x:v>
      </x:c>
      <x:c r="F1705" s="19" t="str">
        <x:v>0.695</x:v>
      </x:c>
      <x:c r="G1705" s="19" t="str">
        <x:v>其他/配置</x:v>
      </x:c>
      <x:c r="H1705" s="19" t="str">
        <x:v>D:/Codex/GRL研究/outputs/grid29b/GRID29B_report.md</x:v>
      </x:c>
    </x:row>
    <x:row r="1706" ht="36" customHeight="1">
      <x:c r="A1706" s="19" t="str">
        <x:v>GRID29B</x:v>
      </x:c>
      <x:c r="B1706" s="19" t="str">
        <x:v>GRID29B_report.md</x:v>
      </x:c>
      <x:c r="C1706" s="19" t="str">
        <x:v>2. GRID29B 实际状态配对诊断</x:v>
      </x:c>
      <x:c r="D1706" s="19" t="str">
        <x:v>旧重复=1；整体节省=0.695</x:v>
      </x:c>
      <x:c r="E1706" s="19" t="str">
        <x:v>预测节省</x:v>
      </x:c>
      <x:c r="F1706" s="19" t="str">
        <x:v>-2.235</x:v>
      </x:c>
      <x:c r="G1706" s="19" t="str">
        <x:v>速度/计算</x:v>
      </x:c>
      <x:c r="H1706" s="19" t="str">
        <x:v>D:/Codex/GRL研究/outputs/grid29b/GRID29B_report.md</x:v>
      </x:c>
    </x:row>
    <x:row r="1707" ht="36" customHeight="1">
      <x:c r="A1707" s="19" t="str">
        <x:v>GRID29B</x:v>
      </x:c>
      <x:c r="B1707" s="19" t="str">
        <x:v>GRID29B_report.md</x:v>
      </x:c>
      <x:c r="C1707" s="19" t="str">
        <x:v>2. GRID29B 实际状态配对诊断</x:v>
      </x:c>
      <x:c r="D1707" s="19" t="str">
        <x:v>旧重复=1；整体节省=0.695</x:v>
      </x:c>
      <x:c r="E1707" s="19" t="str">
        <x:v>非预测节省</x:v>
      </x:c>
      <x:c r="F1707" s="19" t="str">
        <x:v>2.930</x:v>
      </x:c>
      <x:c r="G1707" s="19" t="str">
        <x:v>速度/计算</x:v>
      </x:c>
      <x:c r="H1707" s="19" t="str">
        <x:v>D:/Codex/GRL研究/outputs/grid29b/GRID29B_report.md</x:v>
      </x:c>
    </x:row>
    <x:row r="1708" ht="36" customHeight="1">
      <x:c r="A1708" s="19" t="str">
        <x:v>GRID29B</x:v>
      </x:c>
      <x:c r="B1708" s="19" t="str">
        <x:v>GRID29B_report.md</x:v>
      </x:c>
      <x:c r="C1708" s="19" t="str">
        <x:v>2. GRID29B 实际状态配对诊断</x:v>
      </x:c>
      <x:c r="D1708" s="19" t="str">
        <x:v>旧重复=1；整体节省=0.695</x:v>
      </x:c>
      <x:c r="E1708" s="19" t="str">
        <x:v>restore=True步节省</x:v>
      </x:c>
      <x:c r="F1708" s="19" t="str">
        <x:v>10.320</x:v>
      </x:c>
      <x:c r="G1708" s="19" t="str">
        <x:v>其他/配置</x:v>
      </x:c>
      <x:c r="H1708" s="19" t="str">
        <x:v>D:/Codex/GRL研究/outputs/grid29b/GRID29B_report.md</x:v>
      </x:c>
    </x:row>
    <x:row r="1709" ht="36" customHeight="1">
      <x:c r="A1709" s="19" t="str">
        <x:v>GRID29B</x:v>
      </x:c>
      <x:c r="B1709" s="19" t="str">
        <x:v>GRID29B_report.md</x:v>
      </x:c>
      <x:c r="C1709" s="19" t="str">
        <x:v>2. GRID29B 实际状态配对诊断</x:v>
      </x:c>
      <x:c r="D1709" s="19" t="str">
        <x:v>旧重复=1；整体节省=0.695</x:v>
      </x:c>
      <x:c r="E1709" s="19" t="str">
        <x:v>其余步节省</x:v>
      </x:c>
      <x:c r="F1709" s="19" t="str">
        <x:v>-9.625</x:v>
      </x:c>
      <x:c r="G1709" s="19" t="str">
        <x:v>其他/配置</x:v>
      </x:c>
      <x:c r="H1709" s="19" t="str">
        <x:v>D:/Codex/GRL研究/outputs/grid29b/GRID29B_report.md</x:v>
      </x:c>
    </x:row>
    <x:row r="1710" ht="36" customHeight="1">
      <x:c r="A1710" s="19" t="str">
        <x:v>GRID29C</x:v>
      </x:c>
      <x:c r="B1710" s="19" t="str">
        <x:v>GRID29C_report.md</x:v>
      </x:c>
      <x:c r="C1710" s="19" t="str">
        <x:v>1. GRID29C 完整两臂组件计时</x:v>
      </x:c>
      <x:c r="D1710" s="19" t="str">
        <x:v>重复=0；原控制=181.911</x:v>
      </x:c>
      <x:c r="E1710" s="19" t="str">
        <x:v>原控制</x:v>
      </x:c>
      <x:c r="F1710" s="19" t="str">
        <x:v>181.911</x:v>
      </x:c>
      <x:c r="G1710" s="19" t="str">
        <x:v>速度/计算</x:v>
      </x:c>
      <x:c r="H1710" s="19" t="str">
        <x:v>D:/Codex/GRL研究/outputs/grid29c/GRID29C_report.md</x:v>
      </x:c>
    </x:row>
    <x:row r="1711" ht="36" customHeight="1">
      <x:c r="A1711" s="19" t="str">
        <x:v>GRID29C</x:v>
      </x:c>
      <x:c r="B1711" s="19" t="str">
        <x:v>GRID29C_report.md</x:v>
      </x:c>
      <x:c r="C1711" s="19" t="str">
        <x:v>1. GRID29C 完整两臂组件计时</x:v>
      </x:c>
      <x:c r="D1711" s="19" t="str">
        <x:v>重复=0；原控制=181.911</x:v>
      </x:c>
      <x:c r="E1711" s="19" t="str">
        <x:v>缓存控制</x:v>
      </x:c>
      <x:c r="F1711" s="19" t="str">
        <x:v>170.174</x:v>
      </x:c>
      <x:c r="G1711" s="19" t="str">
        <x:v>速度/计算</x:v>
      </x:c>
      <x:c r="H1711" s="19" t="str">
        <x:v>D:/Codex/GRL研究/outputs/grid29c/GRID29C_report.md</x:v>
      </x:c>
    </x:row>
    <x:row r="1712" ht="36" customHeight="1">
      <x:c r="A1712" s="19" t="str">
        <x:v>GRID29C</x:v>
      </x:c>
      <x:c r="B1712" s="19" t="str">
        <x:v>GRID29C_report.md</x:v>
      </x:c>
      <x:c r="C1712" s="19" t="str">
        <x:v>1. GRID29C 完整两臂组件计时</x:v>
      </x:c>
      <x:c r="D1712" s="19" t="str">
        <x:v>重复=0；原控制=181.911</x:v>
      </x:c>
      <x:c r="E1712" s="19" t="str">
        <x:v>整体减少</x:v>
      </x:c>
      <x:c r="F1712" s="19" t="str">
        <x:v>6.45%</x:v>
      </x:c>
      <x:c r="G1712" s="19" t="str">
        <x:v>速度/计算</x:v>
      </x:c>
      <x:c r="H1712" s="19" t="str">
        <x:v>D:/Codex/GRL研究/outputs/grid29c/GRID29C_report.md</x:v>
      </x:c>
    </x:row>
    <x:row r="1713" ht="36" customHeight="1">
      <x:c r="A1713" s="19" t="str">
        <x:v>GRID29C</x:v>
      </x:c>
      <x:c r="B1713" s="19" t="str">
        <x:v>GRID29C_report.md</x:v>
      </x:c>
      <x:c r="C1713" s="19" t="str">
        <x:v>1. GRID29C 完整两臂组件计时</x:v>
      </x:c>
      <x:c r="D1713" s="19" t="str">
        <x:v>重复=0；原控制=181.911</x:v>
      </x:c>
      <x:c r="E1713" s="19" t="str">
        <x:v>DC节省</x:v>
      </x:c>
      <x:c r="F1713" s="19" t="str">
        <x:v>17.475</x:v>
      </x:c>
      <x:c r="G1713" s="19" t="str">
        <x:v>其他/配置</x:v>
      </x:c>
      <x:c r="H1713" s="19" t="str">
        <x:v>D:/Codex/GRL研究/outputs/grid29c/GRID29C_report.md</x:v>
      </x:c>
    </x:row>
    <x:row r="1714" ht="36" customHeight="1">
      <x:c r="A1714" s="19" t="str">
        <x:v>GRID29C</x:v>
      </x:c>
      <x:c r="B1714" s="19" t="str">
        <x:v>GRID29C_report.md</x:v>
      </x:c>
      <x:c r="C1714" s="19" t="str">
        <x:v>1. GRID29C 完整两臂组件计时</x:v>
      </x:c>
      <x:c r="D1714" s="19" t="str">
        <x:v>重复=0；原控制=181.911</x:v>
      </x:c>
      <x:c r="E1714" s="19" t="str">
        <x:v>安全QP节省</x:v>
      </x:c>
      <x:c r="F1714" s="19" t="str">
        <x:v>-1.130</x:v>
      </x:c>
      <x:c r="G1714" s="19" t="str">
        <x:v>其他/配置</x:v>
      </x:c>
      <x:c r="H1714" s="19" t="str">
        <x:v>D:/Codex/GRL研究/outputs/grid29c/GRID29C_report.md</x:v>
      </x:c>
    </x:row>
    <x:row r="1715" ht="36" customHeight="1">
      <x:c r="A1715" s="19" t="str">
        <x:v>GRID29C</x:v>
      </x:c>
      <x:c r="B1715" s="19" t="str">
        <x:v>GRID29C_report.md</x:v>
      </x:c>
      <x:c r="C1715" s="19" t="str">
        <x:v>1. GRID29C 完整两臂组件计时</x:v>
      </x:c>
      <x:c r="D1715" s="19" t="str">
        <x:v>重复=0；原控制=181.911</x:v>
      </x:c>
      <x:c r="E1715" s="19" t="str">
        <x:v>原作者QP节省</x:v>
      </x:c>
      <x:c r="F1715" s="19" t="str">
        <x:v>-3.432</x:v>
      </x:c>
      <x:c r="G1715" s="19" t="str">
        <x:v>其他/配置</x:v>
      </x:c>
      <x:c r="H1715" s="19" t="str">
        <x:v>D:/Codex/GRL研究/outputs/grid29c/GRID29C_report.md</x:v>
      </x:c>
    </x:row>
    <x:row r="1716" ht="36" customHeight="1">
      <x:c r="A1716" s="19" t="str">
        <x:v>GRID29C</x:v>
      </x:c>
      <x:c r="B1716" s="19" t="str">
        <x:v>GRID29C_report.md</x:v>
      </x:c>
      <x:c r="C1716" s="19" t="str">
        <x:v>1. GRID29C 完整两臂组件计时</x:v>
      </x:c>
      <x:c r="D1716" s="19" t="str">
        <x:v>重复=0；原控制=181.911</x:v>
      </x:c>
      <x:c r="E1716" s="19" t="str">
        <x:v>预测节省</x:v>
      </x:c>
      <x:c r="F1716" s="19" t="str">
        <x:v>-0.876</x:v>
      </x:c>
      <x:c r="G1716" s="19" t="str">
        <x:v>速度/计算</x:v>
      </x:c>
      <x:c r="H1716" s="19" t="str">
        <x:v>D:/Codex/GRL研究/outputs/grid29c/GRID29C_report.md</x:v>
      </x:c>
    </x:row>
    <x:row r="1717" ht="36" customHeight="1">
      <x:c r="A1717" s="19" t="str">
        <x:v>GRID29C</x:v>
      </x:c>
      <x:c r="B1717" s="19" t="str">
        <x:v>GRID29C_report.md</x:v>
      </x:c>
      <x:c r="C1717" s="19" t="str">
        <x:v>1. GRID29C 完整两臂组件计时</x:v>
      </x:c>
      <x:c r="D1717" s="19" t="str">
        <x:v>重复=0；原控制=181.911</x:v>
      </x:c>
      <x:c r="E1717" s="19" t="str">
        <x:v>其余节省</x:v>
      </x:c>
      <x:c r="F1717" s="19" t="str">
        <x:v>-0.301</x:v>
      </x:c>
      <x:c r="G1717" s="19" t="str">
        <x:v>其他/配置</x:v>
      </x:c>
      <x:c r="H1717" s="19" t="str">
        <x:v>D:/Codex/GRL研究/outputs/grid29c/GRID29C_report.md</x:v>
      </x:c>
    </x:row>
    <x:row r="1718" ht="36" customHeight="1">
      <x:c r="A1718" s="19" t="str">
        <x:v>GRID29C</x:v>
      </x:c>
      <x:c r="B1718" s="19" t="str">
        <x:v>GRID29C_report.md</x:v>
      </x:c>
      <x:c r="C1718" s="19" t="str">
        <x:v>1. GRID29C 完整两臂组件计时</x:v>
      </x:c>
      <x:c r="D1718" s="19" t="str">
        <x:v>重复=1；原控制=182.557</x:v>
      </x:c>
      <x:c r="E1718" s="19" t="str">
        <x:v>原控制</x:v>
      </x:c>
      <x:c r="F1718" s="19" t="str">
        <x:v>182.557</x:v>
      </x:c>
      <x:c r="G1718" s="19" t="str">
        <x:v>速度/计算</x:v>
      </x:c>
      <x:c r="H1718" s="19" t="str">
        <x:v>D:/Codex/GRL研究/outputs/grid29c/GRID29C_report.md</x:v>
      </x:c>
    </x:row>
    <x:row r="1719" ht="36" customHeight="1">
      <x:c r="A1719" s="19" t="str">
        <x:v>GRID29C</x:v>
      </x:c>
      <x:c r="B1719" s="19" t="str">
        <x:v>GRID29C_report.md</x:v>
      </x:c>
      <x:c r="C1719" s="19" t="str">
        <x:v>1. GRID29C 完整两臂组件计时</x:v>
      </x:c>
      <x:c r="D1719" s="19" t="str">
        <x:v>重复=1；原控制=182.557</x:v>
      </x:c>
      <x:c r="E1719" s="19" t="str">
        <x:v>缓存控制</x:v>
      </x:c>
      <x:c r="F1719" s="19" t="str">
        <x:v>170.681</x:v>
      </x:c>
      <x:c r="G1719" s="19" t="str">
        <x:v>速度/计算</x:v>
      </x:c>
      <x:c r="H1719" s="19" t="str">
        <x:v>D:/Codex/GRL研究/outputs/grid29c/GRID29C_report.md</x:v>
      </x:c>
    </x:row>
    <x:row r="1720" ht="36" customHeight="1">
      <x:c r="A1720" s="19" t="str">
        <x:v>GRID29C</x:v>
      </x:c>
      <x:c r="B1720" s="19" t="str">
        <x:v>GRID29C_report.md</x:v>
      </x:c>
      <x:c r="C1720" s="19" t="str">
        <x:v>1. GRID29C 完整两臂组件计时</x:v>
      </x:c>
      <x:c r="D1720" s="19" t="str">
        <x:v>重复=1；原控制=182.557</x:v>
      </x:c>
      <x:c r="E1720" s="19" t="str">
        <x:v>整体减少</x:v>
      </x:c>
      <x:c r="F1720" s="19" t="str">
        <x:v>6.51%</x:v>
      </x:c>
      <x:c r="G1720" s="19" t="str">
        <x:v>速度/计算</x:v>
      </x:c>
      <x:c r="H1720" s="19" t="str">
        <x:v>D:/Codex/GRL研究/outputs/grid29c/GRID29C_report.md</x:v>
      </x:c>
    </x:row>
    <x:row r="1721" ht="36" customHeight="1">
      <x:c r="A1721" s="19" t="str">
        <x:v>GRID29C</x:v>
      </x:c>
      <x:c r="B1721" s="19" t="str">
        <x:v>GRID29C_report.md</x:v>
      </x:c>
      <x:c r="C1721" s="19" t="str">
        <x:v>1. GRID29C 完整两臂组件计时</x:v>
      </x:c>
      <x:c r="D1721" s="19" t="str">
        <x:v>重复=1；原控制=182.557</x:v>
      </x:c>
      <x:c r="E1721" s="19" t="str">
        <x:v>DC节省</x:v>
      </x:c>
      <x:c r="F1721" s="19" t="str">
        <x:v>18.143</x:v>
      </x:c>
      <x:c r="G1721" s="19" t="str">
        <x:v>其他/配置</x:v>
      </x:c>
      <x:c r="H1721" s="19" t="str">
        <x:v>D:/Codex/GRL研究/outputs/grid29c/GRID29C_report.md</x:v>
      </x:c>
    </x:row>
    <x:row r="1722" ht="36" customHeight="1">
      <x:c r="A1722" s="19" t="str">
        <x:v>GRID29C</x:v>
      </x:c>
      <x:c r="B1722" s="19" t="str">
        <x:v>GRID29C_report.md</x:v>
      </x:c>
      <x:c r="C1722" s="19" t="str">
        <x:v>1. GRID29C 完整两臂组件计时</x:v>
      </x:c>
      <x:c r="D1722" s="19" t="str">
        <x:v>重复=1；原控制=182.557</x:v>
      </x:c>
      <x:c r="E1722" s="19" t="str">
        <x:v>安全QP节省</x:v>
      </x:c>
      <x:c r="F1722" s="19" t="str">
        <x:v>-2.739</x:v>
      </x:c>
      <x:c r="G1722" s="19" t="str">
        <x:v>其他/配置</x:v>
      </x:c>
      <x:c r="H1722" s="19" t="str">
        <x:v>D:/Codex/GRL研究/outputs/grid29c/GRID29C_report.md</x:v>
      </x:c>
    </x:row>
    <x:row r="1723" ht="36" customHeight="1">
      <x:c r="A1723" s="19" t="str">
        <x:v>GRID29C</x:v>
      </x:c>
      <x:c r="B1723" s="19" t="str">
        <x:v>GRID29C_report.md</x:v>
      </x:c>
      <x:c r="C1723" s="19" t="str">
        <x:v>1. GRID29C 完整两臂组件计时</x:v>
      </x:c>
      <x:c r="D1723" s="19" t="str">
        <x:v>重复=1；原控制=182.557</x:v>
      </x:c>
      <x:c r="E1723" s="19" t="str">
        <x:v>原作者QP节省</x:v>
      </x:c>
      <x:c r="F1723" s="19" t="str">
        <x:v>-2.498</x:v>
      </x:c>
      <x:c r="G1723" s="19" t="str">
        <x:v>其他/配置</x:v>
      </x:c>
      <x:c r="H1723" s="19" t="str">
        <x:v>D:/Codex/GRL研究/outputs/grid29c/GRID29C_report.md</x:v>
      </x:c>
    </x:row>
    <x:row r="1724" ht="36" customHeight="1">
      <x:c r="A1724" s="19" t="str">
        <x:v>GRID29C</x:v>
      </x:c>
      <x:c r="B1724" s="19" t="str">
        <x:v>GRID29C_report.md</x:v>
      </x:c>
      <x:c r="C1724" s="19" t="str">
        <x:v>1. GRID29C 完整两臂组件计时</x:v>
      </x:c>
      <x:c r="D1724" s="19" t="str">
        <x:v>重复=1；原控制=182.557</x:v>
      </x:c>
      <x:c r="E1724" s="19" t="str">
        <x:v>预测节省</x:v>
      </x:c>
      <x:c r="F1724" s="19" t="str">
        <x:v>-0.779</x:v>
      </x:c>
      <x:c r="G1724" s="19" t="str">
        <x:v>速度/计算</x:v>
      </x:c>
      <x:c r="H1724" s="19" t="str">
        <x:v>D:/Codex/GRL研究/outputs/grid29c/GRID29C_report.md</x:v>
      </x:c>
    </x:row>
    <x:row r="1725" ht="36" customHeight="1">
      <x:c r="A1725" s="19" t="str">
        <x:v>GRID29C</x:v>
      </x:c>
      <x:c r="B1725" s="19" t="str">
        <x:v>GRID29C_report.md</x:v>
      </x:c>
      <x:c r="C1725" s="19" t="str">
        <x:v>1. GRID29C 完整两臂组件计时</x:v>
      </x:c>
      <x:c r="D1725" s="19" t="str">
        <x:v>重复=1；原控制=182.557</x:v>
      </x:c>
      <x:c r="E1725" s="19" t="str">
        <x:v>其余节省</x:v>
      </x:c>
      <x:c r="F1725" s="19" t="str">
        <x:v>-0.251</x:v>
      </x:c>
      <x:c r="G1725" s="19" t="str">
        <x:v>其他/配置</x:v>
      </x:c>
      <x:c r="H1725" s="19" t="str">
        <x:v>D:/Codex/GRL研究/outputs/grid29c/GRID29C_report.md</x:v>
      </x:c>
    </x:row>
    <x:row r="1726" ht="36" customHeight="1">
      <x:c r="A1726" s="19" t="str">
        <x:v>GRID29C</x:v>
      </x:c>
      <x:c r="B1726" s="19" t="str">
        <x:v>GRID29C_report.md</x:v>
      </x:c>
      <x:c r="C1726" s="19" t="str">
        <x:v>2. GRID29C 完整两臂组件计时</x:v>
      </x:c>
      <x:c r="D1726" s="19" t="str">
        <x:v>重复=0；DC局部减少=56.71%</x:v>
      </x:c>
      <x:c r="E1726" s="19" t="str">
        <x:v>DC局部减少</x:v>
      </x:c>
      <x:c r="F1726" s="19" t="str">
        <x:v>56.71%</x:v>
      </x:c>
      <x:c r="G1726" s="19" t="str">
        <x:v>速度/计算</x:v>
      </x:c>
      <x:c r="H1726" s="19" t="str">
        <x:v>D:/Codex/GRL研究/outputs/grid29c/GRID29C_report.md</x:v>
      </x:c>
    </x:row>
    <x:row r="1727" ht="36" customHeight="1">
      <x:c r="A1727" s="19" t="str">
        <x:v>GRID29C</x:v>
      </x:c>
      <x:c r="B1727" s="19" t="str">
        <x:v>GRID29C_report.md</x:v>
      </x:c>
      <x:c r="C1727" s="19" t="str">
        <x:v>2. GRID29C 完整两臂组件计时</x:v>
      </x:c>
      <x:c r="D1727" s="19" t="str">
        <x:v>重复=0；DC局部减少=56.71%</x:v>
      </x:c>
      <x:c r="E1727" s="19" t="str">
        <x:v>DC节省/原完整控制</x:v>
      </x:c>
      <x:c r="F1727" s="19" t="str">
        <x:v>9.61个百分点</x:v>
      </x:c>
      <x:c r="G1727" s="19" t="str">
        <x:v>速度/计算</x:v>
      </x:c>
      <x:c r="H1727" s="19" t="str">
        <x:v>D:/Codex/GRL研究/outputs/grid29c/GRID29C_report.md</x:v>
      </x:c>
    </x:row>
    <x:row r="1728" ht="36" customHeight="1">
      <x:c r="A1728" s="19" t="str">
        <x:v>GRID29C</x:v>
      </x:c>
      <x:c r="B1728" s="19" t="str">
        <x:v>GRID29C_report.md</x:v>
      </x:c>
      <x:c r="C1728" s="19" t="str">
        <x:v>2. GRID29C 完整两臂组件计时</x:v>
      </x:c>
      <x:c r="D1728" s="19" t="str">
        <x:v>重复=0；DC局部减少=56.71%</x:v>
      </x:c>
      <x:c r="E1728" s="19" t="str">
        <x:v>非DC额外节省</x:v>
      </x:c>
      <x:c r="F1728" s="19" t="str">
        <x:v>-5.738s</x:v>
      </x:c>
      <x:c r="G1728" s="19" t="str">
        <x:v>其他/配置</x:v>
      </x:c>
      <x:c r="H1728" s="19" t="str">
        <x:v>D:/Codex/GRL研究/outputs/grid29c/GRID29C_report.md</x:v>
      </x:c>
    </x:row>
    <x:row r="1729" ht="36" customHeight="1">
      <x:c r="A1729" s="19" t="str">
        <x:v>GRID29C</x:v>
      </x:c>
      <x:c r="B1729" s="19" t="str">
        <x:v>GRID29C_report.md</x:v>
      </x:c>
      <x:c r="C1729" s="19" t="str">
        <x:v>2. GRID29C 完整两臂组件计时</x:v>
      </x:c>
      <x:c r="D1729" s="19" t="str">
        <x:v>重复=0；DC局部减少=56.71%</x:v>
      </x:c>
      <x:c r="E1729" s="19" t="str">
        <x:v>solver状态/迭代改变数</x:v>
      </x:c>
      <x:c r="F1729" s="19" t="str">
        <x:v>0</x:v>
      </x:c>
      <x:c r="G1729" s="19" t="str">
        <x:v>其他/配置</x:v>
      </x:c>
      <x:c r="H1729" s="19" t="str">
        <x:v>D:/Codex/GRL研究/outputs/grid29c/GRID29C_report.md</x:v>
      </x:c>
    </x:row>
    <x:row r="1730" ht="36" customHeight="1">
      <x:c r="A1730" s="19" t="str">
        <x:v>GRID29C</x:v>
      </x:c>
      <x:c r="B1730" s="19" t="str">
        <x:v>GRID29C_report.md</x:v>
      </x:c>
      <x:c r="C1730" s="19" t="str">
        <x:v>2. GRID29C 完整两臂组件计时</x:v>
      </x:c>
      <x:c r="D1730" s="19" t="str">
        <x:v>重复=1；DC局部减少=57.32%</x:v>
      </x:c>
      <x:c r="E1730" s="19" t="str">
        <x:v>DC局部减少</x:v>
      </x:c>
      <x:c r="F1730" s="19" t="str">
        <x:v>57.32%</x:v>
      </x:c>
      <x:c r="G1730" s="19" t="str">
        <x:v>速度/计算</x:v>
      </x:c>
      <x:c r="H1730" s="19" t="str">
        <x:v>D:/Codex/GRL研究/outputs/grid29c/GRID29C_report.md</x:v>
      </x:c>
    </x:row>
    <x:row r="1731" ht="36" customHeight="1">
      <x:c r="A1731" s="19" t="str">
        <x:v>GRID29C</x:v>
      </x:c>
      <x:c r="B1731" s="19" t="str">
        <x:v>GRID29C_report.md</x:v>
      </x:c>
      <x:c r="C1731" s="19" t="str">
        <x:v>2. GRID29C 完整两臂组件计时</x:v>
      </x:c>
      <x:c r="D1731" s="19" t="str">
        <x:v>重复=1；DC局部减少=57.32%</x:v>
      </x:c>
      <x:c r="E1731" s="19" t="str">
        <x:v>DC节省/原完整控制</x:v>
      </x:c>
      <x:c r="F1731" s="19" t="str">
        <x:v>9.94个百分点</x:v>
      </x:c>
      <x:c r="G1731" s="19" t="str">
        <x:v>速度/计算</x:v>
      </x:c>
      <x:c r="H1731" s="19" t="str">
        <x:v>D:/Codex/GRL研究/outputs/grid29c/GRID29C_report.md</x:v>
      </x:c>
    </x:row>
    <x:row r="1732" ht="36" customHeight="1">
      <x:c r="A1732" s="19" t="str">
        <x:v>GRID29C</x:v>
      </x:c>
      <x:c r="B1732" s="19" t="str">
        <x:v>GRID29C_report.md</x:v>
      </x:c>
      <x:c r="C1732" s="19" t="str">
        <x:v>2. GRID29C 完整两臂组件计时</x:v>
      </x:c>
      <x:c r="D1732" s="19" t="str">
        <x:v>重复=1；DC局部减少=57.32%</x:v>
      </x:c>
      <x:c r="E1732" s="19" t="str">
        <x:v>非DC额外节省</x:v>
      </x:c>
      <x:c r="F1732" s="19" t="str">
        <x:v>-6.267s</x:v>
      </x:c>
      <x:c r="G1732" s="19" t="str">
        <x:v>其他/配置</x:v>
      </x:c>
      <x:c r="H1732" s="19" t="str">
        <x:v>D:/Codex/GRL研究/outputs/grid29c/GRID29C_report.md</x:v>
      </x:c>
    </x:row>
    <x:row r="1733" ht="36" customHeight="1">
      <x:c r="A1733" s="19" t="str">
        <x:v>GRID29C</x:v>
      </x:c>
      <x:c r="B1733" s="19" t="str">
        <x:v>GRID29C_report.md</x:v>
      </x:c>
      <x:c r="C1733" s="19" t="str">
        <x:v>2. GRID29C 完整两臂组件计时</x:v>
      </x:c>
      <x:c r="D1733" s="19" t="str">
        <x:v>重复=1；DC局部减少=57.32%</x:v>
      </x:c>
      <x:c r="E1733" s="19" t="str">
        <x:v>solver状态/迭代改变数</x:v>
      </x:c>
      <x:c r="F1733" s="19" t="str">
        <x:v>0</x:v>
      </x:c>
      <x:c r="G1733" s="19" t="str">
        <x:v>其他/配置</x:v>
      </x:c>
      <x:c r="H1733" s="19" t="str">
        <x:v>D:/Codex/GRL研究/outputs/grid29c/GRID29C_report.md</x:v>
      </x:c>
    </x:row>
    <x:row r="1734" ht="36" customHeight="1">
      <x:c r="A1734" s="19" t="str">
        <x:v>GRID31</x:v>
      </x:c>
      <x:c r="B1734" s="19" t="str">
        <x:v>GRID31_report.md</x:v>
      </x:c>
      <x:c r="C1734" s="19" t="str">
        <x:v>1. GRID31 共有DC/安全QP编译复用完整控制试点</x:v>
      </x:c>
      <x:c r="D1734" s="19" t="str">
        <x:v>重复=0；原控制=184.153s</x:v>
      </x:c>
      <x:c r="E1734" s="19" t="str">
        <x:v>原控制</x:v>
      </x:c>
      <x:c r="F1734" s="19" t="str">
        <x:v>184.153s</x:v>
      </x:c>
      <x:c r="G1734" s="19" t="str">
        <x:v>速度/计算</x:v>
      </x:c>
      <x:c r="H1734" s="19" t="str">
        <x:v>D:/Codex/GRL研究/outputs/grid31/GRID31_report.md</x:v>
      </x:c>
    </x:row>
    <x:row r="1735" ht="36" customHeight="1">
      <x:c r="A1735" s="19" t="str">
        <x:v>GRID31</x:v>
      </x:c>
      <x:c r="B1735" s="19" t="str">
        <x:v>GRID31_report.md</x:v>
      </x:c>
      <x:c r="C1735" s="19" t="str">
        <x:v>1. GRID31 共有DC/安全QP编译复用完整控制试点</x:v>
      </x:c>
      <x:c r="D1735" s="19" t="str">
        <x:v>重复=0；原控制=184.153s</x:v>
      </x:c>
      <x:c r="E1735" s="19" t="str">
        <x:v>DC复用</x:v>
      </x:c>
      <x:c r="F1735" s="19" t="str">
        <x:v>166.174s</x:v>
      </x:c>
      <x:c r="G1735" s="19" t="str">
        <x:v>其他/配置</x:v>
      </x:c>
      <x:c r="H1735" s="19" t="str">
        <x:v>D:/Codex/GRL研究/outputs/grid31/GRID31_report.md</x:v>
      </x:c>
    </x:row>
    <x:row r="1736" ht="36" customHeight="1">
      <x:c r="A1736" s="19" t="str">
        <x:v>GRID31</x:v>
      </x:c>
      <x:c r="B1736" s="19" t="str">
        <x:v>GRID31_report.md</x:v>
      </x:c>
      <x:c r="C1736" s="19" t="str">
        <x:v>1. GRID31 共有DC/安全QP编译复用完整控制试点</x:v>
      </x:c>
      <x:c r="D1736" s="19" t="str">
        <x:v>重复=0；原控制=184.153s</x:v>
      </x:c>
      <x:c r="E1736" s="19" t="str">
        <x:v>DC+安全QP复用</x:v>
      </x:c>
      <x:c r="F1736" s="19" t="str">
        <x:v>140.898s</x:v>
      </x:c>
      <x:c r="G1736" s="19" t="str">
        <x:v>其他/配置</x:v>
      </x:c>
      <x:c r="H1736" s="19" t="str">
        <x:v>D:/Codex/GRL研究/outputs/grid31/GRID31_report.md</x:v>
      </x:c>
    </x:row>
    <x:row r="1737" ht="36" customHeight="1">
      <x:c r="A1737" s="19" t="str">
        <x:v>GRID31</x:v>
      </x:c>
      <x:c r="B1737" s="19" t="str">
        <x:v>GRID31_report.md</x:v>
      </x:c>
      <x:c r="C1737" s="19" t="str">
        <x:v>1. GRID31 共有DC/安全QP编译复用完整控制试点</x:v>
      </x:c>
      <x:c r="D1737" s="19" t="str">
        <x:v>重复=1；原控制=180.612s</x:v>
      </x:c>
      <x:c r="E1737" s="19" t="str">
        <x:v>原控制</x:v>
      </x:c>
      <x:c r="F1737" s="19" t="str">
        <x:v>180.612s</x:v>
      </x:c>
      <x:c r="G1737" s="19" t="str">
        <x:v>速度/计算</x:v>
      </x:c>
      <x:c r="H1737" s="19" t="str">
        <x:v>D:/Codex/GRL研究/outputs/grid31/GRID31_report.md</x:v>
      </x:c>
    </x:row>
    <x:row r="1738" ht="36" customHeight="1">
      <x:c r="A1738" s="19" t="str">
        <x:v>GRID31</x:v>
      </x:c>
      <x:c r="B1738" s="19" t="str">
        <x:v>GRID31_report.md</x:v>
      </x:c>
      <x:c r="C1738" s="19" t="str">
        <x:v>1. GRID31 共有DC/安全QP编译复用完整控制试点</x:v>
      </x:c>
      <x:c r="D1738" s="19" t="str">
        <x:v>重复=1；原控制=180.612s</x:v>
      </x:c>
      <x:c r="E1738" s="19" t="str">
        <x:v>DC复用</x:v>
      </x:c>
      <x:c r="F1738" s="19" t="str">
        <x:v>166.366s</x:v>
      </x:c>
      <x:c r="G1738" s="19" t="str">
        <x:v>其他/配置</x:v>
      </x:c>
      <x:c r="H1738" s="19" t="str">
        <x:v>D:/Codex/GRL研究/outputs/grid31/GRID31_report.md</x:v>
      </x:c>
    </x:row>
    <x:row r="1739" ht="36" customHeight="1">
      <x:c r="A1739" s="19" t="str">
        <x:v>GRID31</x:v>
      </x:c>
      <x:c r="B1739" s="19" t="str">
        <x:v>GRID31_report.md</x:v>
      </x:c>
      <x:c r="C1739" s="19" t="str">
        <x:v>1. GRID31 共有DC/安全QP编译复用完整控制试点</x:v>
      </x:c>
      <x:c r="D1739" s="19" t="str">
        <x:v>重复=1；原控制=180.612s</x:v>
      </x:c>
      <x:c r="E1739" s="19" t="str">
        <x:v>DC+安全QP复用</x:v>
      </x:c>
      <x:c r="F1739" s="19" t="str">
        <x:v>142.079s</x:v>
      </x:c>
      <x:c r="G1739" s="19" t="str">
        <x:v>其他/配置</x:v>
      </x:c>
      <x:c r="H1739" s="19" t="str">
        <x:v>D:/Codex/GRL研究/outputs/grid31/GRID31_report.md</x:v>
      </x:c>
    </x:row>
    <x:row r="1740" ht="36" customHeight="1">
      <x:c r="A1740" s="19" t="str">
        <x:v>GRID31</x:v>
      </x:c>
      <x:c r="B1740" s="19" t="str">
        <x:v>GRID31_report.md</x:v>
      </x:c>
      <x:c r="C1740" s="19" t="str">
        <x:v>2. GRID31 共有DC/安全QP编译复用完整控制试点</x:v>
      </x:c>
      <x:c r="D1740" s="19" t="str">
        <x:v>比较=ORIGINAL→DC_ONLY；重复0减少=9.76%</x:v>
      </x:c>
      <x:c r="E1740" s="19" t="str">
        <x:v>重复0减少</x:v>
      </x:c>
      <x:c r="F1740" s="19" t="str">
        <x:v>9.76%</x:v>
      </x:c>
      <x:c r="G1740" s="19" t="str">
        <x:v>速度/计算</x:v>
      </x:c>
      <x:c r="H1740" s="19" t="str">
        <x:v>D:/Codex/GRL研究/outputs/grid31/GRID31_report.md</x:v>
      </x:c>
    </x:row>
    <x:row r="1741" ht="36" customHeight="1">
      <x:c r="A1741" s="19" t="str">
        <x:v>GRID31</x:v>
      </x:c>
      <x:c r="B1741" s="19" t="str">
        <x:v>GRID31_report.md</x:v>
      </x:c>
      <x:c r="C1741" s="19" t="str">
        <x:v>2. GRID31 共有DC/安全QP编译复用完整控制试点</x:v>
      </x:c>
      <x:c r="D1741" s="19" t="str">
        <x:v>比较=ORIGINAL→DC_ONLY；重复0减少=9.76%</x:v>
      </x:c>
      <x:c r="E1741" s="19" t="str">
        <x:v>重复1减少</x:v>
      </x:c>
      <x:c r="F1741" s="19" t="str">
        <x:v>7.89%</x:v>
      </x:c>
      <x:c r="G1741" s="19" t="str">
        <x:v>速度/计算</x:v>
      </x:c>
      <x:c r="H1741" s="19" t="str">
        <x:v>D:/Codex/GRL研究/outputs/grid31/GRID31_report.md</x:v>
      </x:c>
    </x:row>
    <x:row r="1742" ht="36" customHeight="1">
      <x:c r="A1742" s="19" t="str">
        <x:v>GRID31</x:v>
      </x:c>
      <x:c r="B1742" s="19" t="str">
        <x:v>GRID31_report.md</x:v>
      </x:c>
      <x:c r="C1742" s="19" t="str">
        <x:v>2. GRID31 共有DC/安全QP编译复用完整控制试点</x:v>
      </x:c>
      <x:c r="D1742" s="19" t="str">
        <x:v>比较=ORIGINAL→DC_ONLY；重复0减少=9.76%</x:v>
      </x:c>
      <x:c r="E1742" s="19" t="str">
        <x:v>汇总点估计</x:v>
      </x:c>
      <x:c r="F1742" s="19" t="str">
        <x:v>8.83%</x:v>
      </x:c>
      <x:c r="G1742" s="19" t="str">
        <x:v>其他/配置</x:v>
      </x:c>
      <x:c r="H1742" s="19" t="str">
        <x:v>D:/Codex/GRL研究/outputs/grid31/GRID31_report.md</x:v>
      </x:c>
    </x:row>
    <x:row r="1743" ht="36" customHeight="1">
      <x:c r="A1743" s="19" t="str">
        <x:v>GRID31</x:v>
      </x:c>
      <x:c r="B1743" s="19" t="str">
        <x:v>GRID31_report.md</x:v>
      </x:c>
      <x:c r="C1743" s="19" t="str">
        <x:v>2. GRID31 共有DC/安全QP编译复用完整控制试点</x:v>
      </x:c>
      <x:c r="D1743" s="19" t="str">
        <x:v>比较=DC_ONLY→DC_AND_SAFE；重复0减少=15.21%</x:v>
      </x:c>
      <x:c r="E1743" s="19" t="str">
        <x:v>重复0减少</x:v>
      </x:c>
      <x:c r="F1743" s="19" t="str">
        <x:v>15.21%</x:v>
      </x:c>
      <x:c r="G1743" s="19" t="str">
        <x:v>速度/计算</x:v>
      </x:c>
      <x:c r="H1743" s="19" t="str">
        <x:v>D:/Codex/GRL研究/outputs/grid31/GRID31_report.md</x:v>
      </x:c>
    </x:row>
    <x:row r="1744" ht="36" customHeight="1">
      <x:c r="A1744" s="19" t="str">
        <x:v>GRID31</x:v>
      </x:c>
      <x:c r="B1744" s="19" t="str">
        <x:v>GRID31_report.md</x:v>
      </x:c>
      <x:c r="C1744" s="19" t="str">
        <x:v>2. GRID31 共有DC/安全QP编译复用完整控制试点</x:v>
      </x:c>
      <x:c r="D1744" s="19" t="str">
        <x:v>比较=DC_ONLY→DC_AND_SAFE；重复0减少=15.21%</x:v>
      </x:c>
      <x:c r="E1744" s="19" t="str">
        <x:v>重复1减少</x:v>
      </x:c>
      <x:c r="F1744" s="19" t="str">
        <x:v>14.60%</x:v>
      </x:c>
      <x:c r="G1744" s="19" t="str">
        <x:v>速度/计算</x:v>
      </x:c>
      <x:c r="H1744" s="19" t="str">
        <x:v>D:/Codex/GRL研究/outputs/grid31/GRID31_report.md</x:v>
      </x:c>
    </x:row>
    <x:row r="1745" ht="36" customHeight="1">
      <x:c r="A1745" s="19" t="str">
        <x:v>GRID31</x:v>
      </x:c>
      <x:c r="B1745" s="19" t="str">
        <x:v>GRID31_report.md</x:v>
      </x:c>
      <x:c r="C1745" s="19" t="str">
        <x:v>2. GRID31 共有DC/安全QP编译复用完整控制试点</x:v>
      </x:c>
      <x:c r="D1745" s="19" t="str">
        <x:v>比较=DC_ONLY→DC_AND_SAFE；重复0减少=15.21%</x:v>
      </x:c>
      <x:c r="E1745" s="19" t="str">
        <x:v>汇总点估计</x:v>
      </x:c>
      <x:c r="F1745" s="19" t="str">
        <x:v>14.90%</x:v>
      </x:c>
      <x:c r="G1745" s="19" t="str">
        <x:v>其他/配置</x:v>
      </x:c>
      <x:c r="H1745" s="19" t="str">
        <x:v>D:/Codex/GRL研究/outputs/grid31/GRID31_report.md</x:v>
      </x:c>
    </x:row>
    <x:row r="1746" ht="36" customHeight="1">
      <x:c r="A1746" s="19" t="str">
        <x:v>GRID31</x:v>
      </x:c>
      <x:c r="B1746" s="19" t="str">
        <x:v>GRID31_report.md</x:v>
      </x:c>
      <x:c r="C1746" s="19" t="str">
        <x:v>2. GRID31 共有DC/安全QP编译复用完整控制试点</x:v>
      </x:c>
      <x:c r="D1746" s="19" t="str">
        <x:v>比较=ORIGINAL→DC_AND_SAFE；重复0减少=23.49%</x:v>
      </x:c>
      <x:c r="E1746" s="19" t="str">
        <x:v>重复0减少</x:v>
      </x:c>
      <x:c r="F1746" s="19" t="str">
        <x:v>23.49%</x:v>
      </x:c>
      <x:c r="G1746" s="19" t="str">
        <x:v>速度/计算</x:v>
      </x:c>
      <x:c r="H1746" s="19" t="str">
        <x:v>D:/Codex/GRL研究/outputs/grid31/GRID31_report.md</x:v>
      </x:c>
    </x:row>
    <x:row r="1747" ht="36" customHeight="1">
      <x:c r="A1747" s="19" t="str">
        <x:v>GRID31</x:v>
      </x:c>
      <x:c r="B1747" s="19" t="str">
        <x:v>GRID31_report.md</x:v>
      </x:c>
      <x:c r="C1747" s="19" t="str">
        <x:v>2. GRID31 共有DC/安全QP编译复用完整控制试点</x:v>
      </x:c>
      <x:c r="D1747" s="19" t="str">
        <x:v>比较=ORIGINAL→DC_AND_SAFE；重复0减少=23.49%</x:v>
      </x:c>
      <x:c r="E1747" s="19" t="str">
        <x:v>重复1减少</x:v>
      </x:c>
      <x:c r="F1747" s="19" t="str">
        <x:v>21.33%</x:v>
      </x:c>
      <x:c r="G1747" s="19" t="str">
        <x:v>速度/计算</x:v>
      </x:c>
      <x:c r="H1747" s="19" t="str">
        <x:v>D:/Codex/GRL研究/outputs/grid31/GRID31_report.md</x:v>
      </x:c>
    </x:row>
    <x:row r="1748" ht="36" customHeight="1">
      <x:c r="A1748" s="19" t="str">
        <x:v>GRID31</x:v>
      </x:c>
      <x:c r="B1748" s="19" t="str">
        <x:v>GRID31_report.md</x:v>
      </x:c>
      <x:c r="C1748" s="19" t="str">
        <x:v>2. GRID31 共有DC/安全QP编译复用完整控制试点</x:v>
      </x:c>
      <x:c r="D1748" s="19" t="str">
        <x:v>比较=ORIGINAL→DC_AND_SAFE；重复0减少=23.49%</x:v>
      </x:c>
      <x:c r="E1748" s="19" t="str">
        <x:v>汇总点估计</x:v>
      </x:c>
      <x:c r="F1748" s="19" t="str">
        <x:v>22.42%</x:v>
      </x:c>
      <x:c r="G1748" s="19" t="str">
        <x:v>其他/配置</x:v>
      </x:c>
      <x:c r="H1748" s="19" t="str">
        <x:v>D:/Codex/GRL研究/outputs/grid31/GRID31_report.md</x:v>
      </x:c>
    </x:row>
    <x:row r="1749" ht="36" customHeight="1">
      <x:c r="A1749" s="19" t="str">
        <x:v>GRID32</x:v>
      </x:c>
      <x:c r="B1749" s="19" t="str">
        <x:v>GRID32_report.md</x:v>
      </x:c>
      <x:c r="C1749" s="19" t="str">
        <x:v>1. GRID32 其余开发周共享编译复用兼容性</x:v>
      </x:c>
      <x:c r="D1749" s="19" t="str">
        <x:v>日期=2035-06-25_8；原控制=149.844s</x:v>
      </x:c>
      <x:c r="E1749" s="19" t="str">
        <x:v>原控制</x:v>
      </x:c>
      <x:c r="F1749" s="19" t="str">
        <x:v>149.844s</x:v>
      </x:c>
      <x:c r="G1749" s="19" t="str">
        <x:v>速度/计算</x:v>
      </x:c>
      <x:c r="H1749" s="19" t="str">
        <x:v>D:/Codex/GRL研究/outputs/grid32/GRID32_report.md</x:v>
      </x:c>
    </x:row>
    <x:row r="1750" ht="36" customHeight="1">
      <x:c r="A1750" s="19" t="str">
        <x:v>GRID32</x:v>
      </x:c>
      <x:c r="B1750" s="19" t="str">
        <x:v>GRID32_report.md</x:v>
      </x:c>
      <x:c r="C1750" s="19" t="str">
        <x:v>1. GRID32 其余开发周共享编译复用兼容性</x:v>
      </x:c>
      <x:c r="D1750" s="19" t="str">
        <x:v>日期=2035-06-25_8；原控制=149.844s</x:v>
      </x:c>
      <x:c r="E1750" s="19" t="str">
        <x:v>双复用控制</x:v>
      </x:c>
      <x:c r="F1750" s="19" t="str">
        <x:v>55.046s</x:v>
      </x:c>
      <x:c r="G1750" s="19" t="str">
        <x:v>速度/计算</x:v>
      </x:c>
      <x:c r="H1750" s="19" t="str">
        <x:v>D:/Codex/GRL研究/outputs/grid32/GRID32_report.md</x:v>
      </x:c>
    </x:row>
    <x:row r="1751" ht="36" customHeight="1">
      <x:c r="A1751" s="19" t="str">
        <x:v>GRID32</x:v>
      </x:c>
      <x:c r="B1751" s="19" t="str">
        <x:v>GRID32_report.md</x:v>
      </x:c>
      <x:c r="C1751" s="19" t="str">
        <x:v>1. GRID32 其余开发周共享编译复用兼容性</x:v>
      </x:c>
      <x:c r="D1751" s="19" t="str">
        <x:v>日期=2035-06-25_8；原控制=149.844s</x:v>
      </x:c>
      <x:c r="E1751" s="19" t="str">
        <x:v>减少</x:v>
      </x:c>
      <x:c r="F1751" s="19" t="str">
        <x:v>63.26%</x:v>
      </x:c>
      <x:c r="G1751" s="19" t="str">
        <x:v>速度/计算</x:v>
      </x:c>
      <x:c r="H1751" s="19" t="str">
        <x:v>D:/Codex/GRL研究/outputs/grid32/GRID32_report.md</x:v>
      </x:c>
    </x:row>
    <x:row r="1752" ht="36" customHeight="1">
      <x:c r="A1752" s="19" t="str">
        <x:v>GRID32</x:v>
      </x:c>
      <x:c r="B1752" s="19" t="str">
        <x:v>GRID32_report.md</x:v>
      </x:c>
      <x:c r="C1752" s="19" t="str">
        <x:v>1. GRID32 其余开发周共享编译复用兼容性</x:v>
      </x:c>
      <x:c r="D1752" s="19" t="str">
        <x:v>日期=2035-06-25_8；原控制=149.844s</x:v>
      </x:c>
      <x:c r="E1752" s="19" t="str">
        <x:v>步数</x:v>
      </x:c>
      <x:c r="F1752" s="19" t="str">
        <x:v>1901</x:v>
      </x:c>
      <x:c r="G1752" s="19" t="str">
        <x:v>质量/成本</x:v>
      </x:c>
      <x:c r="H1752" s="19" t="str">
        <x:v>D:/Codex/GRL研究/outputs/grid32/GRID32_report.md</x:v>
      </x:c>
    </x:row>
    <x:row r="1753" ht="36" customHeight="1">
      <x:c r="A1753" s="19" t="str">
        <x:v>GRID32</x:v>
      </x:c>
      <x:c r="B1753" s="19" t="str">
        <x:v>GRID32_report.md</x:v>
      </x:c>
      <x:c r="C1753" s="19" t="str">
        <x:v>1. GRID32 其余开发周共享编译复用兼容性</x:v>
      </x:c>
      <x:c r="D1753" s="19" t="str">
        <x:v>日期=2035-06-25_8；原控制=149.844s</x:v>
      </x:c>
      <x:c r="E1753" s="19" t="str">
        <x:v>完成</x:v>
      </x:c>
      <x:c r="F1753" s="19" t="str">
        <x:v>False</x:v>
      </x:c>
      <x:c r="G1753" s="19" t="str">
        <x:v>质量/成本</x:v>
      </x:c>
      <x:c r="H1753" s="19" t="str">
        <x:v>D:/Codex/GRL研究/outputs/grid32/GRID32_report.md</x:v>
      </x:c>
    </x:row>
    <x:row r="1754" ht="36" customHeight="1">
      <x:c r="A1754" s="19" t="str">
        <x:v>GRID32</x:v>
      </x:c>
      <x:c r="B1754" s="19" t="str">
        <x:v>GRID32_report.md</x:v>
      </x:c>
      <x:c r="C1754" s="19" t="str">
        <x:v>1. GRID32 其余开发周共享编译复用兼容性</x:v>
      </x:c>
      <x:c r="D1754" s="19" t="str">
        <x:v>日期=2035-06-25_8；原控制=149.844s</x:v>
      </x:c>
      <x:c r="E1754" s="19" t="str">
        <x:v>数值路径状态/迭代差别数</x:v>
      </x:c>
      <x:c r="F1754" s="19" t="str">
        <x:v>0</x:v>
      </x:c>
      <x:c r="G1754" s="19" t="str">
        <x:v>其他/配置</x:v>
      </x:c>
      <x:c r="H1754" s="19" t="str">
        <x:v>D:/Codex/GRL研究/outputs/grid32/GRID32_report.md</x:v>
      </x:c>
    </x:row>
    <x:row r="1755" ht="36" customHeight="1">
      <x:c r="A1755" s="19" t="str">
        <x:v>GRID32</x:v>
      </x:c>
      <x:c r="B1755" s="19" t="str">
        <x:v>GRID32_report.md</x:v>
      </x:c>
      <x:c r="C1755" s="19" t="str">
        <x:v>1. GRID32 其余开发周共享编译复用兼容性</x:v>
      </x:c>
      <x:c r="D1755" s="19" t="str">
        <x:v>日期=2035-09-03_4；原控制=161.379s</x:v>
      </x:c>
      <x:c r="E1755" s="19" t="str">
        <x:v>原控制</x:v>
      </x:c>
      <x:c r="F1755" s="19" t="str">
        <x:v>161.379s</x:v>
      </x:c>
      <x:c r="G1755" s="19" t="str">
        <x:v>速度/计算</x:v>
      </x:c>
      <x:c r="H1755" s="19" t="str">
        <x:v>D:/Codex/GRL研究/outputs/grid32/GRID32_report.md</x:v>
      </x:c>
    </x:row>
    <x:row r="1756" ht="36" customHeight="1">
      <x:c r="A1756" s="19" t="str">
        <x:v>GRID32</x:v>
      </x:c>
      <x:c r="B1756" s="19" t="str">
        <x:v>GRID32_report.md</x:v>
      </x:c>
      <x:c r="C1756" s="19" t="str">
        <x:v>1. GRID32 其余开发周共享编译复用兼容性</x:v>
      </x:c>
      <x:c r="D1756" s="19" t="str">
        <x:v>日期=2035-09-03_4；原控制=161.379s</x:v>
      </x:c>
      <x:c r="E1756" s="19" t="str">
        <x:v>双复用控制</x:v>
      </x:c>
      <x:c r="F1756" s="19" t="str">
        <x:v>61.503s</x:v>
      </x:c>
      <x:c r="G1756" s="19" t="str">
        <x:v>速度/计算</x:v>
      </x:c>
      <x:c r="H1756" s="19" t="str">
        <x:v>D:/Codex/GRL研究/outputs/grid32/GRID32_report.md</x:v>
      </x:c>
    </x:row>
    <x:row r="1757" ht="36" customHeight="1">
      <x:c r="A1757" s="19" t="str">
        <x:v>GRID32</x:v>
      </x:c>
      <x:c r="B1757" s="19" t="str">
        <x:v>GRID32_report.md</x:v>
      </x:c>
      <x:c r="C1757" s="19" t="str">
        <x:v>1. GRID32 其余开发周共享编译复用兼容性</x:v>
      </x:c>
      <x:c r="D1757" s="19" t="str">
        <x:v>日期=2035-09-03_4；原控制=161.379s</x:v>
      </x:c>
      <x:c r="E1757" s="19" t="str">
        <x:v>减少</x:v>
      </x:c>
      <x:c r="F1757" s="19" t="str">
        <x:v>61.89%</x:v>
      </x:c>
      <x:c r="G1757" s="19" t="str">
        <x:v>速度/计算</x:v>
      </x:c>
      <x:c r="H1757" s="19" t="str">
        <x:v>D:/Codex/GRL研究/outputs/grid32/GRID32_report.md</x:v>
      </x:c>
    </x:row>
    <x:row r="1758" ht="36" customHeight="1">
      <x:c r="A1758" s="19" t="str">
        <x:v>GRID32</x:v>
      </x:c>
      <x:c r="B1758" s="19" t="str">
        <x:v>GRID32_report.md</x:v>
      </x:c>
      <x:c r="C1758" s="19" t="str">
        <x:v>1. GRID32 其余开发周共享编译复用兼容性</x:v>
      </x:c>
      <x:c r="D1758" s="19" t="str">
        <x:v>日期=2035-09-03_4；原控制=161.379s</x:v>
      </x:c>
      <x:c r="E1758" s="19" t="str">
        <x:v>步数</x:v>
      </x:c>
      <x:c r="F1758" s="19" t="str">
        <x:v>2017</x:v>
      </x:c>
      <x:c r="G1758" s="19" t="str">
        <x:v>质量/成本</x:v>
      </x:c>
      <x:c r="H1758" s="19" t="str">
        <x:v>D:/Codex/GRL研究/outputs/grid32/GRID32_report.md</x:v>
      </x:c>
    </x:row>
    <x:row r="1759" ht="36" customHeight="1">
      <x:c r="A1759" s="19" t="str">
        <x:v>GRID32</x:v>
      </x:c>
      <x:c r="B1759" s="19" t="str">
        <x:v>GRID32_report.md</x:v>
      </x:c>
      <x:c r="C1759" s="19" t="str">
        <x:v>1. GRID32 其余开发周共享编译复用兼容性</x:v>
      </x:c>
      <x:c r="D1759" s="19" t="str">
        <x:v>日期=2035-09-03_4；原控制=161.379s</x:v>
      </x:c>
      <x:c r="E1759" s="19" t="str">
        <x:v>完成</x:v>
      </x:c>
      <x:c r="F1759" s="19" t="str">
        <x:v>True</x:v>
      </x:c>
      <x:c r="G1759" s="19" t="str">
        <x:v>质量/成本</x:v>
      </x:c>
      <x:c r="H1759" s="19" t="str">
        <x:v>D:/Codex/GRL研究/outputs/grid32/GRID32_report.md</x:v>
      </x:c>
    </x:row>
    <x:row r="1760" ht="36" customHeight="1">
      <x:c r="A1760" s="19" t="str">
        <x:v>GRID32</x:v>
      </x:c>
      <x:c r="B1760" s="19" t="str">
        <x:v>GRID32_report.md</x:v>
      </x:c>
      <x:c r="C1760" s="19" t="str">
        <x:v>1. GRID32 其余开发周共享编译复用兼容性</x:v>
      </x:c>
      <x:c r="D1760" s="19" t="str">
        <x:v>日期=2035-09-03_4；原控制=161.379s</x:v>
      </x:c>
      <x:c r="E1760" s="19" t="str">
        <x:v>数值路径状态/迭代差别数</x:v>
      </x:c>
      <x:c r="F1760" s="19" t="str">
        <x:v>0</x:v>
      </x:c>
      <x:c r="G1760" s="19" t="str">
        <x:v>其他/配置</x:v>
      </x:c>
      <x:c r="H1760" s="19" t="str">
        <x:v>D:/Codex/GRL研究/outputs/grid32/GRID32_report.md</x:v>
      </x:c>
    </x:row>
    <x:row r="1761" ht="36" customHeight="1">
      <x:c r="A1761" s="19" t="str">
        <x:v>GRID32</x:v>
      </x:c>
      <x:c r="B1761" s="19" t="str">
        <x:v>GRID32_report.md</x:v>
      </x:c>
      <x:c r="C1761" s="19" t="str">
        <x:v>1. GRID32 其余开发周共享编译复用兼容性</x:v>
      </x:c>
      <x:c r="D1761" s="19" t="str">
        <x:v>日期=2035-10-01_5；原控制=169.387s</x:v>
      </x:c>
      <x:c r="E1761" s="19" t="str">
        <x:v>原控制</x:v>
      </x:c>
      <x:c r="F1761" s="19" t="str">
        <x:v>169.387s</x:v>
      </x:c>
      <x:c r="G1761" s="19" t="str">
        <x:v>速度/计算</x:v>
      </x:c>
      <x:c r="H1761" s="19" t="str">
        <x:v>D:/Codex/GRL研究/outputs/grid32/GRID32_report.md</x:v>
      </x:c>
    </x:row>
    <x:row r="1762" ht="36" customHeight="1">
      <x:c r="A1762" s="19" t="str">
        <x:v>GRID32</x:v>
      </x:c>
      <x:c r="B1762" s="19" t="str">
        <x:v>GRID32_report.md</x:v>
      </x:c>
      <x:c r="C1762" s="19" t="str">
        <x:v>1. GRID32 其余开发周共享编译复用兼容性</x:v>
      </x:c>
      <x:c r="D1762" s="19" t="str">
        <x:v>日期=2035-10-01_5；原控制=169.387s</x:v>
      </x:c>
      <x:c r="E1762" s="19" t="str">
        <x:v>双复用控制</x:v>
      </x:c>
      <x:c r="F1762" s="19" t="str">
        <x:v>43.254s</x:v>
      </x:c>
      <x:c r="G1762" s="19" t="str">
        <x:v>速度/计算</x:v>
      </x:c>
      <x:c r="H1762" s="19" t="str">
        <x:v>D:/Codex/GRL研究/outputs/grid32/GRID32_report.md</x:v>
      </x:c>
    </x:row>
    <x:row r="1763" ht="36" customHeight="1">
      <x:c r="A1763" s="19" t="str">
        <x:v>GRID32</x:v>
      </x:c>
      <x:c r="B1763" s="19" t="str">
        <x:v>GRID32_report.md</x:v>
      </x:c>
      <x:c r="C1763" s="19" t="str">
        <x:v>1. GRID32 其余开发周共享编译复用兼容性</x:v>
      </x:c>
      <x:c r="D1763" s="19" t="str">
        <x:v>日期=2035-10-01_5；原控制=169.387s</x:v>
      </x:c>
      <x:c r="E1763" s="19" t="str">
        <x:v>减少</x:v>
      </x:c>
      <x:c r="F1763" s="19" t="str">
        <x:v>74.46%</x:v>
      </x:c>
      <x:c r="G1763" s="19" t="str">
        <x:v>速度/计算</x:v>
      </x:c>
      <x:c r="H1763" s="19" t="str">
        <x:v>D:/Codex/GRL研究/outputs/grid32/GRID32_report.md</x:v>
      </x:c>
    </x:row>
    <x:row r="1764" ht="36" customHeight="1">
      <x:c r="A1764" s="19" t="str">
        <x:v>GRID32</x:v>
      </x:c>
      <x:c r="B1764" s="19" t="str">
        <x:v>GRID32_report.md</x:v>
      </x:c>
      <x:c r="C1764" s="19" t="str">
        <x:v>1. GRID32 其余开发周共享编译复用兼容性</x:v>
      </x:c>
      <x:c r="D1764" s="19" t="str">
        <x:v>日期=2035-10-01_5；原控制=169.387s</x:v>
      </x:c>
      <x:c r="E1764" s="19" t="str">
        <x:v>步数</x:v>
      </x:c>
      <x:c r="F1764" s="19" t="str">
        <x:v>2017</x:v>
      </x:c>
      <x:c r="G1764" s="19" t="str">
        <x:v>质量/成本</x:v>
      </x:c>
      <x:c r="H1764" s="19" t="str">
        <x:v>D:/Codex/GRL研究/outputs/grid32/GRID32_report.md</x:v>
      </x:c>
    </x:row>
    <x:row r="1765" ht="36" customHeight="1">
      <x:c r="A1765" s="19" t="str">
        <x:v>GRID32</x:v>
      </x:c>
      <x:c r="B1765" s="19" t="str">
        <x:v>GRID32_report.md</x:v>
      </x:c>
      <x:c r="C1765" s="19" t="str">
        <x:v>1. GRID32 其余开发周共享编译复用兼容性</x:v>
      </x:c>
      <x:c r="D1765" s="19" t="str">
        <x:v>日期=2035-10-01_5；原控制=169.387s</x:v>
      </x:c>
      <x:c r="E1765" s="19" t="str">
        <x:v>完成</x:v>
      </x:c>
      <x:c r="F1765" s="19" t="str">
        <x:v>True</x:v>
      </x:c>
      <x:c r="G1765" s="19" t="str">
        <x:v>质量/成本</x:v>
      </x:c>
      <x:c r="H1765" s="19" t="str">
        <x:v>D:/Codex/GRL研究/outputs/grid32/GRID32_report.md</x:v>
      </x:c>
    </x:row>
    <x:row r="1766" ht="36" customHeight="1">
      <x:c r="A1766" s="19" t="str">
        <x:v>GRID32</x:v>
      </x:c>
      <x:c r="B1766" s="19" t="str">
        <x:v>GRID32_report.md</x:v>
      </x:c>
      <x:c r="C1766" s="19" t="str">
        <x:v>1. GRID32 其余开发周共享编译复用兼容性</x:v>
      </x:c>
      <x:c r="D1766" s="19" t="str">
        <x:v>日期=2035-10-01_5；原控制=169.387s</x:v>
      </x:c>
      <x:c r="E1766" s="19" t="str">
        <x:v>数值路径状态/迭代差别数</x:v>
      </x:c>
      <x:c r="F1766" s="19" t="str">
        <x:v>0</x:v>
      </x:c>
      <x:c r="G1766" s="19" t="str">
        <x:v>其他/配置</x:v>
      </x:c>
      <x:c r="H1766" s="19" t="str">
        <x:v>D:/Codex/GRL研究/outputs/grid32/GRID32_report.md</x:v>
      </x:c>
    </x:row>
    <x:row r="1767" ht="36" customHeight="1">
      <x:c r="A1767" s="19" t="str">
        <x:v>GRID33</x:v>
      </x:c>
      <x:c r="B1767" s="19" t="str">
        <x:v>GRID33_report.md</x:v>
      </x:c>
      <x:c r="C1767" s="19" t="str">
        <x:v>1. GRID33 现成排序器同状态诊断</x:v>
      </x:c>
      <x:c r="D1767" s="19" t="str">
        <x:v>排序器=GNN0；查询=7358</x:v>
      </x:c>
      <x:c r="E1767" s="19" t="str">
        <x:v>查询</x:v>
      </x:c>
      <x:c r="F1767" s="19" t="str">
        <x:v>7358</x:v>
      </x:c>
      <x:c r="G1767" s="19" t="str">
        <x:v>速度/计算</x:v>
      </x:c>
      <x:c r="H1767" s="19" t="str">
        <x:v>D:/Codex/GRL研究/outputs/grid33/GRID33_report.md</x:v>
      </x:c>
    </x:row>
    <x:row r="1768" ht="36" customHeight="1">
      <x:c r="A1768" s="19" t="str">
        <x:v>GRID33</x:v>
      </x:c>
      <x:c r="B1768" s="19" t="str">
        <x:v>GRID33_report.md</x:v>
      </x:c>
      <x:c r="C1768" s="19" t="str">
        <x:v>1. GRID33 现成排序器同状态诊断</x:v>
      </x:c>
      <x:c r="D1768" s="19" t="str">
        <x:v>排序器=GNN0；查询=7358</x:v>
      </x:c>
      <x:c r="E1768" s="19" t="str">
        <x:v>同FULL选择</x:v>
      </x:c>
      <x:c r="F1768" s="19" t="str">
        <x:v>24/26</x:v>
      </x:c>
      <x:c r="G1768" s="19" t="str">
        <x:v>质量/成本</x:v>
      </x:c>
      <x:c r="H1768" s="19" t="str">
        <x:v>D:/Codex/GRL研究/outputs/grid33/GRID33_report.md</x:v>
      </x:c>
    </x:row>
    <x:row r="1769" ht="36" customHeight="1">
      <x:c r="A1769" s="19" t="str">
        <x:v>GRID33</x:v>
      </x:c>
      <x:c r="B1769" s="19" t="str">
        <x:v>GRID33_report.md</x:v>
      </x:c>
      <x:c r="C1769" s="19" t="str">
        <x:v>1. GRID33 现成排序器同状态诊断</x:v>
      </x:c>
      <x:c r="D1769" s="19" t="str">
        <x:v>排序器=GNN0；查询=7358</x:v>
      </x:c>
      <x:c r="E1769" s="19" t="str">
        <x:v>最大rho差</x:v>
      </x:c>
      <x:c r="F1769" s="19" t="str">
        <x:v>0.0001174</x:v>
      </x:c>
      <x:c r="G1769" s="19" t="str">
        <x:v>质量/成本</x:v>
      </x:c>
      <x:c r="H1769" s="19" t="str">
        <x:v>D:/Codex/GRL研究/outputs/grid33/GRID33_report.md</x:v>
      </x:c>
    </x:row>
    <x:row r="1770" ht="36" customHeight="1">
      <x:c r="A1770" s="19" t="str">
        <x:v>GRID33</x:v>
      </x:c>
      <x:c r="B1770" s="19" t="str">
        <x:v>GRID33_report.md</x:v>
      </x:c>
      <x:c r="C1770" s="19" t="str">
        <x:v>1. GRID33 现成排序器同状态诊断</x:v>
      </x:c>
      <x:c r="D1770" s="19" t="str">
        <x:v>排序器=GNN0；查询=7358</x:v>
      </x:c>
      <x:c r="E1770" s="19" t="str">
        <x:v>找回1733关键动作</x:v>
      </x:c>
      <x:c r="F1770" s="19" t="str">
        <x:v>True</x:v>
      </x:c>
      <x:c r="G1770" s="19" t="str">
        <x:v>其他/配置</x:v>
      </x:c>
      <x:c r="H1770" s="19" t="str">
        <x:v>D:/Codex/GRL研究/outputs/grid33/GRID33_report.md</x:v>
      </x:c>
    </x:row>
    <x:row r="1771" ht="36" customHeight="1">
      <x:c r="A1771" s="19" t="str">
        <x:v>GRID33</x:v>
      </x:c>
      <x:c r="B1771" s="19" t="str">
        <x:v>GRID33_report.md</x:v>
      </x:c>
      <x:c r="C1771" s="19" t="str">
        <x:v>1. GRID33 现成排序器同状态诊断</x:v>
      </x:c>
      <x:c r="D1771" s="19" t="str">
        <x:v>排序器=GNN1；查询=7530</x:v>
      </x:c>
      <x:c r="E1771" s="19" t="str">
        <x:v>查询</x:v>
      </x:c>
      <x:c r="F1771" s="19" t="str">
        <x:v>7530</x:v>
      </x:c>
      <x:c r="G1771" s="19" t="str">
        <x:v>速度/计算</x:v>
      </x:c>
      <x:c r="H1771" s="19" t="str">
        <x:v>D:/Codex/GRL研究/outputs/grid33/GRID33_report.md</x:v>
      </x:c>
    </x:row>
    <x:row r="1772" ht="36" customHeight="1">
      <x:c r="A1772" s="19" t="str">
        <x:v>GRID33</x:v>
      </x:c>
      <x:c r="B1772" s="19" t="str">
        <x:v>GRID33_report.md</x:v>
      </x:c>
      <x:c r="C1772" s="19" t="str">
        <x:v>1. GRID33 现成排序器同状态诊断</x:v>
      </x:c>
      <x:c r="D1772" s="19" t="str">
        <x:v>排序器=GNN1；查询=7530</x:v>
      </x:c>
      <x:c r="E1772" s="19" t="str">
        <x:v>同FULL选择</x:v>
      </x:c>
      <x:c r="F1772" s="19" t="str">
        <x:v>25/26</x:v>
      </x:c>
      <x:c r="G1772" s="19" t="str">
        <x:v>质量/成本</x:v>
      </x:c>
      <x:c r="H1772" s="19" t="str">
        <x:v>D:/Codex/GRL研究/outputs/grid33/GRID33_report.md</x:v>
      </x:c>
    </x:row>
    <x:row r="1773" ht="36" customHeight="1">
      <x:c r="A1773" s="19" t="str">
        <x:v>GRID33</x:v>
      </x:c>
      <x:c r="B1773" s="19" t="str">
        <x:v>GRID33_report.md</x:v>
      </x:c>
      <x:c r="C1773" s="19" t="str">
        <x:v>1. GRID33 现成排序器同状态诊断</x:v>
      </x:c>
      <x:c r="D1773" s="19" t="str">
        <x:v>排序器=GNN1；查询=7530</x:v>
      </x:c>
      <x:c r="E1773" s="19" t="str">
        <x:v>最大rho差</x:v>
      </x:c>
      <x:c r="F1773" s="19" t="str">
        <x:v>0.0000000</x:v>
      </x:c>
      <x:c r="G1773" s="19" t="str">
        <x:v>质量/成本</x:v>
      </x:c>
      <x:c r="H1773" s="19" t="str">
        <x:v>D:/Codex/GRL研究/outputs/grid33/GRID33_report.md</x:v>
      </x:c>
    </x:row>
    <x:row r="1774" ht="36" customHeight="1">
      <x:c r="A1774" s="19" t="str">
        <x:v>GRID33</x:v>
      </x:c>
      <x:c r="B1774" s="19" t="str">
        <x:v>GRID33_report.md</x:v>
      </x:c>
      <x:c r="C1774" s="19" t="str">
        <x:v>1. GRID33 现成排序器同状态诊断</x:v>
      </x:c>
      <x:c r="D1774" s="19" t="str">
        <x:v>排序器=GNN1；查询=7530</x:v>
      </x:c>
      <x:c r="E1774" s="19" t="str">
        <x:v>找回1733关键动作</x:v>
      </x:c>
      <x:c r="F1774" s="19" t="str">
        <x:v>True</x:v>
      </x:c>
      <x:c r="G1774" s="19" t="str">
        <x:v>其他/配置</x:v>
      </x:c>
      <x:c r="H1774" s="19" t="str">
        <x:v>D:/Codex/GRL研究/outputs/grid33/GRID33_report.md</x:v>
      </x:c>
    </x:row>
    <x:row r="1775" ht="36" customHeight="1">
      <x:c r="A1775" s="19" t="str">
        <x:v>GRID33</x:v>
      </x:c>
      <x:c r="B1775" s="19" t="str">
        <x:v>GRID33_report.md</x:v>
      </x:c>
      <x:c r="C1775" s="19" t="str">
        <x:v>1. GRID33 现成排序器同状态诊断</x:v>
      </x:c>
      <x:c r="D1775" s="19" t="str">
        <x:v>排序器=MLP0；查询=7549</x:v>
      </x:c>
      <x:c r="E1775" s="19" t="str">
        <x:v>查询</x:v>
      </x:c>
      <x:c r="F1775" s="19" t="str">
        <x:v>7549</x:v>
      </x:c>
      <x:c r="G1775" s="19" t="str">
        <x:v>速度/计算</x:v>
      </x:c>
      <x:c r="H1775" s="19" t="str">
        <x:v>D:/Codex/GRL研究/outputs/grid33/GRID33_report.md</x:v>
      </x:c>
    </x:row>
    <x:row r="1776" ht="36" customHeight="1">
      <x:c r="A1776" s="19" t="str">
        <x:v>GRID33</x:v>
      </x:c>
      <x:c r="B1776" s="19" t="str">
        <x:v>GRID33_report.md</x:v>
      </x:c>
      <x:c r="C1776" s="19" t="str">
        <x:v>1. GRID33 现成排序器同状态诊断</x:v>
      </x:c>
      <x:c r="D1776" s="19" t="str">
        <x:v>排序器=MLP0；查询=7549</x:v>
      </x:c>
      <x:c r="E1776" s="19" t="str">
        <x:v>同FULL选择</x:v>
      </x:c>
      <x:c r="F1776" s="19" t="str">
        <x:v>25/26</x:v>
      </x:c>
      <x:c r="G1776" s="19" t="str">
        <x:v>质量/成本</x:v>
      </x:c>
      <x:c r="H1776" s="19" t="str">
        <x:v>D:/Codex/GRL研究/outputs/grid33/GRID33_report.md</x:v>
      </x:c>
    </x:row>
    <x:row r="1777" ht="36" customHeight="1">
      <x:c r="A1777" s="19" t="str">
        <x:v>GRID33</x:v>
      </x:c>
      <x:c r="B1777" s="19" t="str">
        <x:v>GRID33_report.md</x:v>
      </x:c>
      <x:c r="C1777" s="19" t="str">
        <x:v>1. GRID33 现成排序器同状态诊断</x:v>
      </x:c>
      <x:c r="D1777" s="19" t="str">
        <x:v>排序器=MLP0；查询=7549</x:v>
      </x:c>
      <x:c r="E1777" s="19" t="str">
        <x:v>最大rho差</x:v>
      </x:c>
      <x:c r="F1777" s="19" t="str">
        <x:v>0.0029137</x:v>
      </x:c>
      <x:c r="G1777" s="19" t="str">
        <x:v>质量/成本</x:v>
      </x:c>
      <x:c r="H1777" s="19" t="str">
        <x:v>D:/Codex/GRL研究/outputs/grid33/GRID33_report.md</x:v>
      </x:c>
    </x:row>
    <x:row r="1778" ht="36" customHeight="1">
      <x:c r="A1778" s="19" t="str">
        <x:v>GRID33</x:v>
      </x:c>
      <x:c r="B1778" s="19" t="str">
        <x:v>GRID33_report.md</x:v>
      </x:c>
      <x:c r="C1778" s="19" t="str">
        <x:v>1. GRID33 现成排序器同状态诊断</x:v>
      </x:c>
      <x:c r="D1778" s="19" t="str">
        <x:v>排序器=MLP0；查询=7549</x:v>
      </x:c>
      <x:c r="E1778" s="19" t="str">
        <x:v>找回1733关键动作</x:v>
      </x:c>
      <x:c r="F1778" s="19" t="str">
        <x:v>True</x:v>
      </x:c>
      <x:c r="G1778" s="19" t="str">
        <x:v>其他/配置</x:v>
      </x:c>
      <x:c r="H1778" s="19" t="str">
        <x:v>D:/Codex/GRL研究/outputs/grid33/GRID33_report.md</x:v>
      </x:c>
    </x:row>
    <x:row r="1779" ht="36" customHeight="1">
      <x:c r="A1779" s="19" t="str">
        <x:v>GRID33</x:v>
      </x:c>
      <x:c r="B1779" s="19" t="str">
        <x:v>GRID33_report.md</x:v>
      </x:c>
      <x:c r="C1779" s="19" t="str">
        <x:v>1. GRID33 现成排序器同状态诊断</x:v>
      </x:c>
      <x:c r="D1779" s="19" t="str">
        <x:v>排序器=MLP1；查询=7826</x:v>
      </x:c>
      <x:c r="E1779" s="19" t="str">
        <x:v>查询</x:v>
      </x:c>
      <x:c r="F1779" s="19" t="str">
        <x:v>7826</x:v>
      </x:c>
      <x:c r="G1779" s="19" t="str">
        <x:v>速度/计算</x:v>
      </x:c>
      <x:c r="H1779" s="19" t="str">
        <x:v>D:/Codex/GRL研究/outputs/grid33/GRID33_report.md</x:v>
      </x:c>
    </x:row>
    <x:row r="1780" ht="36" customHeight="1">
      <x:c r="A1780" s="19" t="str">
        <x:v>GRID33</x:v>
      </x:c>
      <x:c r="B1780" s="19" t="str">
        <x:v>GRID33_report.md</x:v>
      </x:c>
      <x:c r="C1780" s="19" t="str">
        <x:v>1. GRID33 现成排序器同状态诊断</x:v>
      </x:c>
      <x:c r="D1780" s="19" t="str">
        <x:v>排序器=MLP1；查询=7826</x:v>
      </x:c>
      <x:c r="E1780" s="19" t="str">
        <x:v>同FULL选择</x:v>
      </x:c>
      <x:c r="F1780" s="19" t="str">
        <x:v>26/26</x:v>
      </x:c>
      <x:c r="G1780" s="19" t="str">
        <x:v>质量/成本</x:v>
      </x:c>
      <x:c r="H1780" s="19" t="str">
        <x:v>D:/Codex/GRL研究/outputs/grid33/GRID33_report.md</x:v>
      </x:c>
    </x:row>
    <x:row r="1781" ht="36" customHeight="1">
      <x:c r="A1781" s="19" t="str">
        <x:v>GRID33</x:v>
      </x:c>
      <x:c r="B1781" s="19" t="str">
        <x:v>GRID33_report.md</x:v>
      </x:c>
      <x:c r="C1781" s="19" t="str">
        <x:v>1. GRID33 现成排序器同状态诊断</x:v>
      </x:c>
      <x:c r="D1781" s="19" t="str">
        <x:v>排序器=MLP1；查询=7826</x:v>
      </x:c>
      <x:c r="E1781" s="19" t="str">
        <x:v>最大rho差</x:v>
      </x:c>
      <x:c r="F1781" s="19" t="str">
        <x:v>0.0000000</x:v>
      </x:c>
      <x:c r="G1781" s="19" t="str">
        <x:v>质量/成本</x:v>
      </x:c>
      <x:c r="H1781" s="19" t="str">
        <x:v>D:/Codex/GRL研究/outputs/grid33/GRID33_report.md</x:v>
      </x:c>
    </x:row>
    <x:row r="1782" ht="36" customHeight="1">
      <x:c r="A1782" s="19" t="str">
        <x:v>GRID33</x:v>
      </x:c>
      <x:c r="B1782" s="19" t="str">
        <x:v>GRID33_report.md</x:v>
      </x:c>
      <x:c r="C1782" s="19" t="str">
        <x:v>1. GRID33 现成排序器同状态诊断</x:v>
      </x:c>
      <x:c r="D1782" s="19" t="str">
        <x:v>排序器=MLP1；查询=7826</x:v>
      </x:c>
      <x:c r="E1782" s="19" t="str">
        <x:v>找回1733关键动作</x:v>
      </x:c>
      <x:c r="F1782" s="19" t="str">
        <x:v>True</x:v>
      </x:c>
      <x:c r="G1782" s="19" t="str">
        <x:v>其他/配置</x:v>
      </x:c>
      <x:c r="H1782" s="19" t="str">
        <x:v>D:/Codex/GRL研究/outputs/grid33/GRID33_report.md</x:v>
      </x:c>
    </x:row>
    <x:row r="1783" ht="36" customHeight="1">
      <x:c r="A1783" s="19" t="str">
        <x:v>GRID33</x:v>
      </x:c>
      <x:c r="B1783" s="19" t="str">
        <x:v>GRID33_report.md</x:v>
      </x:c>
      <x:c r="C1783" s="19" t="str">
        <x:v>1. GRID33 现成排序器同状态诊断</x:v>
      </x:c>
      <x:c r="D1783" s="19" t="str">
        <x:v>排序器=PPO；查询=7823</x:v>
      </x:c>
      <x:c r="E1783" s="19" t="str">
        <x:v>查询</x:v>
      </x:c>
      <x:c r="F1783" s="19" t="str">
        <x:v>7823</x:v>
      </x:c>
      <x:c r="G1783" s="19" t="str">
        <x:v>速度/计算</x:v>
      </x:c>
      <x:c r="H1783" s="19" t="str">
        <x:v>D:/Codex/GRL研究/outputs/grid33/GRID33_report.md</x:v>
      </x:c>
    </x:row>
    <x:row r="1784" ht="36" customHeight="1">
      <x:c r="A1784" s="19" t="str">
        <x:v>GRID33</x:v>
      </x:c>
      <x:c r="B1784" s="19" t="str">
        <x:v>GRID33_report.md</x:v>
      </x:c>
      <x:c r="C1784" s="19" t="str">
        <x:v>1. GRID33 现成排序器同状态诊断</x:v>
      </x:c>
      <x:c r="D1784" s="19" t="str">
        <x:v>排序器=PPO；查询=7823</x:v>
      </x:c>
      <x:c r="E1784" s="19" t="str">
        <x:v>同FULL选择</x:v>
      </x:c>
      <x:c r="F1784" s="19" t="str">
        <x:v>24/26</x:v>
      </x:c>
      <x:c r="G1784" s="19" t="str">
        <x:v>质量/成本</x:v>
      </x:c>
      <x:c r="H1784" s="19" t="str">
        <x:v>D:/Codex/GRL研究/outputs/grid33/GRID33_report.md</x:v>
      </x:c>
    </x:row>
    <x:row r="1785" ht="36" customHeight="1">
      <x:c r="A1785" s="19" t="str">
        <x:v>GRID33</x:v>
      </x:c>
      <x:c r="B1785" s="19" t="str">
        <x:v>GRID33_report.md</x:v>
      </x:c>
      <x:c r="C1785" s="19" t="str">
        <x:v>1. GRID33 现成排序器同状态诊断</x:v>
      </x:c>
      <x:c r="D1785" s="19" t="str">
        <x:v>排序器=PPO；查询=7823</x:v>
      </x:c>
      <x:c r="E1785" s="19" t="str">
        <x:v>最大rho差</x:v>
      </x:c>
      <x:c r="F1785" s="19" t="str">
        <x:v>0.0001174</x:v>
      </x:c>
      <x:c r="G1785" s="19" t="str">
        <x:v>质量/成本</x:v>
      </x:c>
      <x:c r="H1785" s="19" t="str">
        <x:v>D:/Codex/GRL研究/outputs/grid33/GRID33_report.md</x:v>
      </x:c>
    </x:row>
    <x:row r="1786" ht="36" customHeight="1">
      <x:c r="A1786" s="19" t="str">
        <x:v>GRID33</x:v>
      </x:c>
      <x:c r="B1786" s="19" t="str">
        <x:v>GRID33_report.md</x:v>
      </x:c>
      <x:c r="C1786" s="19" t="str">
        <x:v>1. GRID33 现成排序器同状态诊断</x:v>
      </x:c>
      <x:c r="D1786" s="19" t="str">
        <x:v>排序器=PPO；查询=7823</x:v>
      </x:c>
      <x:c r="E1786" s="19" t="str">
        <x:v>找回1733关键动作</x:v>
      </x:c>
      <x:c r="F1786" s="19" t="str">
        <x:v>True</x:v>
      </x:c>
      <x:c r="G1786" s="19" t="str">
        <x:v>其他/配置</x:v>
      </x:c>
      <x:c r="H1786" s="19" t="str">
        <x:v>D:/Codex/GRL研究/outputs/grid33/GRID33_report.md</x:v>
      </x:c>
    </x:row>
    <x:row r="1787" ht="36" customHeight="1">
      <x:c r="A1787" s="19" t="str">
        <x:v>GRID34</x:v>
      </x:c>
      <x:c r="B1787" s="19" t="str">
        <x:v>GRID34_report.md</x:v>
      </x:c>
      <x:c r="C1787" s="19" t="str">
        <x:v>1. GRID34 所有强对照共享优化后的实际控制比较</x:v>
      </x:c>
      <x:c r="D1787" s="19" t="str">
        <x:v>方法=FULL；控制秒总计=622.660</x:v>
      </x:c>
      <x:c r="E1787" s="19" t="str">
        <x:v>控制秒总计</x:v>
      </x:c>
      <x:c r="F1787" s="19" t="str">
        <x:v>622.660</x:v>
      </x:c>
      <x:c r="G1787" s="19" t="str">
        <x:v>速度/计算</x:v>
      </x:c>
      <x:c r="H1787" s="19" t="str">
        <x:v>D:/Codex/GRL研究/outputs/grid34/GRID34_report.md</x:v>
      </x:c>
    </x:row>
    <x:row r="1788" ht="36" customHeight="1">
      <x:c r="A1788" s="19" t="str">
        <x:v>GRID34</x:v>
      </x:c>
      <x:c r="B1788" s="19" t="str">
        <x:v>GRID34_report.md</x:v>
      </x:c>
      <x:c r="C1788" s="19" t="str">
        <x:v>1. GRID34 所有强对照共享优化后的实际控制比较</x:v>
      </x:c>
      <x:c r="D1788" s="19" t="str">
        <x:v>方法=FULL；控制秒总计=622.660</x:v>
      </x:c>
      <x:c r="E1788" s="19" t="str">
        <x:v>N1查询</x:v>
      </x:c>
      <x:c r="F1788" s="19" t="str">
        <x:v>45194</x:v>
      </x:c>
      <x:c r="G1788" s="19" t="str">
        <x:v>速度/计算</x:v>
      </x:c>
      <x:c r="H1788" s="19" t="str">
        <x:v>D:/Codex/GRL研究/outputs/grid34/GRID34_report.md</x:v>
      </x:c>
    </x:row>
    <x:row r="1789" ht="36" customHeight="1">
      <x:c r="A1789" s="19" t="str">
        <x:v>GRID34</x:v>
      </x:c>
      <x:c r="B1789" s="19" t="str">
        <x:v>GRID34_report.md</x:v>
      </x:c>
      <x:c r="C1789" s="19" t="str">
        <x:v>1. GRID34 所有强对照共享优化后的实际控制比较</x:v>
      </x:c>
      <x:c r="D1789" s="19" t="str">
        <x:v>方法=FULL；控制秒总计=622.660</x:v>
      </x:c>
      <x:c r="E1789" s="19" t="str">
        <x:v>N1搜索秒</x:v>
      </x:c>
      <x:c r="F1789" s="19" t="str">
        <x:v>132.859</x:v>
      </x:c>
      <x:c r="G1789" s="19" t="str">
        <x:v>速度/计算</x:v>
      </x:c>
      <x:c r="H1789" s="19" t="str">
        <x:v>D:/Codex/GRL研究/outputs/grid34/GRID34_report.md</x:v>
      </x:c>
    </x:row>
    <x:row r="1790" ht="36" customHeight="1">
      <x:c r="A1790" s="19" t="str">
        <x:v>GRID34</x:v>
      </x:c>
      <x:c r="B1790" s="19" t="str">
        <x:v>GRID34_report.md</x:v>
      </x:c>
      <x:c r="C1790" s="19" t="str">
        <x:v>1. GRID34 所有强对照共享优化后的实际控制比较</x:v>
      </x:c>
      <x:c r="D1790" s="19" t="str">
        <x:v>方法=FULL；控制秒总计=622.660</x:v>
      </x:c>
      <x:c r="E1790" s="19" t="str">
        <x:v>完成回放</x:v>
      </x:c>
      <x:c r="F1790" s="19" t="str">
        <x:v>6/8</x:v>
      </x:c>
      <x:c r="G1790" s="19" t="str">
        <x:v>质量/成本</x:v>
      </x:c>
      <x:c r="H1790" s="19" t="str">
        <x:v>D:/Codex/GRL研究/outputs/grid34/GRID34_report.md</x:v>
      </x:c>
    </x:row>
    <x:row r="1791" ht="36" customHeight="1">
      <x:c r="A1791" s="19" t="str">
        <x:v>GRID34</x:v>
      </x:c>
      <x:c r="B1791" s="19" t="str">
        <x:v>GRID34_report.md</x:v>
      </x:c>
      <x:c r="C1791" s="19" t="str">
        <x:v>1. GRID34 所有强对照共享优化后的实际控制比较</x:v>
      </x:c>
      <x:c r="D1791" s="19" t="str">
        <x:v>方法=FULL；控制秒总计=622.660</x:v>
      </x:c>
      <x:c r="E1791" s="19" t="str">
        <x:v>共同完成周平均成本差</x:v>
      </x:c>
      <x:c r="F1791" s="19" t="str">
        <x:v>0.00000%</x:v>
      </x:c>
      <x:c r="G1791" s="19" t="str">
        <x:v>质量/成本</x:v>
      </x:c>
      <x:c r="H1791" s="19" t="str">
        <x:v>D:/Codex/GRL研究/outputs/grid34/GRID34_report.md</x:v>
      </x:c>
    </x:row>
    <x:row r="1792" ht="36" customHeight="1">
      <x:c r="A1792" s="19" t="str">
        <x:v>GRID34</x:v>
      </x:c>
      <x:c r="B1792" s="19" t="str">
        <x:v>GRID34_report.md</x:v>
      </x:c>
      <x:c r="C1792" s="19" t="str">
        <x:v>1. GRID34 所有强对照共享优化后的实际控制比较</x:v>
      </x:c>
      <x:c r="D1792" s="19" t="str">
        <x:v>方法=LOCAL_GNN0；控制秒总计=552.056</x:v>
      </x:c>
      <x:c r="E1792" s="19" t="str">
        <x:v>控制秒总计</x:v>
      </x:c>
      <x:c r="F1792" s="19" t="str">
        <x:v>552.056</x:v>
      </x:c>
      <x:c r="G1792" s="19" t="str">
        <x:v>速度/计算</x:v>
      </x:c>
      <x:c r="H1792" s="19" t="str">
        <x:v>D:/Codex/GRL研究/outputs/grid34/GRID34_report.md</x:v>
      </x:c>
    </x:row>
    <x:row r="1793" ht="36" customHeight="1">
      <x:c r="A1793" s="19" t="str">
        <x:v>GRID34</x:v>
      </x:c>
      <x:c r="B1793" s="19" t="str">
        <x:v>GRID34_report.md</x:v>
      </x:c>
      <x:c r="C1793" s="19" t="str">
        <x:v>1. GRID34 所有强对照共享优化后的实际控制比较</x:v>
      </x:c>
      <x:c r="D1793" s="19" t="str">
        <x:v>方法=LOCAL_GNN0；控制秒总计=552.056</x:v>
      </x:c>
      <x:c r="E1793" s="19" t="str">
        <x:v>N1查询</x:v>
      </x:c>
      <x:c r="F1793" s="19" t="str">
        <x:v>14624</x:v>
      </x:c>
      <x:c r="G1793" s="19" t="str">
        <x:v>速度/计算</x:v>
      </x:c>
      <x:c r="H1793" s="19" t="str">
        <x:v>D:/Codex/GRL研究/outputs/grid34/GRID34_report.md</x:v>
      </x:c>
    </x:row>
    <x:row r="1794" ht="36" customHeight="1">
      <x:c r="A1794" s="19" t="str">
        <x:v>GRID34</x:v>
      </x:c>
      <x:c r="B1794" s="19" t="str">
        <x:v>GRID34_report.md</x:v>
      </x:c>
      <x:c r="C1794" s="19" t="str">
        <x:v>1. GRID34 所有强对照共享优化后的实际控制比较</x:v>
      </x:c>
      <x:c r="D1794" s="19" t="str">
        <x:v>方法=LOCAL_GNN0；控制秒总计=552.056</x:v>
      </x:c>
      <x:c r="E1794" s="19" t="str">
        <x:v>N1搜索秒</x:v>
      </x:c>
      <x:c r="F1794" s="19" t="str">
        <x:v>59.291</x:v>
      </x:c>
      <x:c r="G1794" s="19" t="str">
        <x:v>速度/计算</x:v>
      </x:c>
      <x:c r="H1794" s="19" t="str">
        <x:v>D:/Codex/GRL研究/outputs/grid34/GRID34_report.md</x:v>
      </x:c>
    </x:row>
    <x:row r="1795" ht="36" customHeight="1">
      <x:c r="A1795" s="19" t="str">
        <x:v>GRID34</x:v>
      </x:c>
      <x:c r="B1795" s="19" t="str">
        <x:v>GRID34_report.md</x:v>
      </x:c>
      <x:c r="C1795" s="19" t="str">
        <x:v>1. GRID34 所有强对照共享优化后的实际控制比较</x:v>
      </x:c>
      <x:c r="D1795" s="19" t="str">
        <x:v>方法=LOCAL_GNN0；控制秒总计=552.056</x:v>
      </x:c>
      <x:c r="E1795" s="19" t="str">
        <x:v>完成回放</x:v>
      </x:c>
      <x:c r="F1795" s="19" t="str">
        <x:v>6/8</x:v>
      </x:c>
      <x:c r="G1795" s="19" t="str">
        <x:v>质量/成本</x:v>
      </x:c>
      <x:c r="H1795" s="19" t="str">
        <x:v>D:/Codex/GRL研究/outputs/grid34/GRID34_report.md</x:v>
      </x:c>
    </x:row>
    <x:row r="1796" ht="36" customHeight="1">
      <x:c r="A1796" s="19" t="str">
        <x:v>GRID34</x:v>
      </x:c>
      <x:c r="B1796" s="19" t="str">
        <x:v>GRID34_report.md</x:v>
      </x:c>
      <x:c r="C1796" s="19" t="str">
        <x:v>1. GRID34 所有强对照共享优化后的实际控制比较</x:v>
      </x:c>
      <x:c r="D1796" s="19" t="str">
        <x:v>方法=LOCAL_GNN0；控制秒总计=552.056</x:v>
      </x:c>
      <x:c r="E1796" s="19" t="str">
        <x:v>共同完成周平均成本差</x:v>
      </x:c>
      <x:c r="F1796" s="19" t="str">
        <x:v>0.04537%</x:v>
      </x:c>
      <x:c r="G1796" s="19" t="str">
        <x:v>质量/成本</x:v>
      </x:c>
      <x:c r="H1796" s="19" t="str">
        <x:v>D:/Codex/GRL研究/outputs/grid34/GRID34_report.md</x:v>
      </x:c>
    </x:row>
    <x:row r="1797" ht="36" customHeight="1">
      <x:c r="A1797" s="19" t="str">
        <x:v>GRID34</x:v>
      </x:c>
      <x:c r="B1797" s="19" t="str">
        <x:v>GRID34_report.md</x:v>
      </x:c>
      <x:c r="C1797" s="19" t="str">
        <x:v>1. GRID34 所有强对照共享优化后的实际控制比较</x:v>
      </x:c>
      <x:c r="D1797" s="19" t="str">
        <x:v>方法=LOCAL_GNN1；控制秒总计=549.273</x:v>
      </x:c>
      <x:c r="E1797" s="19" t="str">
        <x:v>控制秒总计</x:v>
      </x:c>
      <x:c r="F1797" s="19" t="str">
        <x:v>549.273</x:v>
      </x:c>
      <x:c r="G1797" s="19" t="str">
        <x:v>速度/计算</x:v>
      </x:c>
      <x:c r="H1797" s="19" t="str">
        <x:v>D:/Codex/GRL研究/outputs/grid34/GRID34_report.md</x:v>
      </x:c>
    </x:row>
    <x:row r="1798" ht="36" customHeight="1">
      <x:c r="A1798" s="19" t="str">
        <x:v>GRID34</x:v>
      </x:c>
      <x:c r="B1798" s="19" t="str">
        <x:v>GRID34_report.md</x:v>
      </x:c>
      <x:c r="C1798" s="19" t="str">
        <x:v>1. GRID34 所有强对照共享优化后的实际控制比较</x:v>
      </x:c>
      <x:c r="D1798" s="19" t="str">
        <x:v>方法=LOCAL_GNN1；控制秒总计=549.273</x:v>
      </x:c>
      <x:c r="E1798" s="19" t="str">
        <x:v>N1查询</x:v>
      </x:c>
      <x:c r="F1798" s="19" t="str">
        <x:v>14968</x:v>
      </x:c>
      <x:c r="G1798" s="19" t="str">
        <x:v>速度/计算</x:v>
      </x:c>
      <x:c r="H1798" s="19" t="str">
        <x:v>D:/Codex/GRL研究/outputs/grid34/GRID34_report.md</x:v>
      </x:c>
    </x:row>
    <x:row r="1799" ht="36" customHeight="1">
      <x:c r="A1799" s="19" t="str">
        <x:v>GRID34</x:v>
      </x:c>
      <x:c r="B1799" s="19" t="str">
        <x:v>GRID34_report.md</x:v>
      </x:c>
      <x:c r="C1799" s="19" t="str">
        <x:v>1. GRID34 所有强对照共享优化后的实际控制比较</x:v>
      </x:c>
      <x:c r="D1799" s="19" t="str">
        <x:v>方法=LOCAL_GNN1；控制秒总计=549.273</x:v>
      </x:c>
      <x:c r="E1799" s="19" t="str">
        <x:v>N1搜索秒</x:v>
      </x:c>
      <x:c r="F1799" s="19" t="str">
        <x:v>60.680</x:v>
      </x:c>
      <x:c r="G1799" s="19" t="str">
        <x:v>速度/计算</x:v>
      </x:c>
      <x:c r="H1799" s="19" t="str">
        <x:v>D:/Codex/GRL研究/outputs/grid34/GRID34_report.md</x:v>
      </x:c>
    </x:row>
    <x:row r="1800" ht="36" customHeight="1">
      <x:c r="A1800" s="19" t="str">
        <x:v>GRID34</x:v>
      </x:c>
      <x:c r="B1800" s="19" t="str">
        <x:v>GRID34_report.md</x:v>
      </x:c>
      <x:c r="C1800" s="19" t="str">
        <x:v>1. GRID34 所有强对照共享优化后的实际控制比较</x:v>
      </x:c>
      <x:c r="D1800" s="19" t="str">
        <x:v>方法=LOCAL_GNN1；控制秒总计=549.273</x:v>
      </x:c>
      <x:c r="E1800" s="19" t="str">
        <x:v>完成回放</x:v>
      </x:c>
      <x:c r="F1800" s="19" t="str">
        <x:v>6/8</x:v>
      </x:c>
      <x:c r="G1800" s="19" t="str">
        <x:v>质量/成本</x:v>
      </x:c>
      <x:c r="H1800" s="19" t="str">
        <x:v>D:/Codex/GRL研究/outputs/grid34/GRID34_report.md</x:v>
      </x:c>
    </x:row>
    <x:row r="1801" ht="36" customHeight="1">
      <x:c r="A1801" s="19" t="str">
        <x:v>GRID34</x:v>
      </x:c>
      <x:c r="B1801" s="19" t="str">
        <x:v>GRID34_report.md</x:v>
      </x:c>
      <x:c r="C1801" s="19" t="str">
        <x:v>1. GRID34 所有强对照共享优化后的实际控制比较</x:v>
      </x:c>
      <x:c r="D1801" s="19" t="str">
        <x:v>方法=LOCAL_GNN1；控制秒总计=549.273</x:v>
      </x:c>
      <x:c r="E1801" s="19" t="str">
        <x:v>共同完成周平均成本差</x:v>
      </x:c>
      <x:c r="F1801" s="19" t="str">
        <x:v>0.00000%</x:v>
      </x:c>
      <x:c r="G1801" s="19" t="str">
        <x:v>质量/成本</x:v>
      </x:c>
      <x:c r="H1801" s="19" t="str">
        <x:v>D:/Codex/GRL研究/outputs/grid34/GRID34_report.md</x:v>
      </x:c>
    </x:row>
    <x:row r="1802" ht="36" customHeight="1">
      <x:c r="A1802" s="19" t="str">
        <x:v>GRID34</x:v>
      </x:c>
      <x:c r="B1802" s="19" t="str">
        <x:v>GRID34_report.md</x:v>
      </x:c>
      <x:c r="C1802" s="19" t="str">
        <x:v>1. GRID34 所有强对照共享优化后的实际控制比较</x:v>
      </x:c>
      <x:c r="D1802" s="19" t="str">
        <x:v>方法=LOCAL_PPO；控制秒总计=552.702</x:v>
      </x:c>
      <x:c r="E1802" s="19" t="str">
        <x:v>控制秒总计</x:v>
      </x:c>
      <x:c r="F1802" s="19" t="str">
        <x:v>552.702</x:v>
      </x:c>
      <x:c r="G1802" s="19" t="str">
        <x:v>速度/计算</x:v>
      </x:c>
      <x:c r="H1802" s="19" t="str">
        <x:v>D:/Codex/GRL研究/outputs/grid34/GRID34_report.md</x:v>
      </x:c>
    </x:row>
    <x:row r="1803" ht="36" customHeight="1">
      <x:c r="A1803" s="19" t="str">
        <x:v>GRID34</x:v>
      </x:c>
      <x:c r="B1803" s="19" t="str">
        <x:v>GRID34_report.md</x:v>
      </x:c>
      <x:c r="C1803" s="19" t="str">
        <x:v>1. GRID34 所有强对照共享优化后的实际控制比较</x:v>
      </x:c>
      <x:c r="D1803" s="19" t="str">
        <x:v>方法=LOCAL_PPO；控制秒总计=552.702</x:v>
      </x:c>
      <x:c r="E1803" s="19" t="str">
        <x:v>N1查询</x:v>
      </x:c>
      <x:c r="F1803" s="19" t="str">
        <x:v>15554</x:v>
      </x:c>
      <x:c r="G1803" s="19" t="str">
        <x:v>速度/计算</x:v>
      </x:c>
      <x:c r="H1803" s="19" t="str">
        <x:v>D:/Codex/GRL研究/outputs/grid34/GRID34_report.md</x:v>
      </x:c>
    </x:row>
    <x:row r="1804" ht="36" customHeight="1">
      <x:c r="A1804" s="19" t="str">
        <x:v>GRID34</x:v>
      </x:c>
      <x:c r="B1804" s="19" t="str">
        <x:v>GRID34_report.md</x:v>
      </x:c>
      <x:c r="C1804" s="19" t="str">
        <x:v>1. GRID34 所有强对照共享优化后的实际控制比较</x:v>
      </x:c>
      <x:c r="D1804" s="19" t="str">
        <x:v>方法=LOCAL_PPO；控制秒总计=552.702</x:v>
      </x:c>
      <x:c r="E1804" s="19" t="str">
        <x:v>N1搜索秒</x:v>
      </x:c>
      <x:c r="F1804" s="19" t="str">
        <x:v>62.625</x:v>
      </x:c>
      <x:c r="G1804" s="19" t="str">
        <x:v>速度/计算</x:v>
      </x:c>
      <x:c r="H1804" s="19" t="str">
        <x:v>D:/Codex/GRL研究/outputs/grid34/GRID34_report.md</x:v>
      </x:c>
    </x:row>
    <x:row r="1805" ht="36" customHeight="1">
      <x:c r="A1805" s="19" t="str">
        <x:v>GRID34</x:v>
      </x:c>
      <x:c r="B1805" s="19" t="str">
        <x:v>GRID34_report.md</x:v>
      </x:c>
      <x:c r="C1805" s="19" t="str">
        <x:v>1. GRID34 所有强对照共享优化后的实际控制比较</x:v>
      </x:c>
      <x:c r="D1805" s="19" t="str">
        <x:v>方法=LOCAL_PPO；控制秒总计=552.702</x:v>
      </x:c>
      <x:c r="E1805" s="19" t="str">
        <x:v>完成回放</x:v>
      </x:c>
      <x:c r="F1805" s="19" t="str">
        <x:v>6/8</x:v>
      </x:c>
      <x:c r="G1805" s="19" t="str">
        <x:v>质量/成本</x:v>
      </x:c>
      <x:c r="H1805" s="19" t="str">
        <x:v>D:/Codex/GRL研究/outputs/grid34/GRID34_report.md</x:v>
      </x:c>
    </x:row>
    <x:row r="1806" ht="36" customHeight="1">
      <x:c r="A1806" s="19" t="str">
        <x:v>GRID34</x:v>
      </x:c>
      <x:c r="B1806" s="19" t="str">
        <x:v>GRID34_report.md</x:v>
      </x:c>
      <x:c r="C1806" s="19" t="str">
        <x:v>1. GRID34 所有强对照共享优化后的实际控制比较</x:v>
      </x:c>
      <x:c r="D1806" s="19" t="str">
        <x:v>方法=LOCAL_PPO；控制秒总计=552.702</x:v>
      </x:c>
      <x:c r="E1806" s="19" t="str">
        <x:v>共同完成周平均成本差</x:v>
      </x:c>
      <x:c r="F1806" s="19" t="str">
        <x:v>0.04537%</x:v>
      </x:c>
      <x:c r="G1806" s="19" t="str">
        <x:v>质量/成本</x:v>
      </x:c>
      <x:c r="H1806" s="19" t="str">
        <x:v>D:/Codex/GRL研究/outputs/grid34/GRID34_report.md</x:v>
      </x:c>
    </x:row>
    <x:row r="1807" ht="36" customHeight="1">
      <x:c r="A1807" s="19" t="str">
        <x:v>GRID34</x:v>
      </x:c>
      <x:c r="B1807" s="19" t="str">
        <x:v>GRID34_report.md</x:v>
      </x:c>
      <x:c r="C1807" s="19" t="str">
        <x:v>1. GRID34 所有强对照共享优化后的实际控制比较</x:v>
      </x:c>
      <x:c r="D1807" s="19" t="str">
        <x:v>方法=LOCAL_MLP0；控制秒总计=559.656</x:v>
      </x:c>
      <x:c r="E1807" s="19" t="str">
        <x:v>控制秒总计</x:v>
      </x:c>
      <x:c r="F1807" s="19" t="str">
        <x:v>559.656</x:v>
      </x:c>
      <x:c r="G1807" s="19" t="str">
        <x:v>速度/计算</x:v>
      </x:c>
      <x:c r="H1807" s="19" t="str">
        <x:v>D:/Codex/GRL研究/outputs/grid34/GRID34_report.md</x:v>
      </x:c>
    </x:row>
    <x:row r="1808" ht="36" customHeight="1">
      <x:c r="A1808" s="19" t="str">
        <x:v>GRID34</x:v>
      </x:c>
      <x:c r="B1808" s="19" t="str">
        <x:v>GRID34_report.md</x:v>
      </x:c>
      <x:c r="C1808" s="19" t="str">
        <x:v>1. GRID34 所有强对照共享优化后的实际控制比较</x:v>
      </x:c>
      <x:c r="D1808" s="19" t="str">
        <x:v>方法=LOCAL_MLP0；控制秒总计=559.656</x:v>
      </x:c>
      <x:c r="E1808" s="19" t="str">
        <x:v>N1查询</x:v>
      </x:c>
      <x:c r="F1808" s="19" t="str">
        <x:v>15882</x:v>
      </x:c>
      <x:c r="G1808" s="19" t="str">
        <x:v>速度/计算</x:v>
      </x:c>
      <x:c r="H1808" s="19" t="str">
        <x:v>D:/Codex/GRL研究/outputs/grid34/GRID34_report.md</x:v>
      </x:c>
    </x:row>
    <x:row r="1809" ht="36" customHeight="1">
      <x:c r="A1809" s="19" t="str">
        <x:v>GRID34</x:v>
      </x:c>
      <x:c r="B1809" s="19" t="str">
        <x:v>GRID34_report.md</x:v>
      </x:c>
      <x:c r="C1809" s="19" t="str">
        <x:v>1. GRID34 所有强对照共享优化后的实际控制比较</x:v>
      </x:c>
      <x:c r="D1809" s="19" t="str">
        <x:v>方法=LOCAL_MLP0；控制秒总计=559.656</x:v>
      </x:c>
      <x:c r="E1809" s="19" t="str">
        <x:v>N1搜索秒</x:v>
      </x:c>
      <x:c r="F1809" s="19" t="str">
        <x:v>65.337</x:v>
      </x:c>
      <x:c r="G1809" s="19" t="str">
        <x:v>速度/计算</x:v>
      </x:c>
      <x:c r="H1809" s="19" t="str">
        <x:v>D:/Codex/GRL研究/outputs/grid34/GRID34_report.md</x:v>
      </x:c>
    </x:row>
    <x:row r="1810" ht="36" customHeight="1">
      <x:c r="A1810" s="19" t="str">
        <x:v>GRID34</x:v>
      </x:c>
      <x:c r="B1810" s="19" t="str">
        <x:v>GRID34_report.md</x:v>
      </x:c>
      <x:c r="C1810" s="19" t="str">
        <x:v>1. GRID34 所有强对照共享优化后的实际控制比较</x:v>
      </x:c>
      <x:c r="D1810" s="19" t="str">
        <x:v>方法=LOCAL_MLP0；控制秒总计=559.656</x:v>
      </x:c>
      <x:c r="E1810" s="19" t="str">
        <x:v>完成回放</x:v>
      </x:c>
      <x:c r="F1810" s="19" t="str">
        <x:v>6/8</x:v>
      </x:c>
      <x:c r="G1810" s="19" t="str">
        <x:v>质量/成本</x:v>
      </x:c>
      <x:c r="H1810" s="19" t="str">
        <x:v>D:/Codex/GRL研究/outputs/grid34/GRID34_report.md</x:v>
      </x:c>
    </x:row>
    <x:row r="1811" ht="36" customHeight="1">
      <x:c r="A1811" s="19" t="str">
        <x:v>GRID34</x:v>
      </x:c>
      <x:c r="B1811" s="19" t="str">
        <x:v>GRID34_report.md</x:v>
      </x:c>
      <x:c r="C1811" s="19" t="str">
        <x:v>1. GRID34 所有强对照共享优化后的实际控制比较</x:v>
      </x:c>
      <x:c r="D1811" s="19" t="str">
        <x:v>方法=LOCAL_MLP0；控制秒总计=559.656</x:v>
      </x:c>
      <x:c r="E1811" s="19" t="str">
        <x:v>共同完成周平均成本差</x:v>
      </x:c>
      <x:c r="F1811" s="19" t="str">
        <x:v>0.20082%</x:v>
      </x:c>
      <x:c r="G1811" s="19" t="str">
        <x:v>质量/成本</x:v>
      </x:c>
      <x:c r="H1811" s="19" t="str">
        <x:v>D:/Codex/GRL研究/outputs/grid34/GRID34_report.md</x:v>
      </x:c>
    </x:row>
    <x:row r="1812" ht="36" customHeight="1">
      <x:c r="A1812" s="19" t="str">
        <x:v>GRID34</x:v>
      </x:c>
      <x:c r="B1812" s="19" t="str">
        <x:v>GRID34_report.md</x:v>
      </x:c>
      <x:c r="C1812" s="19" t="str">
        <x:v>1. GRID34 所有强对照共享优化后的实际控制比较</x:v>
      </x:c>
      <x:c r="D1812" s="19" t="str">
        <x:v>方法=LOCAL_MLP1；控制秒总计=553.839</x:v>
      </x:c>
      <x:c r="E1812" s="19" t="str">
        <x:v>控制秒总计</x:v>
      </x:c>
      <x:c r="F1812" s="19" t="str">
        <x:v>553.839</x:v>
      </x:c>
      <x:c r="G1812" s="19" t="str">
        <x:v>速度/计算</x:v>
      </x:c>
      <x:c r="H1812" s="19" t="str">
        <x:v>D:/Codex/GRL研究/outputs/grid34/GRID34_report.md</x:v>
      </x:c>
    </x:row>
    <x:row r="1813" ht="36" customHeight="1">
      <x:c r="A1813" s="19" t="str">
        <x:v>GRID34</x:v>
      </x:c>
      <x:c r="B1813" s="19" t="str">
        <x:v>GRID34_report.md</x:v>
      </x:c>
      <x:c r="C1813" s="19" t="str">
        <x:v>1. GRID34 所有强对照共享优化后的实际控制比较</x:v>
      </x:c>
      <x:c r="D1813" s="19" t="str">
        <x:v>方法=LOCAL_MLP1；控制秒总计=553.839</x:v>
      </x:c>
      <x:c r="E1813" s="19" t="str">
        <x:v>N1查询</x:v>
      </x:c>
      <x:c r="F1813" s="19" t="str">
        <x:v>15652</x:v>
      </x:c>
      <x:c r="G1813" s="19" t="str">
        <x:v>速度/计算</x:v>
      </x:c>
      <x:c r="H1813" s="19" t="str">
        <x:v>D:/Codex/GRL研究/outputs/grid34/GRID34_report.md</x:v>
      </x:c>
    </x:row>
    <x:row r="1814" ht="36" customHeight="1">
      <x:c r="A1814" s="19" t="str">
        <x:v>GRID34</x:v>
      </x:c>
      <x:c r="B1814" s="19" t="str">
        <x:v>GRID34_report.md</x:v>
      </x:c>
      <x:c r="C1814" s="19" t="str">
        <x:v>1. GRID34 所有强对照共享优化后的实际控制比较</x:v>
      </x:c>
      <x:c r="D1814" s="19" t="str">
        <x:v>方法=LOCAL_MLP1；控制秒总计=553.839</x:v>
      </x:c>
      <x:c r="E1814" s="19" t="str">
        <x:v>N1搜索秒</x:v>
      </x:c>
      <x:c r="F1814" s="19" t="str">
        <x:v>62.805</x:v>
      </x:c>
      <x:c r="G1814" s="19" t="str">
        <x:v>速度/计算</x:v>
      </x:c>
      <x:c r="H1814" s="19" t="str">
        <x:v>D:/Codex/GRL研究/outputs/grid34/GRID34_report.md</x:v>
      </x:c>
    </x:row>
    <x:row r="1815" ht="36" customHeight="1">
      <x:c r="A1815" s="19" t="str">
        <x:v>GRID34</x:v>
      </x:c>
      <x:c r="B1815" s="19" t="str">
        <x:v>GRID34_report.md</x:v>
      </x:c>
      <x:c r="C1815" s="19" t="str">
        <x:v>1. GRID34 所有强对照共享优化后的实际控制比较</x:v>
      </x:c>
      <x:c r="D1815" s="19" t="str">
        <x:v>方法=LOCAL_MLP1；控制秒总计=553.839</x:v>
      </x:c>
      <x:c r="E1815" s="19" t="str">
        <x:v>完成回放</x:v>
      </x:c>
      <x:c r="F1815" s="19" t="str">
        <x:v>6/8</x:v>
      </x:c>
      <x:c r="G1815" s="19" t="str">
        <x:v>质量/成本</x:v>
      </x:c>
      <x:c r="H1815" s="19" t="str">
        <x:v>D:/Codex/GRL研究/outputs/grid34/GRID34_report.md</x:v>
      </x:c>
    </x:row>
    <x:row r="1816" ht="36" customHeight="1">
      <x:c r="A1816" s="19" t="str">
        <x:v>GRID34</x:v>
      </x:c>
      <x:c r="B1816" s="19" t="str">
        <x:v>GRID34_report.md</x:v>
      </x:c>
      <x:c r="C1816" s="19" t="str">
        <x:v>1. GRID34 所有强对照共享优化后的实际控制比较</x:v>
      </x:c>
      <x:c r="D1816" s="19" t="str">
        <x:v>方法=LOCAL_MLP1；控制秒总计=553.839</x:v>
      </x:c>
      <x:c r="E1816" s="19" t="str">
        <x:v>共同完成周平均成本差</x:v>
      </x:c>
      <x:c r="F1816" s="19" t="str">
        <x:v>0.00000%</x:v>
      </x:c>
      <x:c r="G1816" s="19" t="str">
        <x:v>质量/成本</x:v>
      </x:c>
      <x:c r="H1816" s="19" t="str">
        <x:v>D:/Codex/GRL研究/outputs/grid34/GRID34_report.md</x:v>
      </x:c>
    </x:row>
    <x:row r="1817" ht="36" customHeight="1">
      <x:c r="A1817" s="19" t="str">
        <x:v>GRID34</x:v>
      </x:c>
      <x:c r="B1817" s="19" t="str">
        <x:v>GRID34_report.md</x:v>
      </x:c>
      <x:c r="C1817" s="19" t="str">
        <x:v>2. GRID34 所有强对照共享优化后的实际控制比较</x:v>
      </x:c>
      <x:c r="D1817" s="19" t="str">
        <x:v>GNN=LOCAL_GNN0；相同优化的对照=FULL</x:v>
      </x:c>
      <x:c r="E1817" s="19" t="str">
        <x:v>相同优化的对照</x:v>
      </x:c>
      <x:c r="F1817" s="19" t="str">
        <x:v>FULL</x:v>
      </x:c>
      <x:c r="G1817" s="19" t="str">
        <x:v>其他/配置</x:v>
      </x:c>
      <x:c r="H1817" s="19" t="str">
        <x:v>D:/Codex/GRL研究/outputs/grid34/GRID34_report.md</x:v>
      </x:c>
    </x:row>
    <x:row r="1818" ht="36" customHeight="1">
      <x:c r="A1818" s="19" t="str">
        <x:v>GRID34</x:v>
      </x:c>
      <x:c r="B1818" s="19" t="str">
        <x:v>GRID34_report.md</x:v>
      </x:c>
      <x:c r="C1818" s="19" t="str">
        <x:v>2. GRID34 所有强对照共享优化后的实际控制比较</x:v>
      </x:c>
      <x:c r="D1818" s="19" t="str">
        <x:v>GNN=LOCAL_GNN0；相同优化的对照=FULL</x:v>
      </x:c>
      <x:c r="E1818" s="19" t="str">
        <x:v>控制时间减少</x:v>
      </x:c>
      <x:c r="F1818" s="19" t="str">
        <x:v>11.339%</x:v>
      </x:c>
      <x:c r="G1818" s="19" t="str">
        <x:v>速度/计算</x:v>
      </x:c>
      <x:c r="H1818" s="19" t="str">
        <x:v>D:/Codex/GRL研究/outputs/grid34/GRID34_report.md</x:v>
      </x:c>
    </x:row>
    <x:row r="1819" ht="36" customHeight="1">
      <x:c r="A1819" s="19" t="str">
        <x:v>GRID34</x:v>
      </x:c>
      <x:c r="B1819" s="19" t="str">
        <x:v>GRID34_report.md</x:v>
      </x:c>
      <x:c r="C1819" s="19" t="str">
        <x:v>2. GRID34 所有强对照共享优化后的实际控制比较</x:v>
      </x:c>
      <x:c r="D1819" s="19" t="str">
        <x:v>GNN=LOCAL_GNN0；相同优化的对照=FULL</x:v>
      </x:c>
      <x:c r="E1819" s="19" t="str">
        <x:v>查询减少</x:v>
      </x:c>
      <x:c r="F1819" s="19" t="str">
        <x:v>67.642%</x:v>
      </x:c>
      <x:c r="G1819" s="19" t="str">
        <x:v>速度/计算</x:v>
      </x:c>
      <x:c r="H1819" s="19" t="str">
        <x:v>D:/Codex/GRL研究/outputs/grid34/GRID34_report.md</x:v>
      </x:c>
    </x:row>
    <x:row r="1820" ht="36" customHeight="1">
      <x:c r="A1820" s="19" t="str">
        <x:v>GRID34</x:v>
      </x:c>
      <x:c r="B1820" s="19" t="str">
        <x:v>GRID34_report.md</x:v>
      </x:c>
      <x:c r="C1820" s="19" t="str">
        <x:v>2. GRID34 所有强对照共享优化后的实际控制比较</x:v>
      </x:c>
      <x:c r="D1820" s="19" t="str">
        <x:v>GNN=LOCAL_GNN0；相同优化的对照=FULL</x:v>
      </x:c>
      <x:c r="E1820" s="19" t="str">
        <x:v>搜索时间减少</x:v>
      </x:c>
      <x:c r="F1820" s="19" t="str">
        <x:v>55.373%</x:v>
      </x:c>
      <x:c r="G1820" s="19" t="str">
        <x:v>速度/计算</x:v>
      </x:c>
      <x:c r="H1820" s="19" t="str">
        <x:v>D:/Codex/GRL研究/outputs/grid34/GRID34_report.md</x:v>
      </x:c>
    </x:row>
    <x:row r="1821" ht="36" customHeight="1">
      <x:c r="A1821" s="19" t="str">
        <x:v>GRID34</x:v>
      </x:c>
      <x:c r="B1821" s="19" t="str">
        <x:v>GRID34_report.md</x:v>
      </x:c>
      <x:c r="C1821" s="19" t="str">
        <x:v>2. GRID34 所有强对照共享优化后的实际控制比较</x:v>
      </x:c>
      <x:c r="D1821" s="19" t="str">
        <x:v>GNN=LOCAL_GNN0；相同优化的对照=FULL</x:v>
      </x:c>
      <x:c r="E1821" s="19" t="str">
        <x:v>控制正向配对</x:v>
      </x:c>
      <x:c r="F1821" s="19" t="str">
        <x:v>8/8</x:v>
      </x:c>
      <x:c r="G1821" s="19" t="str">
        <x:v>速度/计算</x:v>
      </x:c>
      <x:c r="H1821" s="19" t="str">
        <x:v>D:/Codex/GRL研究/outputs/grid34/GRID34_report.md</x:v>
      </x:c>
    </x:row>
    <x:row r="1822" ht="36" customHeight="1">
      <x:c r="A1822" s="19" t="str">
        <x:v>GRID34</x:v>
      </x:c>
      <x:c r="B1822" s="19" t="str">
        <x:v>GRID34_report.md</x:v>
      </x:c>
      <x:c r="C1822" s="19" t="str">
        <x:v>2. GRID34 所有强对照共享优化后的实际控制比较</x:v>
      </x:c>
      <x:c r="D1822" s="19" t="str">
        <x:v>GNN=LOCAL_GNN0；相同优化的对照=LOCAL_PPO</x:v>
      </x:c>
      <x:c r="E1822" s="19" t="str">
        <x:v>相同优化的对照</x:v>
      </x:c>
      <x:c r="F1822" s="19" t="str">
        <x:v>LOCAL_PPO</x:v>
      </x:c>
      <x:c r="G1822" s="19" t="str">
        <x:v>其他/配置</x:v>
      </x:c>
      <x:c r="H1822" s="19" t="str">
        <x:v>D:/Codex/GRL研究/outputs/grid34/GRID34_report.md</x:v>
      </x:c>
    </x:row>
    <x:row r="1823" ht="36" customHeight="1">
      <x:c r="A1823" s="19" t="str">
        <x:v>GRID34</x:v>
      </x:c>
      <x:c r="B1823" s="19" t="str">
        <x:v>GRID34_report.md</x:v>
      </x:c>
      <x:c r="C1823" s="19" t="str">
        <x:v>2. GRID34 所有强对照共享优化后的实际控制比较</x:v>
      </x:c>
      <x:c r="D1823" s="19" t="str">
        <x:v>GNN=LOCAL_GNN0；相同优化的对照=LOCAL_PPO</x:v>
      </x:c>
      <x:c r="E1823" s="19" t="str">
        <x:v>控制时间减少</x:v>
      </x:c>
      <x:c r="F1823" s="19" t="str">
        <x:v>0.117%</x:v>
      </x:c>
      <x:c r="G1823" s="19" t="str">
        <x:v>速度/计算</x:v>
      </x:c>
      <x:c r="H1823" s="19" t="str">
        <x:v>D:/Codex/GRL研究/outputs/grid34/GRID34_report.md</x:v>
      </x:c>
    </x:row>
    <x:row r="1824" ht="36" customHeight="1">
      <x:c r="A1824" s="19" t="str">
        <x:v>GRID34</x:v>
      </x:c>
      <x:c r="B1824" s="19" t="str">
        <x:v>GRID34_report.md</x:v>
      </x:c>
      <x:c r="C1824" s="19" t="str">
        <x:v>2. GRID34 所有强对照共享优化后的实际控制比较</x:v>
      </x:c>
      <x:c r="D1824" s="19" t="str">
        <x:v>GNN=LOCAL_GNN0；相同优化的对照=LOCAL_PPO</x:v>
      </x:c>
      <x:c r="E1824" s="19" t="str">
        <x:v>查询减少</x:v>
      </x:c>
      <x:c r="F1824" s="19" t="str">
        <x:v>5.979%</x:v>
      </x:c>
      <x:c r="G1824" s="19" t="str">
        <x:v>速度/计算</x:v>
      </x:c>
      <x:c r="H1824" s="19" t="str">
        <x:v>D:/Codex/GRL研究/outputs/grid34/GRID34_report.md</x:v>
      </x:c>
    </x:row>
    <x:row r="1825" ht="36" customHeight="1">
      <x:c r="A1825" s="19" t="str">
        <x:v>GRID34</x:v>
      </x:c>
      <x:c r="B1825" s="19" t="str">
        <x:v>GRID34_report.md</x:v>
      </x:c>
      <x:c r="C1825" s="19" t="str">
        <x:v>2. GRID34 所有强对照共享优化后的实际控制比较</x:v>
      </x:c>
      <x:c r="D1825" s="19" t="str">
        <x:v>GNN=LOCAL_GNN0；相同优化的对照=LOCAL_PPO</x:v>
      </x:c>
      <x:c r="E1825" s="19" t="str">
        <x:v>搜索时间减少</x:v>
      </x:c>
      <x:c r="F1825" s="19" t="str">
        <x:v>5.322%</x:v>
      </x:c>
      <x:c r="G1825" s="19" t="str">
        <x:v>速度/计算</x:v>
      </x:c>
      <x:c r="H1825" s="19" t="str">
        <x:v>D:/Codex/GRL研究/outputs/grid34/GRID34_report.md</x:v>
      </x:c>
    </x:row>
    <x:row r="1826" ht="36" customHeight="1">
      <x:c r="A1826" s="19" t="str">
        <x:v>GRID34</x:v>
      </x:c>
      <x:c r="B1826" s="19" t="str">
        <x:v>GRID34_report.md</x:v>
      </x:c>
      <x:c r="C1826" s="19" t="str">
        <x:v>2. GRID34 所有强对照共享优化后的实际控制比较</x:v>
      </x:c>
      <x:c r="D1826" s="19" t="str">
        <x:v>GNN=LOCAL_GNN0；相同优化的对照=LOCAL_PPO</x:v>
      </x:c>
      <x:c r="E1826" s="19" t="str">
        <x:v>控制正向配对</x:v>
      </x:c>
      <x:c r="F1826" s="19" t="str">
        <x:v>3/8</x:v>
      </x:c>
      <x:c r="G1826" s="19" t="str">
        <x:v>速度/计算</x:v>
      </x:c>
      <x:c r="H1826" s="19" t="str">
        <x:v>D:/Codex/GRL研究/outputs/grid34/GRID34_report.md</x:v>
      </x:c>
    </x:row>
    <x:row r="1827" ht="36" customHeight="1">
      <x:c r="A1827" s="19" t="str">
        <x:v>GRID34</x:v>
      </x:c>
      <x:c r="B1827" s="19" t="str">
        <x:v>GRID34_report.md</x:v>
      </x:c>
      <x:c r="C1827" s="19" t="str">
        <x:v>2. GRID34 所有强对照共享优化后的实际控制比较</x:v>
      </x:c>
      <x:c r="D1827" s="19" t="str">
        <x:v>GNN=LOCAL_GNN0；相同优化的对照=LOCAL_MLP0</x:v>
      </x:c>
      <x:c r="E1827" s="19" t="str">
        <x:v>相同优化的对照</x:v>
      </x:c>
      <x:c r="F1827" s="19" t="str">
        <x:v>LOCAL_MLP0</x:v>
      </x:c>
      <x:c r="G1827" s="19" t="str">
        <x:v>其他/配置</x:v>
      </x:c>
      <x:c r="H1827" s="19" t="str">
        <x:v>D:/Codex/GRL研究/outputs/grid34/GRID34_report.md</x:v>
      </x:c>
    </x:row>
    <x:row r="1828" ht="36" customHeight="1">
      <x:c r="A1828" s="19" t="str">
        <x:v>GRID34</x:v>
      </x:c>
      <x:c r="B1828" s="19" t="str">
        <x:v>GRID34_report.md</x:v>
      </x:c>
      <x:c r="C1828" s="19" t="str">
        <x:v>2. GRID34 所有强对照共享优化后的实际控制比较</x:v>
      </x:c>
      <x:c r="D1828" s="19" t="str">
        <x:v>GNN=LOCAL_GNN0；相同优化的对照=LOCAL_MLP0</x:v>
      </x:c>
      <x:c r="E1828" s="19" t="str">
        <x:v>控制时间减少</x:v>
      </x:c>
      <x:c r="F1828" s="19" t="str">
        <x:v>1.358%</x:v>
      </x:c>
      <x:c r="G1828" s="19" t="str">
        <x:v>速度/计算</x:v>
      </x:c>
      <x:c r="H1828" s="19" t="str">
        <x:v>D:/Codex/GRL研究/outputs/grid34/GRID34_report.md</x:v>
      </x:c>
    </x:row>
    <x:row r="1829" ht="36" customHeight="1">
      <x:c r="A1829" s="19" t="str">
        <x:v>GRID34</x:v>
      </x:c>
      <x:c r="B1829" s="19" t="str">
        <x:v>GRID34_report.md</x:v>
      </x:c>
      <x:c r="C1829" s="19" t="str">
        <x:v>2. GRID34 所有强对照共享优化后的实际控制比较</x:v>
      </x:c>
      <x:c r="D1829" s="19" t="str">
        <x:v>GNN=LOCAL_GNN0；相同优化的对照=LOCAL_MLP0</x:v>
      </x:c>
      <x:c r="E1829" s="19" t="str">
        <x:v>查询减少</x:v>
      </x:c>
      <x:c r="F1829" s="19" t="str">
        <x:v>7.921%</x:v>
      </x:c>
      <x:c r="G1829" s="19" t="str">
        <x:v>速度/计算</x:v>
      </x:c>
      <x:c r="H1829" s="19" t="str">
        <x:v>D:/Codex/GRL研究/outputs/grid34/GRID34_report.md</x:v>
      </x:c>
    </x:row>
    <x:row r="1830" ht="36" customHeight="1">
      <x:c r="A1830" s="19" t="str">
        <x:v>GRID34</x:v>
      </x:c>
      <x:c r="B1830" s="19" t="str">
        <x:v>GRID34_report.md</x:v>
      </x:c>
      <x:c r="C1830" s="19" t="str">
        <x:v>2. GRID34 所有强对照共享优化后的实际控制比较</x:v>
      </x:c>
      <x:c r="D1830" s="19" t="str">
        <x:v>GNN=LOCAL_GNN0；相同优化的对照=LOCAL_MLP0</x:v>
      </x:c>
      <x:c r="E1830" s="19" t="str">
        <x:v>搜索时间减少</x:v>
      </x:c>
      <x:c r="F1830" s="19" t="str">
        <x:v>9.253%</x:v>
      </x:c>
      <x:c r="G1830" s="19" t="str">
        <x:v>速度/计算</x:v>
      </x:c>
      <x:c r="H1830" s="19" t="str">
        <x:v>D:/Codex/GRL研究/outputs/grid34/GRID34_report.md</x:v>
      </x:c>
    </x:row>
    <x:row r="1831" ht="36" customHeight="1">
      <x:c r="A1831" s="19" t="str">
        <x:v>GRID34</x:v>
      </x:c>
      <x:c r="B1831" s="19" t="str">
        <x:v>GRID34_report.md</x:v>
      </x:c>
      <x:c r="C1831" s="19" t="str">
        <x:v>2. GRID34 所有强对照共享优化后的实际控制比较</x:v>
      </x:c>
      <x:c r="D1831" s="19" t="str">
        <x:v>GNN=LOCAL_GNN0；相同优化的对照=LOCAL_MLP0</x:v>
      </x:c>
      <x:c r="E1831" s="19" t="str">
        <x:v>控制正向配对</x:v>
      </x:c>
      <x:c r="F1831" s="19" t="str">
        <x:v>5/8</x:v>
      </x:c>
      <x:c r="G1831" s="19" t="str">
        <x:v>速度/计算</x:v>
      </x:c>
      <x:c r="H1831" s="19" t="str">
        <x:v>D:/Codex/GRL研究/outputs/grid34/GRID34_report.md</x:v>
      </x:c>
    </x:row>
    <x:row r="1832" ht="36" customHeight="1">
      <x:c r="A1832" s="19" t="str">
        <x:v>GRID34</x:v>
      </x:c>
      <x:c r="B1832" s="19" t="str">
        <x:v>GRID34_report.md</x:v>
      </x:c>
      <x:c r="C1832" s="19" t="str">
        <x:v>2. GRID34 所有强对照共享优化后的实际控制比较</x:v>
      </x:c>
      <x:c r="D1832" s="19" t="str">
        <x:v>GNN=LOCAL_GNN0；相同优化的对照=LOCAL_MLP1</x:v>
      </x:c>
      <x:c r="E1832" s="19" t="str">
        <x:v>相同优化的对照</x:v>
      </x:c>
      <x:c r="F1832" s="19" t="str">
        <x:v>LOCAL_MLP1</x:v>
      </x:c>
      <x:c r="G1832" s="19" t="str">
        <x:v>其他/配置</x:v>
      </x:c>
      <x:c r="H1832" s="19" t="str">
        <x:v>D:/Codex/GRL研究/outputs/grid34/GRID34_report.md</x:v>
      </x:c>
    </x:row>
    <x:row r="1833" ht="36" customHeight="1">
      <x:c r="A1833" s="19" t="str">
        <x:v>GRID34</x:v>
      </x:c>
      <x:c r="B1833" s="19" t="str">
        <x:v>GRID34_report.md</x:v>
      </x:c>
      <x:c r="C1833" s="19" t="str">
        <x:v>2. GRID34 所有强对照共享优化后的实际控制比较</x:v>
      </x:c>
      <x:c r="D1833" s="19" t="str">
        <x:v>GNN=LOCAL_GNN0；相同优化的对照=LOCAL_MLP1</x:v>
      </x:c>
      <x:c r="E1833" s="19" t="str">
        <x:v>控制时间减少</x:v>
      </x:c>
      <x:c r="F1833" s="19" t="str">
        <x:v>0.322%</x:v>
      </x:c>
      <x:c r="G1833" s="19" t="str">
        <x:v>速度/计算</x:v>
      </x:c>
      <x:c r="H1833" s="19" t="str">
        <x:v>D:/Codex/GRL研究/outputs/grid34/GRID34_report.md</x:v>
      </x:c>
    </x:row>
    <x:row r="1834" ht="36" customHeight="1">
      <x:c r="A1834" s="19" t="str">
        <x:v>GRID34</x:v>
      </x:c>
      <x:c r="B1834" s="19" t="str">
        <x:v>GRID34_report.md</x:v>
      </x:c>
      <x:c r="C1834" s="19" t="str">
        <x:v>2. GRID34 所有强对照共享优化后的实际控制比较</x:v>
      </x:c>
      <x:c r="D1834" s="19" t="str">
        <x:v>GNN=LOCAL_GNN0；相同优化的对照=LOCAL_MLP1</x:v>
      </x:c>
      <x:c r="E1834" s="19" t="str">
        <x:v>查询减少</x:v>
      </x:c>
      <x:c r="F1834" s="19" t="str">
        <x:v>6.568%</x:v>
      </x:c>
      <x:c r="G1834" s="19" t="str">
        <x:v>速度/计算</x:v>
      </x:c>
      <x:c r="H1834" s="19" t="str">
        <x:v>D:/Codex/GRL研究/outputs/grid34/GRID34_report.md</x:v>
      </x:c>
    </x:row>
    <x:row r="1835" ht="36" customHeight="1">
      <x:c r="A1835" s="19" t="str">
        <x:v>GRID34</x:v>
      </x:c>
      <x:c r="B1835" s="19" t="str">
        <x:v>GRID34_report.md</x:v>
      </x:c>
      <x:c r="C1835" s="19" t="str">
        <x:v>2. GRID34 所有强对照共享优化后的实际控制比较</x:v>
      </x:c>
      <x:c r="D1835" s="19" t="str">
        <x:v>GNN=LOCAL_GNN0；相同优化的对照=LOCAL_MLP1</x:v>
      </x:c>
      <x:c r="E1835" s="19" t="str">
        <x:v>搜索时间减少</x:v>
      </x:c>
      <x:c r="F1835" s="19" t="str">
        <x:v>5.594%</x:v>
      </x:c>
      <x:c r="G1835" s="19" t="str">
        <x:v>速度/计算</x:v>
      </x:c>
      <x:c r="H1835" s="19" t="str">
        <x:v>D:/Codex/GRL研究/outputs/grid34/GRID34_report.md</x:v>
      </x:c>
    </x:row>
    <x:row r="1836" ht="36" customHeight="1">
      <x:c r="A1836" s="19" t="str">
        <x:v>GRID34</x:v>
      </x:c>
      <x:c r="B1836" s="19" t="str">
        <x:v>GRID34_report.md</x:v>
      </x:c>
      <x:c r="C1836" s="19" t="str">
        <x:v>2. GRID34 所有强对照共享优化后的实际控制比较</x:v>
      </x:c>
      <x:c r="D1836" s="19" t="str">
        <x:v>GNN=LOCAL_GNN0；相同优化的对照=LOCAL_MLP1</x:v>
      </x:c>
      <x:c r="E1836" s="19" t="str">
        <x:v>控制正向配对</x:v>
      </x:c>
      <x:c r="F1836" s="19" t="str">
        <x:v>4/8</x:v>
      </x:c>
      <x:c r="G1836" s="19" t="str">
        <x:v>速度/计算</x:v>
      </x:c>
      <x:c r="H1836" s="19" t="str">
        <x:v>D:/Codex/GRL研究/outputs/grid34/GRID34_report.md</x:v>
      </x:c>
    </x:row>
    <x:row r="1837" ht="36" customHeight="1">
      <x:c r="A1837" s="19" t="str">
        <x:v>GRID34</x:v>
      </x:c>
      <x:c r="B1837" s="19" t="str">
        <x:v>GRID34_report.md</x:v>
      </x:c>
      <x:c r="C1837" s="19" t="str">
        <x:v>2. GRID34 所有强对照共享优化后的实际控制比较</x:v>
      </x:c>
      <x:c r="D1837" s="19" t="str">
        <x:v>GNN=LOCAL_GNN1；相同优化的对照=FULL</x:v>
      </x:c>
      <x:c r="E1837" s="19" t="str">
        <x:v>相同优化的对照</x:v>
      </x:c>
      <x:c r="F1837" s="19" t="str">
        <x:v>FULL</x:v>
      </x:c>
      <x:c r="G1837" s="19" t="str">
        <x:v>其他/配置</x:v>
      </x:c>
      <x:c r="H1837" s="19" t="str">
        <x:v>D:/Codex/GRL研究/outputs/grid34/GRID34_report.md</x:v>
      </x:c>
    </x:row>
    <x:row r="1838" ht="36" customHeight="1">
      <x:c r="A1838" s="19" t="str">
        <x:v>GRID34</x:v>
      </x:c>
      <x:c r="B1838" s="19" t="str">
        <x:v>GRID34_report.md</x:v>
      </x:c>
      <x:c r="C1838" s="19" t="str">
        <x:v>2. GRID34 所有强对照共享优化后的实际控制比较</x:v>
      </x:c>
      <x:c r="D1838" s="19" t="str">
        <x:v>GNN=LOCAL_GNN1；相同优化的对照=FULL</x:v>
      </x:c>
      <x:c r="E1838" s="19" t="str">
        <x:v>控制时间减少</x:v>
      </x:c>
      <x:c r="F1838" s="19" t="str">
        <x:v>11.786%</x:v>
      </x:c>
      <x:c r="G1838" s="19" t="str">
        <x:v>速度/计算</x:v>
      </x:c>
      <x:c r="H1838" s="19" t="str">
        <x:v>D:/Codex/GRL研究/outputs/grid34/GRID34_report.md</x:v>
      </x:c>
    </x:row>
    <x:row r="1839" ht="36" customHeight="1">
      <x:c r="A1839" s="19" t="str">
        <x:v>GRID34</x:v>
      </x:c>
      <x:c r="B1839" s="19" t="str">
        <x:v>GRID34_report.md</x:v>
      </x:c>
      <x:c r="C1839" s="19" t="str">
        <x:v>2. GRID34 所有强对照共享优化后的实际控制比较</x:v>
      </x:c>
      <x:c r="D1839" s="19" t="str">
        <x:v>GNN=LOCAL_GNN1；相同优化的对照=FULL</x:v>
      </x:c>
      <x:c r="E1839" s="19" t="str">
        <x:v>查询减少</x:v>
      </x:c>
      <x:c r="F1839" s="19" t="str">
        <x:v>66.881%</x:v>
      </x:c>
      <x:c r="G1839" s="19" t="str">
        <x:v>速度/计算</x:v>
      </x:c>
      <x:c r="H1839" s="19" t="str">
        <x:v>D:/Codex/GRL研究/outputs/grid34/GRID34_report.md</x:v>
      </x:c>
    </x:row>
    <x:row r="1840" ht="36" customHeight="1">
      <x:c r="A1840" s="19" t="str">
        <x:v>GRID34</x:v>
      </x:c>
      <x:c r="B1840" s="19" t="str">
        <x:v>GRID34_report.md</x:v>
      </x:c>
      <x:c r="C1840" s="19" t="str">
        <x:v>2. GRID34 所有强对照共享优化后的实际控制比较</x:v>
      </x:c>
      <x:c r="D1840" s="19" t="str">
        <x:v>GNN=LOCAL_GNN1；相同优化的对照=FULL</x:v>
      </x:c>
      <x:c r="E1840" s="19" t="str">
        <x:v>搜索时间减少</x:v>
      </x:c>
      <x:c r="F1840" s="19" t="str">
        <x:v>54.327%</x:v>
      </x:c>
      <x:c r="G1840" s="19" t="str">
        <x:v>速度/计算</x:v>
      </x:c>
      <x:c r="H1840" s="19" t="str">
        <x:v>D:/Codex/GRL研究/outputs/grid34/GRID34_report.md</x:v>
      </x:c>
    </x:row>
    <x:row r="1841" ht="36" customHeight="1">
      <x:c r="A1841" s="19" t="str">
        <x:v>GRID34</x:v>
      </x:c>
      <x:c r="B1841" s="19" t="str">
        <x:v>GRID34_report.md</x:v>
      </x:c>
      <x:c r="C1841" s="19" t="str">
        <x:v>2. GRID34 所有强对照共享优化后的实际控制比较</x:v>
      </x:c>
      <x:c r="D1841" s="19" t="str">
        <x:v>GNN=LOCAL_GNN1；相同优化的对照=FULL</x:v>
      </x:c>
      <x:c r="E1841" s="19" t="str">
        <x:v>控制正向配对</x:v>
      </x:c>
      <x:c r="F1841" s="19" t="str">
        <x:v>8/8</x:v>
      </x:c>
      <x:c r="G1841" s="19" t="str">
        <x:v>速度/计算</x:v>
      </x:c>
      <x:c r="H1841" s="19" t="str">
        <x:v>D:/Codex/GRL研究/outputs/grid34/GRID34_report.md</x:v>
      </x:c>
    </x:row>
    <x:row r="1842" ht="36" customHeight="1">
      <x:c r="A1842" s="19" t="str">
        <x:v>GRID34</x:v>
      </x:c>
      <x:c r="B1842" s="19" t="str">
        <x:v>GRID34_report.md</x:v>
      </x:c>
      <x:c r="C1842" s="19" t="str">
        <x:v>2. GRID34 所有强对照共享优化后的实际控制比较</x:v>
      </x:c>
      <x:c r="D1842" s="19" t="str">
        <x:v>GNN=LOCAL_GNN1；相同优化的对照=LOCAL_PPO</x:v>
      </x:c>
      <x:c r="E1842" s="19" t="str">
        <x:v>相同优化的对照</x:v>
      </x:c>
      <x:c r="F1842" s="19" t="str">
        <x:v>LOCAL_PPO</x:v>
      </x:c>
      <x:c r="G1842" s="19" t="str">
        <x:v>其他/配置</x:v>
      </x:c>
      <x:c r="H1842" s="19" t="str">
        <x:v>D:/Codex/GRL研究/outputs/grid34/GRID34_report.md</x:v>
      </x:c>
    </x:row>
    <x:row r="1843" ht="36" customHeight="1">
      <x:c r="A1843" s="19" t="str">
        <x:v>GRID34</x:v>
      </x:c>
      <x:c r="B1843" s="19" t="str">
        <x:v>GRID34_report.md</x:v>
      </x:c>
      <x:c r="C1843" s="19" t="str">
        <x:v>2. GRID34 所有强对照共享优化后的实际控制比较</x:v>
      </x:c>
      <x:c r="D1843" s="19" t="str">
        <x:v>GNN=LOCAL_GNN1；相同优化的对照=LOCAL_PPO</x:v>
      </x:c>
      <x:c r="E1843" s="19" t="str">
        <x:v>控制时间减少</x:v>
      </x:c>
      <x:c r="F1843" s="19" t="str">
        <x:v>0.620%</x:v>
      </x:c>
      <x:c r="G1843" s="19" t="str">
        <x:v>速度/计算</x:v>
      </x:c>
      <x:c r="H1843" s="19" t="str">
        <x:v>D:/Codex/GRL研究/outputs/grid34/GRID34_report.md</x:v>
      </x:c>
    </x:row>
    <x:row r="1844" ht="36" customHeight="1">
      <x:c r="A1844" s="19" t="str">
        <x:v>GRID34</x:v>
      </x:c>
      <x:c r="B1844" s="19" t="str">
        <x:v>GRID34_report.md</x:v>
      </x:c>
      <x:c r="C1844" s="19" t="str">
        <x:v>2. GRID34 所有强对照共享优化后的实际控制比较</x:v>
      </x:c>
      <x:c r="D1844" s="19" t="str">
        <x:v>GNN=LOCAL_GNN1；相同优化的对照=LOCAL_PPO</x:v>
      </x:c>
      <x:c r="E1844" s="19" t="str">
        <x:v>查询减少</x:v>
      </x:c>
      <x:c r="F1844" s="19" t="str">
        <x:v>3.768%</x:v>
      </x:c>
      <x:c r="G1844" s="19" t="str">
        <x:v>速度/计算</x:v>
      </x:c>
      <x:c r="H1844" s="19" t="str">
        <x:v>D:/Codex/GRL研究/outputs/grid34/GRID34_report.md</x:v>
      </x:c>
    </x:row>
    <x:row r="1845" ht="36" customHeight="1">
      <x:c r="A1845" s="19" t="str">
        <x:v>GRID34</x:v>
      </x:c>
      <x:c r="B1845" s="19" t="str">
        <x:v>GRID34_report.md</x:v>
      </x:c>
      <x:c r="C1845" s="19" t="str">
        <x:v>2. GRID34 所有强对照共享优化后的实际控制比较</x:v>
      </x:c>
      <x:c r="D1845" s="19" t="str">
        <x:v>GNN=LOCAL_GNN1；相同优化的对照=LOCAL_PPO</x:v>
      </x:c>
      <x:c r="E1845" s="19" t="str">
        <x:v>搜索时间减少</x:v>
      </x:c>
      <x:c r="F1845" s="19" t="str">
        <x:v>3.105%</x:v>
      </x:c>
      <x:c r="G1845" s="19" t="str">
        <x:v>速度/计算</x:v>
      </x:c>
      <x:c r="H1845" s="19" t="str">
        <x:v>D:/Codex/GRL研究/outputs/grid34/GRID34_report.md</x:v>
      </x:c>
    </x:row>
    <x:row r="1846" ht="36" customHeight="1">
      <x:c r="A1846" s="19" t="str">
        <x:v>GRID34</x:v>
      </x:c>
      <x:c r="B1846" s="19" t="str">
        <x:v>GRID34_report.md</x:v>
      </x:c>
      <x:c r="C1846" s="19" t="str">
        <x:v>2. GRID34 所有强对照共享优化后的实际控制比较</x:v>
      </x:c>
      <x:c r="D1846" s="19" t="str">
        <x:v>GNN=LOCAL_GNN1；相同优化的对照=LOCAL_PPO</x:v>
      </x:c>
      <x:c r="E1846" s="19" t="str">
        <x:v>控制正向配对</x:v>
      </x:c>
      <x:c r="F1846" s="19" t="str">
        <x:v>6/8</x:v>
      </x:c>
      <x:c r="G1846" s="19" t="str">
        <x:v>速度/计算</x:v>
      </x:c>
      <x:c r="H1846" s="19" t="str">
        <x:v>D:/Codex/GRL研究/outputs/grid34/GRID34_report.md</x:v>
      </x:c>
    </x:row>
    <x:row r="1847" ht="36" customHeight="1">
      <x:c r="A1847" s="19" t="str">
        <x:v>GRID34</x:v>
      </x:c>
      <x:c r="B1847" s="19" t="str">
        <x:v>GRID34_report.md</x:v>
      </x:c>
      <x:c r="C1847" s="19" t="str">
        <x:v>2. GRID34 所有强对照共享优化后的实际控制比较</x:v>
      </x:c>
      <x:c r="D1847" s="19" t="str">
        <x:v>GNN=LOCAL_GNN1；相同优化的对照=LOCAL_MLP0</x:v>
      </x:c>
      <x:c r="E1847" s="19" t="str">
        <x:v>相同优化的对照</x:v>
      </x:c>
      <x:c r="F1847" s="19" t="str">
        <x:v>LOCAL_MLP0</x:v>
      </x:c>
      <x:c r="G1847" s="19" t="str">
        <x:v>其他/配置</x:v>
      </x:c>
      <x:c r="H1847" s="19" t="str">
        <x:v>D:/Codex/GRL研究/outputs/grid34/GRID34_report.md</x:v>
      </x:c>
    </x:row>
    <x:row r="1848" ht="36" customHeight="1">
      <x:c r="A1848" s="19" t="str">
        <x:v>GRID34</x:v>
      </x:c>
      <x:c r="B1848" s="19" t="str">
        <x:v>GRID34_report.md</x:v>
      </x:c>
      <x:c r="C1848" s="19" t="str">
        <x:v>2. GRID34 所有强对照共享优化后的实际控制比较</x:v>
      </x:c>
      <x:c r="D1848" s="19" t="str">
        <x:v>GNN=LOCAL_GNN1；相同优化的对照=LOCAL_MLP0</x:v>
      </x:c>
      <x:c r="E1848" s="19" t="str">
        <x:v>控制时间减少</x:v>
      </x:c>
      <x:c r="F1848" s="19" t="str">
        <x:v>1.855%</x:v>
      </x:c>
      <x:c r="G1848" s="19" t="str">
        <x:v>速度/计算</x:v>
      </x:c>
      <x:c r="H1848" s="19" t="str">
        <x:v>D:/Codex/GRL研究/outputs/grid34/GRID34_report.md</x:v>
      </x:c>
    </x:row>
    <x:row r="1849" ht="36" customHeight="1">
      <x:c r="A1849" s="19" t="str">
        <x:v>GRID34</x:v>
      </x:c>
      <x:c r="B1849" s="19" t="str">
        <x:v>GRID34_report.md</x:v>
      </x:c>
      <x:c r="C1849" s="19" t="str">
        <x:v>2. GRID34 所有强对照共享优化后的实际控制比较</x:v>
      </x:c>
      <x:c r="D1849" s="19" t="str">
        <x:v>GNN=LOCAL_GNN1；相同优化的对照=LOCAL_MLP0</x:v>
      </x:c>
      <x:c r="E1849" s="19" t="str">
        <x:v>查询减少</x:v>
      </x:c>
      <x:c r="F1849" s="19" t="str">
        <x:v>5.755%</x:v>
      </x:c>
      <x:c r="G1849" s="19" t="str">
        <x:v>速度/计算</x:v>
      </x:c>
      <x:c r="H1849" s="19" t="str">
        <x:v>D:/Codex/GRL研究/outputs/grid34/GRID34_report.md</x:v>
      </x:c>
    </x:row>
    <x:row r="1850" ht="36" customHeight="1">
      <x:c r="A1850" s="19" t="str">
        <x:v>GRID34</x:v>
      </x:c>
      <x:c r="B1850" s="19" t="str">
        <x:v>GRID34_report.md</x:v>
      </x:c>
      <x:c r="C1850" s="19" t="str">
        <x:v>2. GRID34 所有强对照共享优化后的实际控制比较</x:v>
      </x:c>
      <x:c r="D1850" s="19" t="str">
        <x:v>GNN=LOCAL_GNN1；相同优化的对照=LOCAL_MLP0</x:v>
      </x:c>
      <x:c r="E1850" s="19" t="str">
        <x:v>搜索时间减少</x:v>
      </x:c>
      <x:c r="F1850" s="19" t="str">
        <x:v>7.127%</x:v>
      </x:c>
      <x:c r="G1850" s="19" t="str">
        <x:v>速度/计算</x:v>
      </x:c>
      <x:c r="H1850" s="19" t="str">
        <x:v>D:/Codex/GRL研究/outputs/grid34/GRID34_report.md</x:v>
      </x:c>
    </x:row>
    <x:row r="1851" ht="36" customHeight="1">
      <x:c r="A1851" s="19" t="str">
        <x:v>GRID34</x:v>
      </x:c>
      <x:c r="B1851" s="19" t="str">
        <x:v>GRID34_report.md</x:v>
      </x:c>
      <x:c r="C1851" s="19" t="str">
        <x:v>2. GRID34 所有强对照共享优化后的实际控制比较</x:v>
      </x:c>
      <x:c r="D1851" s="19" t="str">
        <x:v>GNN=LOCAL_GNN1；相同优化的对照=LOCAL_MLP0</x:v>
      </x:c>
      <x:c r="E1851" s="19" t="str">
        <x:v>控制正向配对</x:v>
      </x:c>
      <x:c r="F1851" s="19" t="str">
        <x:v>7/8</x:v>
      </x:c>
      <x:c r="G1851" s="19" t="str">
        <x:v>速度/计算</x:v>
      </x:c>
      <x:c r="H1851" s="19" t="str">
        <x:v>D:/Codex/GRL研究/outputs/grid34/GRID34_report.md</x:v>
      </x:c>
    </x:row>
    <x:row r="1852" ht="36" customHeight="1">
      <x:c r="A1852" s="19" t="str">
        <x:v>GRID34</x:v>
      </x:c>
      <x:c r="B1852" s="19" t="str">
        <x:v>GRID34_report.md</x:v>
      </x:c>
      <x:c r="C1852" s="19" t="str">
        <x:v>2. GRID34 所有强对照共享优化后的实际控制比较</x:v>
      </x:c>
      <x:c r="D1852" s="19" t="str">
        <x:v>GNN=LOCAL_GNN1；相同优化的对照=LOCAL_MLP1</x:v>
      </x:c>
      <x:c r="E1852" s="19" t="str">
        <x:v>相同优化的对照</x:v>
      </x:c>
      <x:c r="F1852" s="19" t="str">
        <x:v>LOCAL_MLP1</x:v>
      </x:c>
      <x:c r="G1852" s="19" t="str">
        <x:v>其他/配置</x:v>
      </x:c>
      <x:c r="H1852" s="19" t="str">
        <x:v>D:/Codex/GRL研究/outputs/grid34/GRID34_report.md</x:v>
      </x:c>
    </x:row>
    <x:row r="1853" ht="36" customHeight="1">
      <x:c r="A1853" s="19" t="str">
        <x:v>GRID34</x:v>
      </x:c>
      <x:c r="B1853" s="19" t="str">
        <x:v>GRID34_report.md</x:v>
      </x:c>
      <x:c r="C1853" s="19" t="str">
        <x:v>2. GRID34 所有强对照共享优化后的实际控制比较</x:v>
      </x:c>
      <x:c r="D1853" s="19" t="str">
        <x:v>GNN=LOCAL_GNN1；相同优化的对照=LOCAL_MLP1</x:v>
      </x:c>
      <x:c r="E1853" s="19" t="str">
        <x:v>控制时间减少</x:v>
      </x:c>
      <x:c r="F1853" s="19" t="str">
        <x:v>0.824%</x:v>
      </x:c>
      <x:c r="G1853" s="19" t="str">
        <x:v>速度/计算</x:v>
      </x:c>
      <x:c r="H1853" s="19" t="str">
        <x:v>D:/Codex/GRL研究/outputs/grid34/GRID34_report.md</x:v>
      </x:c>
    </x:row>
    <x:row r="1854" ht="36" customHeight="1">
      <x:c r="A1854" s="19" t="str">
        <x:v>GRID34</x:v>
      </x:c>
      <x:c r="B1854" s="19" t="str">
        <x:v>GRID34_report.md</x:v>
      </x:c>
      <x:c r="C1854" s="19" t="str">
        <x:v>2. GRID34 所有强对照共享优化后的实际控制比较</x:v>
      </x:c>
      <x:c r="D1854" s="19" t="str">
        <x:v>GNN=LOCAL_GNN1；相同优化的对照=LOCAL_MLP1</x:v>
      </x:c>
      <x:c r="E1854" s="19" t="str">
        <x:v>查询减少</x:v>
      </x:c>
      <x:c r="F1854" s="19" t="str">
        <x:v>4.370%</x:v>
      </x:c>
      <x:c r="G1854" s="19" t="str">
        <x:v>速度/计算</x:v>
      </x:c>
      <x:c r="H1854" s="19" t="str">
        <x:v>D:/Codex/GRL研究/outputs/grid34/GRID34_report.md</x:v>
      </x:c>
    </x:row>
    <x:row r="1855" ht="36" customHeight="1">
      <x:c r="A1855" s="19" t="str">
        <x:v>GRID34</x:v>
      </x:c>
      <x:c r="B1855" s="19" t="str">
        <x:v>GRID34_report.md</x:v>
      </x:c>
      <x:c r="C1855" s="19" t="str">
        <x:v>2. GRID34 所有强对照共享优化后的实际控制比较</x:v>
      </x:c>
      <x:c r="D1855" s="19" t="str">
        <x:v>GNN=LOCAL_GNN1；相同优化的对照=LOCAL_MLP1</x:v>
      </x:c>
      <x:c r="E1855" s="19" t="str">
        <x:v>搜索时间减少</x:v>
      </x:c>
      <x:c r="F1855" s="19" t="str">
        <x:v>3.383%</x:v>
      </x:c>
      <x:c r="G1855" s="19" t="str">
        <x:v>速度/计算</x:v>
      </x:c>
      <x:c r="H1855" s="19" t="str">
        <x:v>D:/Codex/GRL研究/outputs/grid34/GRID34_report.md</x:v>
      </x:c>
    </x:row>
    <x:row r="1856" ht="36" customHeight="1">
      <x:c r="A1856" s="19" t="str">
        <x:v>GRID34</x:v>
      </x:c>
      <x:c r="B1856" s="19" t="str">
        <x:v>GRID34_report.md</x:v>
      </x:c>
      <x:c r="C1856" s="19" t="str">
        <x:v>2. GRID34 所有强对照共享优化后的实际控制比较</x:v>
      </x:c>
      <x:c r="D1856" s="19" t="str">
        <x:v>GNN=LOCAL_GNN1；相同优化的对照=LOCAL_MLP1</x:v>
      </x:c>
      <x:c r="E1856" s="19" t="str">
        <x:v>控制正向配对</x:v>
      </x:c>
      <x:c r="F1856" s="19" t="str">
        <x:v>6/8</x:v>
      </x:c>
      <x:c r="G1856" s="19" t="str">
        <x:v>速度/计算</x:v>
      </x:c>
      <x:c r="H1856" s="19" t="str">
        <x:v>D:/Codex/GRL研究/outputs/grid34/GRID34_report.md</x:v>
      </x:c>
    </x:row>
    <x:row r="1857" ht="36" customHeight="1">
      <x:c r="A1857" s="19" t="str">
        <x:v>GRID35</x:v>
      </x:c>
      <x:c r="B1857" s="19" t="str">
        <x:v>GRID35_report.md</x:v>
      </x:c>
      <x:c r="C1857" s="19" t="str">
        <x:v>1. GRID35 两个非学习顺序对照</x:v>
      </x:c>
      <x:c r="D1857" s="19" t="str">
        <x:v>顺序=STATIC_ID；查询=7879</x:v>
      </x:c>
      <x:c r="E1857" s="19" t="str">
        <x:v>查询</x:v>
      </x:c>
      <x:c r="F1857" s="19" t="str">
        <x:v>7879</x:v>
      </x:c>
      <x:c r="G1857" s="19" t="str">
        <x:v>速度/计算</x:v>
      </x:c>
      <x:c r="H1857" s="19" t="str">
        <x:v>D:/Codex/GRL研究/outputs/grid35/GRID35_report.md</x:v>
      </x:c>
    </x:row>
    <x:row r="1858" ht="36" customHeight="1">
      <x:c r="A1858" s="19" t="str">
        <x:v>GRID35</x:v>
      </x:c>
      <x:c r="B1858" s="19" t="str">
        <x:v>GRID35_report.md</x:v>
      </x:c>
      <x:c r="C1858" s="19" t="str">
        <x:v>1. GRID35 两个非学习顺序对照</x:v>
      </x:c>
      <x:c r="D1858" s="19" t="str">
        <x:v>顺序=STATIC_ID；查询=7879</x:v>
      </x:c>
      <x:c r="E1858" s="19" t="str">
        <x:v>同FULL选择</x:v>
      </x:c>
      <x:c r="F1858" s="19" t="str">
        <x:v>21/26</x:v>
      </x:c>
      <x:c r="G1858" s="19" t="str">
        <x:v>质量/成本</x:v>
      </x:c>
      <x:c r="H1858" s="19" t="str">
        <x:v>D:/Codex/GRL研究/outputs/grid35/GRID35_report.md</x:v>
      </x:c>
    </x:row>
    <x:row r="1859" ht="36" customHeight="1">
      <x:c r="A1859" s="19" t="str">
        <x:v>GRID35</x:v>
      </x:c>
      <x:c r="B1859" s="19" t="str">
        <x:v>GRID35_report.md</x:v>
      </x:c>
      <x:c r="C1859" s="19" t="str">
        <x:v>1. GRID35 两个非学习顺序对照</x:v>
      </x:c>
      <x:c r="D1859" s="19" t="str">
        <x:v>顺序=STATIC_ID；查询=7879</x:v>
      </x:c>
      <x:c r="E1859" s="19" t="str">
        <x:v>最大rho差</x:v>
      </x:c>
      <x:c r="F1859" s="19" t="str">
        <x:v>0.0168152</x:v>
      </x:c>
      <x:c r="G1859" s="19" t="str">
        <x:v>质量/成本</x:v>
      </x:c>
      <x:c r="H1859" s="19" t="str">
        <x:v>D:/Codex/GRL研究/outputs/grid35/GRID35_report.md</x:v>
      </x:c>
    </x:row>
    <x:row r="1860" ht="36" customHeight="1">
      <x:c r="A1860" s="19" t="str">
        <x:v>GRID35</x:v>
      </x:c>
      <x:c r="B1860" s="19" t="str">
        <x:v>GRID35_report.md</x:v>
      </x:c>
      <x:c r="C1860" s="19" t="str">
        <x:v>1. GRID35 两个非学习顺序对照</x:v>
      </x:c>
      <x:c r="D1860" s="19" t="str">
        <x:v>顺序=STATIC_ID；查询=7879</x:v>
      </x:c>
      <x:c r="E1860" s="19" t="str">
        <x:v>找回1733关键动作</x:v>
      </x:c>
      <x:c r="F1860" s="19" t="str">
        <x:v>True</x:v>
      </x:c>
      <x:c r="G1860" s="19" t="str">
        <x:v>其他/配置</x:v>
      </x:c>
      <x:c r="H1860" s="19" t="str">
        <x:v>D:/Codex/GRL研究/outputs/grid35/GRID35_report.md</x:v>
      </x:c>
    </x:row>
    <x:row r="1861" ht="36" customHeight="1">
      <x:c r="A1861" s="19" t="str">
        <x:v>GRID35</x:v>
      </x:c>
      <x:c r="B1861" s="19" t="str">
        <x:v>GRID35_report.md</x:v>
      </x:c>
      <x:c r="C1861" s="19" t="str">
        <x:v>1. GRID35 两个非学习顺序对照</x:v>
      </x:c>
      <x:c r="D1861" s="19" t="str">
        <x:v>顺序=LOCAL_STRESS；查询=6965</x:v>
      </x:c>
      <x:c r="E1861" s="19" t="str">
        <x:v>查询</x:v>
      </x:c>
      <x:c r="F1861" s="19" t="str">
        <x:v>6965</x:v>
      </x:c>
      <x:c r="G1861" s="19" t="str">
        <x:v>速度/计算</x:v>
      </x:c>
      <x:c r="H1861" s="19" t="str">
        <x:v>D:/Codex/GRL研究/outputs/grid35/GRID35_report.md</x:v>
      </x:c>
    </x:row>
    <x:row r="1862" ht="36" customHeight="1">
      <x:c r="A1862" s="19" t="str">
        <x:v>GRID35</x:v>
      </x:c>
      <x:c r="B1862" s="19" t="str">
        <x:v>GRID35_report.md</x:v>
      </x:c>
      <x:c r="C1862" s="19" t="str">
        <x:v>1. GRID35 两个非学习顺序对照</x:v>
      </x:c>
      <x:c r="D1862" s="19" t="str">
        <x:v>顺序=LOCAL_STRESS；查询=6965</x:v>
      </x:c>
      <x:c r="E1862" s="19" t="str">
        <x:v>同FULL选择</x:v>
      </x:c>
      <x:c r="F1862" s="19" t="str">
        <x:v>17/26</x:v>
      </x:c>
      <x:c r="G1862" s="19" t="str">
        <x:v>质量/成本</x:v>
      </x:c>
      <x:c r="H1862" s="19" t="str">
        <x:v>D:/Codex/GRL研究/outputs/grid35/GRID35_report.md</x:v>
      </x:c>
    </x:row>
    <x:row r="1863" ht="36" customHeight="1">
      <x:c r="A1863" s="19" t="str">
        <x:v>GRID35</x:v>
      </x:c>
      <x:c r="B1863" s="19" t="str">
        <x:v>GRID35_report.md</x:v>
      </x:c>
      <x:c r="C1863" s="19" t="str">
        <x:v>1. GRID35 两个非学习顺序对照</x:v>
      </x:c>
      <x:c r="D1863" s="19" t="str">
        <x:v>顺序=LOCAL_STRESS；查询=6965</x:v>
      </x:c>
      <x:c r="E1863" s="19" t="str">
        <x:v>最大rho差</x:v>
      </x:c>
      <x:c r="F1863" s="19" t="str">
        <x:v>0.0336139</x:v>
      </x:c>
      <x:c r="G1863" s="19" t="str">
        <x:v>质量/成本</x:v>
      </x:c>
      <x:c r="H1863" s="19" t="str">
        <x:v>D:/Codex/GRL研究/outputs/grid35/GRID35_report.md</x:v>
      </x:c>
    </x:row>
    <x:row r="1864" ht="36" customHeight="1">
      <x:c r="A1864" s="19" t="str">
        <x:v>GRID35</x:v>
      </x:c>
      <x:c r="B1864" s="19" t="str">
        <x:v>GRID35_report.md</x:v>
      </x:c>
      <x:c r="C1864" s="19" t="str">
        <x:v>1. GRID35 两个非学习顺序对照</x:v>
      </x:c>
      <x:c r="D1864" s="19" t="str">
        <x:v>顺序=LOCAL_STRESS；查询=6965</x:v>
      </x:c>
      <x:c r="E1864" s="19" t="str">
        <x:v>找回1733关键动作</x:v>
      </x:c>
      <x:c r="F1864" s="19" t="str">
        <x:v>True</x:v>
      </x:c>
      <x:c r="G1864" s="19" t="str">
        <x:v>其他/配置</x:v>
      </x:c>
      <x:c r="H1864" s="19" t="str">
        <x:v>D:/Codex/GRL研究/outputs/grid35/GRID35_report.md</x:v>
      </x:c>
    </x:row>
    <x:row r="1865" ht="36" customHeight="1">
      <x:c r="A1865" s="19" t="str">
        <x:v>GRID35</x:v>
      </x:c>
      <x:c r="B1865" s="19" t="str">
        <x:v>GRID35_report.md</x:v>
      </x:c>
      <x:c r="C1865" s="19" t="str">
        <x:v>1. GRID35 两个非学习顺序对照</x:v>
      </x:c>
      <x:c r="D1865" s="19" t="str">
        <x:v>顺序=GNN0 (GRID33)；查询=7358</x:v>
      </x:c>
      <x:c r="E1865" s="19" t="str">
        <x:v>查询</x:v>
      </x:c>
      <x:c r="F1865" s="19" t="str">
        <x:v>7358</x:v>
      </x:c>
      <x:c r="G1865" s="19" t="str">
        <x:v>速度/计算</x:v>
      </x:c>
      <x:c r="H1865" s="19" t="str">
        <x:v>D:/Codex/GRL研究/outputs/grid35/GRID35_report.md</x:v>
      </x:c>
    </x:row>
    <x:row r="1866" ht="36" customHeight="1">
      <x:c r="A1866" s="19" t="str">
        <x:v>GRID35</x:v>
      </x:c>
      <x:c r="B1866" s="19" t="str">
        <x:v>GRID35_report.md</x:v>
      </x:c>
      <x:c r="C1866" s="19" t="str">
        <x:v>1. GRID35 两个非学习顺序对照</x:v>
      </x:c>
      <x:c r="D1866" s="19" t="str">
        <x:v>顺序=GNN0 (GRID33)；查询=7358</x:v>
      </x:c>
      <x:c r="E1866" s="19" t="str">
        <x:v>同FULL选择</x:v>
      </x:c>
      <x:c r="F1866" s="19" t="str">
        <x:v>24/26</x:v>
      </x:c>
      <x:c r="G1866" s="19" t="str">
        <x:v>质量/成本</x:v>
      </x:c>
      <x:c r="H1866" s="19" t="str">
        <x:v>D:/Codex/GRL研究/outputs/grid35/GRID35_report.md</x:v>
      </x:c>
    </x:row>
    <x:row r="1867" ht="36" customHeight="1">
      <x:c r="A1867" s="19" t="str">
        <x:v>GRID35</x:v>
      </x:c>
      <x:c r="B1867" s="19" t="str">
        <x:v>GRID35_report.md</x:v>
      </x:c>
      <x:c r="C1867" s="19" t="str">
        <x:v>1. GRID35 两个非学习顺序对照</x:v>
      </x:c>
      <x:c r="D1867" s="19" t="str">
        <x:v>顺序=GNN0 (GRID33)；查询=7358</x:v>
      </x:c>
      <x:c r="E1867" s="19" t="str">
        <x:v>最大rho差</x:v>
      </x:c>
      <x:c r="F1867" s="19" t="str">
        <x:v>0.0001174</x:v>
      </x:c>
      <x:c r="G1867" s="19" t="str">
        <x:v>质量/成本</x:v>
      </x:c>
      <x:c r="H1867" s="19" t="str">
        <x:v>D:/Codex/GRL研究/outputs/grid35/GRID35_report.md</x:v>
      </x:c>
    </x:row>
    <x:row r="1868" ht="36" customHeight="1">
      <x:c r="A1868" s="19" t="str">
        <x:v>GRID35</x:v>
      </x:c>
      <x:c r="B1868" s="19" t="str">
        <x:v>GRID35_report.md</x:v>
      </x:c>
      <x:c r="C1868" s="19" t="str">
        <x:v>1. GRID35 两个非学习顺序对照</x:v>
      </x:c>
      <x:c r="D1868" s="19" t="str">
        <x:v>顺序=GNN0 (GRID33)；查询=7358</x:v>
      </x:c>
      <x:c r="E1868" s="19" t="str">
        <x:v>找回1733关键动作</x:v>
      </x:c>
      <x:c r="F1868" s="19" t="str">
        <x:v>True</x:v>
      </x:c>
      <x:c r="G1868" s="19" t="str">
        <x:v>其他/配置</x:v>
      </x:c>
      <x:c r="H1868" s="19" t="str">
        <x:v>D:/Codex/GRL研究/outputs/grid35/GRID35_report.md</x:v>
      </x:c>
    </x:row>
    <x:row r="1869" ht="36" customHeight="1">
      <x:c r="A1869" s="19" t="str">
        <x:v>GRID35</x:v>
      </x:c>
      <x:c r="B1869" s="19" t="str">
        <x:v>GRID35_report.md</x:v>
      </x:c>
      <x:c r="C1869" s="19" t="str">
        <x:v>1. GRID35 两个非学习顺序对照</x:v>
      </x:c>
      <x:c r="D1869" s="19" t="str">
        <x:v>顺序=GNN1 (GRID33)；查询=7530</x:v>
      </x:c>
      <x:c r="E1869" s="19" t="str">
        <x:v>查询</x:v>
      </x:c>
      <x:c r="F1869" s="19" t="str">
        <x:v>7530</x:v>
      </x:c>
      <x:c r="G1869" s="19" t="str">
        <x:v>速度/计算</x:v>
      </x:c>
      <x:c r="H1869" s="19" t="str">
        <x:v>D:/Codex/GRL研究/outputs/grid35/GRID35_report.md</x:v>
      </x:c>
    </x:row>
    <x:row r="1870" ht="36" customHeight="1">
      <x:c r="A1870" s="19" t="str">
        <x:v>GRID35</x:v>
      </x:c>
      <x:c r="B1870" s="19" t="str">
        <x:v>GRID35_report.md</x:v>
      </x:c>
      <x:c r="C1870" s="19" t="str">
        <x:v>1. GRID35 两个非学习顺序对照</x:v>
      </x:c>
      <x:c r="D1870" s="19" t="str">
        <x:v>顺序=GNN1 (GRID33)；查询=7530</x:v>
      </x:c>
      <x:c r="E1870" s="19" t="str">
        <x:v>同FULL选择</x:v>
      </x:c>
      <x:c r="F1870" s="19" t="str">
        <x:v>25/26</x:v>
      </x:c>
      <x:c r="G1870" s="19" t="str">
        <x:v>质量/成本</x:v>
      </x:c>
      <x:c r="H1870" s="19" t="str">
        <x:v>D:/Codex/GRL研究/outputs/grid35/GRID35_report.md</x:v>
      </x:c>
    </x:row>
    <x:row r="1871" ht="36" customHeight="1">
      <x:c r="A1871" s="19" t="str">
        <x:v>GRID35</x:v>
      </x:c>
      <x:c r="B1871" s="19" t="str">
        <x:v>GRID35_report.md</x:v>
      </x:c>
      <x:c r="C1871" s="19" t="str">
        <x:v>1. GRID35 两个非学习顺序对照</x:v>
      </x:c>
      <x:c r="D1871" s="19" t="str">
        <x:v>顺序=GNN1 (GRID33)；查询=7530</x:v>
      </x:c>
      <x:c r="E1871" s="19" t="str">
        <x:v>最大rho差</x:v>
      </x:c>
      <x:c r="F1871" s="19" t="str">
        <x:v>0.0000000</x:v>
      </x:c>
      <x:c r="G1871" s="19" t="str">
        <x:v>质量/成本</x:v>
      </x:c>
      <x:c r="H1871" s="19" t="str">
        <x:v>D:/Codex/GRL研究/outputs/grid35/GRID35_report.md</x:v>
      </x:c>
    </x:row>
    <x:row r="1872" ht="36" customHeight="1">
      <x:c r="A1872" s="19" t="str">
        <x:v>GRID35</x:v>
      </x:c>
      <x:c r="B1872" s="19" t="str">
        <x:v>GRID35_report.md</x:v>
      </x:c>
      <x:c r="C1872" s="19" t="str">
        <x:v>1. GRID35 两个非学习顺序对照</x:v>
      </x:c>
      <x:c r="D1872" s="19" t="str">
        <x:v>顺序=GNN1 (GRID33)；查询=7530</x:v>
      </x:c>
      <x:c r="E1872" s="19" t="str">
        <x:v>找回1733关键动作</x:v>
      </x:c>
      <x:c r="F1872" s="19" t="str">
        <x:v>True</x:v>
      </x:c>
      <x:c r="G1872" s="19" t="str">
        <x:v>其他/配置</x:v>
      </x:c>
      <x:c r="H1872" s="19" t="str">
        <x:v>D:/Codex/GRL研究/outputs/grid35/GRID35_report.md</x:v>
      </x:c>
    </x:row>
    <x:row r="1873" ht="36" customHeight="1">
      <x:c r="A1873" s="19" t="str">
        <x:v>GRID35</x:v>
      </x:c>
      <x:c r="B1873" s="19" t="str">
        <x:v>GRID35_report.md</x:v>
      </x:c>
      <x:c r="C1873" s="19" t="str">
        <x:v>1. GRID35 两个非学习顺序对照</x:v>
      </x:c>
      <x:c r="D1873" s="19" t="str">
        <x:v>顺序=MLP0 (GRID33)；查询=7549</x:v>
      </x:c>
      <x:c r="E1873" s="19" t="str">
        <x:v>查询</x:v>
      </x:c>
      <x:c r="F1873" s="19" t="str">
        <x:v>7549</x:v>
      </x:c>
      <x:c r="G1873" s="19" t="str">
        <x:v>速度/计算</x:v>
      </x:c>
      <x:c r="H1873" s="19" t="str">
        <x:v>D:/Codex/GRL研究/outputs/grid35/GRID35_report.md</x:v>
      </x:c>
    </x:row>
    <x:row r="1874" ht="36" customHeight="1">
      <x:c r="A1874" s="19" t="str">
        <x:v>GRID35</x:v>
      </x:c>
      <x:c r="B1874" s="19" t="str">
        <x:v>GRID35_report.md</x:v>
      </x:c>
      <x:c r="C1874" s="19" t="str">
        <x:v>1. GRID35 两个非学习顺序对照</x:v>
      </x:c>
      <x:c r="D1874" s="19" t="str">
        <x:v>顺序=MLP0 (GRID33)；查询=7549</x:v>
      </x:c>
      <x:c r="E1874" s="19" t="str">
        <x:v>同FULL选择</x:v>
      </x:c>
      <x:c r="F1874" s="19" t="str">
        <x:v>25/26</x:v>
      </x:c>
      <x:c r="G1874" s="19" t="str">
        <x:v>质量/成本</x:v>
      </x:c>
      <x:c r="H1874" s="19" t="str">
        <x:v>D:/Codex/GRL研究/outputs/grid35/GRID35_report.md</x:v>
      </x:c>
    </x:row>
    <x:row r="1875" ht="36" customHeight="1">
      <x:c r="A1875" s="19" t="str">
        <x:v>GRID35</x:v>
      </x:c>
      <x:c r="B1875" s="19" t="str">
        <x:v>GRID35_report.md</x:v>
      </x:c>
      <x:c r="C1875" s="19" t="str">
        <x:v>1. GRID35 两个非学习顺序对照</x:v>
      </x:c>
      <x:c r="D1875" s="19" t="str">
        <x:v>顺序=MLP0 (GRID33)；查询=7549</x:v>
      </x:c>
      <x:c r="E1875" s="19" t="str">
        <x:v>最大rho差</x:v>
      </x:c>
      <x:c r="F1875" s="19" t="str">
        <x:v>0.0029137</x:v>
      </x:c>
      <x:c r="G1875" s="19" t="str">
        <x:v>质量/成本</x:v>
      </x:c>
      <x:c r="H1875" s="19" t="str">
        <x:v>D:/Codex/GRL研究/outputs/grid35/GRID35_report.md</x:v>
      </x:c>
    </x:row>
    <x:row r="1876" ht="36" customHeight="1">
      <x:c r="A1876" s="19" t="str">
        <x:v>GRID35</x:v>
      </x:c>
      <x:c r="B1876" s="19" t="str">
        <x:v>GRID35_report.md</x:v>
      </x:c>
      <x:c r="C1876" s="19" t="str">
        <x:v>1. GRID35 两个非学习顺序对照</x:v>
      </x:c>
      <x:c r="D1876" s="19" t="str">
        <x:v>顺序=MLP0 (GRID33)；查询=7549</x:v>
      </x:c>
      <x:c r="E1876" s="19" t="str">
        <x:v>找回1733关键动作</x:v>
      </x:c>
      <x:c r="F1876" s="19" t="str">
        <x:v>True</x:v>
      </x:c>
      <x:c r="G1876" s="19" t="str">
        <x:v>其他/配置</x:v>
      </x:c>
      <x:c r="H1876" s="19" t="str">
        <x:v>D:/Codex/GRL研究/outputs/grid35/GRID35_report.md</x:v>
      </x:c>
    </x:row>
    <x:row r="1877" ht="36" customHeight="1">
      <x:c r="A1877" s="19" t="str">
        <x:v>GRID35</x:v>
      </x:c>
      <x:c r="B1877" s="19" t="str">
        <x:v>GRID35_report.md</x:v>
      </x:c>
      <x:c r="C1877" s="19" t="str">
        <x:v>1. GRID35 两个非学习顺序对照</x:v>
      </x:c>
      <x:c r="D1877" s="19" t="str">
        <x:v>顺序=MLP1 (GRID33)；查询=7826</x:v>
      </x:c>
      <x:c r="E1877" s="19" t="str">
        <x:v>查询</x:v>
      </x:c>
      <x:c r="F1877" s="19" t="str">
        <x:v>7826</x:v>
      </x:c>
      <x:c r="G1877" s="19" t="str">
        <x:v>速度/计算</x:v>
      </x:c>
      <x:c r="H1877" s="19" t="str">
        <x:v>D:/Codex/GRL研究/outputs/grid35/GRID35_report.md</x:v>
      </x:c>
    </x:row>
    <x:row r="1878" ht="36" customHeight="1">
      <x:c r="A1878" s="19" t="str">
        <x:v>GRID35</x:v>
      </x:c>
      <x:c r="B1878" s="19" t="str">
        <x:v>GRID35_report.md</x:v>
      </x:c>
      <x:c r="C1878" s="19" t="str">
        <x:v>1. GRID35 两个非学习顺序对照</x:v>
      </x:c>
      <x:c r="D1878" s="19" t="str">
        <x:v>顺序=MLP1 (GRID33)；查询=7826</x:v>
      </x:c>
      <x:c r="E1878" s="19" t="str">
        <x:v>同FULL选择</x:v>
      </x:c>
      <x:c r="F1878" s="19" t="str">
        <x:v>26/26</x:v>
      </x:c>
      <x:c r="G1878" s="19" t="str">
        <x:v>质量/成本</x:v>
      </x:c>
      <x:c r="H1878" s="19" t="str">
        <x:v>D:/Codex/GRL研究/outputs/grid35/GRID35_report.md</x:v>
      </x:c>
    </x:row>
    <x:row r="1879" ht="36" customHeight="1">
      <x:c r="A1879" s="19" t="str">
        <x:v>GRID35</x:v>
      </x:c>
      <x:c r="B1879" s="19" t="str">
        <x:v>GRID35_report.md</x:v>
      </x:c>
      <x:c r="C1879" s="19" t="str">
        <x:v>1. GRID35 两个非学习顺序对照</x:v>
      </x:c>
      <x:c r="D1879" s="19" t="str">
        <x:v>顺序=MLP1 (GRID33)；查询=7826</x:v>
      </x:c>
      <x:c r="E1879" s="19" t="str">
        <x:v>最大rho差</x:v>
      </x:c>
      <x:c r="F1879" s="19" t="str">
        <x:v>0.0000000</x:v>
      </x:c>
      <x:c r="G1879" s="19" t="str">
        <x:v>质量/成本</x:v>
      </x:c>
      <x:c r="H1879" s="19" t="str">
        <x:v>D:/Codex/GRL研究/outputs/grid35/GRID35_report.md</x:v>
      </x:c>
    </x:row>
    <x:row r="1880" ht="36" customHeight="1">
      <x:c r="A1880" s="19" t="str">
        <x:v>GRID35</x:v>
      </x:c>
      <x:c r="B1880" s="19" t="str">
        <x:v>GRID35_report.md</x:v>
      </x:c>
      <x:c r="C1880" s="19" t="str">
        <x:v>1. GRID35 两个非学习顺序对照</x:v>
      </x:c>
      <x:c r="D1880" s="19" t="str">
        <x:v>顺序=MLP1 (GRID33)；查询=7826</x:v>
      </x:c>
      <x:c r="E1880" s="19" t="str">
        <x:v>找回1733关键动作</x:v>
      </x:c>
      <x:c r="F1880" s="19" t="str">
        <x:v>True</x:v>
      </x:c>
      <x:c r="G1880" s="19" t="str">
        <x:v>其他/配置</x:v>
      </x:c>
      <x:c r="H1880" s="19" t="str">
        <x:v>D:/Codex/GRL研究/outputs/grid35/GRID35_report.md</x:v>
      </x:c>
    </x:row>
    <x:row r="1881" ht="36" customHeight="1">
      <x:c r="A1881" s="19" t="str">
        <x:v>GRID35</x:v>
      </x:c>
      <x:c r="B1881" s="19" t="str">
        <x:v>GRID35_report.md</x:v>
      </x:c>
      <x:c r="C1881" s="19" t="str">
        <x:v>1. GRID35 两个非学习顺序对照</x:v>
      </x:c>
      <x:c r="D1881" s="19" t="str">
        <x:v>顺序=PPO (GRID33)；查询=7823</x:v>
      </x:c>
      <x:c r="E1881" s="19" t="str">
        <x:v>查询</x:v>
      </x:c>
      <x:c r="F1881" s="19" t="str">
        <x:v>7823</x:v>
      </x:c>
      <x:c r="G1881" s="19" t="str">
        <x:v>速度/计算</x:v>
      </x:c>
      <x:c r="H1881" s="19" t="str">
        <x:v>D:/Codex/GRL研究/outputs/grid35/GRID35_report.md</x:v>
      </x:c>
    </x:row>
    <x:row r="1882" ht="36" customHeight="1">
      <x:c r="A1882" s="19" t="str">
        <x:v>GRID35</x:v>
      </x:c>
      <x:c r="B1882" s="19" t="str">
        <x:v>GRID35_report.md</x:v>
      </x:c>
      <x:c r="C1882" s="19" t="str">
        <x:v>1. GRID35 两个非学习顺序对照</x:v>
      </x:c>
      <x:c r="D1882" s="19" t="str">
        <x:v>顺序=PPO (GRID33)；查询=7823</x:v>
      </x:c>
      <x:c r="E1882" s="19" t="str">
        <x:v>同FULL选择</x:v>
      </x:c>
      <x:c r="F1882" s="19" t="str">
        <x:v>24/26</x:v>
      </x:c>
      <x:c r="G1882" s="19" t="str">
        <x:v>质量/成本</x:v>
      </x:c>
      <x:c r="H1882" s="19" t="str">
        <x:v>D:/Codex/GRL研究/outputs/grid35/GRID35_report.md</x:v>
      </x:c>
    </x:row>
    <x:row r="1883" ht="36" customHeight="1">
      <x:c r="A1883" s="19" t="str">
        <x:v>GRID35</x:v>
      </x:c>
      <x:c r="B1883" s="19" t="str">
        <x:v>GRID35_report.md</x:v>
      </x:c>
      <x:c r="C1883" s="19" t="str">
        <x:v>1. GRID35 两个非学习顺序对照</x:v>
      </x:c>
      <x:c r="D1883" s="19" t="str">
        <x:v>顺序=PPO (GRID33)；查询=7823</x:v>
      </x:c>
      <x:c r="E1883" s="19" t="str">
        <x:v>最大rho差</x:v>
      </x:c>
      <x:c r="F1883" s="19" t="str">
        <x:v>0.0001174</x:v>
      </x:c>
      <x:c r="G1883" s="19" t="str">
        <x:v>质量/成本</x:v>
      </x:c>
      <x:c r="H1883" s="19" t="str">
        <x:v>D:/Codex/GRL研究/outputs/grid35/GRID35_report.md</x:v>
      </x:c>
    </x:row>
    <x:row r="1884" ht="36" customHeight="1">
      <x:c r="A1884" s="19" t="str">
        <x:v>GRID35</x:v>
      </x:c>
      <x:c r="B1884" s="19" t="str">
        <x:v>GRID35_report.md</x:v>
      </x:c>
      <x:c r="C1884" s="19" t="str">
        <x:v>1. GRID35 两个非学习顺序对照</x:v>
      </x:c>
      <x:c r="D1884" s="19" t="str">
        <x:v>顺序=PPO (GRID33)；查询=7823</x:v>
      </x:c>
      <x:c r="E1884" s="19" t="str">
        <x:v>找回1733关键动作</x:v>
      </x:c>
      <x:c r="F1884" s="19" t="str">
        <x:v>True</x:v>
      </x:c>
      <x:c r="G1884" s="19" t="str">
        <x:v>其他/配置</x:v>
      </x:c>
      <x:c r="H1884" s="19" t="str">
        <x:v>D:/Codex/GRL研究/outputs/grid35/GRID35_report.md</x:v>
      </x:c>
    </x:row>
    <x:row r="1885" ht="36" customHeight="1">
      <x:c r="A1885" s="19" t="str">
        <x:v>GRID36</x:v>
      </x:c>
      <x:c r="B1885" s="19" t="str">
        <x:v>GRID36_report.md</x:v>
      </x:c>
      <x:c r="C1885" s="19" t="str">
        <x:v>1. GRID36 非学习排序闭环质量试点</x:v>
      </x:c>
      <x:c r="D1885" s="19" t="str">
        <x:v>顺序=STATIC_ID；完成/步数=True/2017</x:v>
      </x:c>
      <x:c r="E1885" s="19" t="str">
        <x:v>完成/步数</x:v>
      </x:c>
      <x:c r="F1885" s="19" t="str">
        <x:v>True/2017</x:v>
      </x:c>
      <x:c r="G1885" s="19" t="str">
        <x:v>质量/成本</x:v>
      </x:c>
      <x:c r="H1885" s="19" t="str">
        <x:v>D:/Codex/GRL研究/outputs/grid36/GRID36_report.md</x:v>
      </x:c>
    </x:row>
    <x:row r="1886" ht="36" customHeight="1">
      <x:c r="A1886" s="19" t="str">
        <x:v>GRID36</x:v>
      </x:c>
      <x:c r="B1886" s="19" t="str">
        <x:v>GRID36_report.md</x:v>
      </x:c>
      <x:c r="C1886" s="19" t="str">
        <x:v>1. GRID36 非学习排序闭环质量试点</x:v>
      </x:c>
      <x:c r="D1886" s="19" t="str">
        <x:v>顺序=STATIC_ID；完成/步数=True/2017</x:v>
      </x:c>
      <x:c r="E1886" s="19" t="str">
        <x:v>成本差(FULL)</x:v>
      </x:c>
      <x:c r="F1886" s="19" t="str">
        <x:v>0.37200%</x:v>
      </x:c>
      <x:c r="G1886" s="19" t="str">
        <x:v>质量/成本</x:v>
      </x:c>
      <x:c r="H1886" s="19" t="str">
        <x:v>D:/Codex/GRL研究/outputs/grid36/GRID36_report.md</x:v>
      </x:c>
    </x:row>
    <x:row r="1887" ht="36" customHeight="1">
      <x:c r="A1887" s="19" t="str">
        <x:v>GRID36</x:v>
      </x:c>
      <x:c r="B1887" s="19" t="str">
        <x:v>GRID36_report.md</x:v>
      </x:c>
      <x:c r="C1887" s="19" t="str">
        <x:v>1. GRID36 非学习排序闭环质量试点</x:v>
      </x:c>
      <x:c r="D1887" s="19" t="str">
        <x:v>顺序=STATIC_ID；完成/步数=True/2017</x:v>
      </x:c>
      <x:c r="E1887" s="19" t="str">
        <x:v>质量资格</x:v>
      </x:c>
      <x:c r="F1887" s="19" t="str">
        <x:v>True</x:v>
      </x:c>
      <x:c r="G1887" s="19" t="str">
        <x:v>质量/成本</x:v>
      </x:c>
      <x:c r="H1887" s="19" t="str">
        <x:v>D:/Codex/GRL研究/outputs/grid36/GRID36_report.md</x:v>
      </x:c>
    </x:row>
    <x:row r="1888" ht="36" customHeight="1">
      <x:c r="A1888" s="19" t="str">
        <x:v>GRID36</x:v>
      </x:c>
      <x:c r="B1888" s="19" t="str">
        <x:v>GRID36_report.md</x:v>
      </x:c>
      <x:c r="C1888" s="19" t="str">
        <x:v>1. GRID36 非学习排序闭环质量试点</x:v>
      </x:c>
      <x:c r="D1888" s="19" t="str">
        <x:v>顺序=STATIC_ID；完成/步数=True/2017</x:v>
      </x:c>
      <x:c r="E1888" s="19" t="str">
        <x:v>N1查询</x:v>
      </x:c>
      <x:c r="F1888" s="19" t="str">
        <x:v>3336</x:v>
      </x:c>
      <x:c r="G1888" s="19" t="str">
        <x:v>速度/计算</x:v>
      </x:c>
      <x:c r="H1888" s="19" t="str">
        <x:v>D:/Codex/GRL研究/outputs/grid36/GRID36_report.md</x:v>
      </x:c>
    </x:row>
    <x:row r="1889" ht="36" customHeight="1">
      <x:c r="A1889" s="19" t="str">
        <x:v>GRID36</x:v>
      </x:c>
      <x:c r="B1889" s="19" t="str">
        <x:v>GRID36_report.md</x:v>
      </x:c>
      <x:c r="C1889" s="19" t="str">
        <x:v>1. GRID36 非学习排序闭环质量试点</x:v>
      </x:c>
      <x:c r="D1889" s="19" t="str">
        <x:v>顺序=STATIC_ID；完成/步数=True/2017</x:v>
      </x:c>
      <x:c r="E1889" s="19" t="str">
        <x:v>控制秒(描述)</x:v>
      </x:c>
      <x:c r="F1889" s="19" t="str">
        <x:v>123.399</x:v>
      </x:c>
      <x:c r="G1889" s="19" t="str">
        <x:v>速度/计算</x:v>
      </x:c>
      <x:c r="H1889" s="19" t="str">
        <x:v>D:/Codex/GRL研究/outputs/grid36/GRID36_report.md</x:v>
      </x:c>
    </x:row>
    <x:row r="1890" ht="36" customHeight="1">
      <x:c r="A1890" s="19" t="str">
        <x:v>GRID36</x:v>
      </x:c>
      <x:c r="B1890" s="19" t="str">
        <x:v>GRID36_report.md</x:v>
      </x:c>
      <x:c r="C1890" s="19" t="str">
        <x:v>1. GRID36 非学习排序闭环质量试点</x:v>
      </x:c>
      <x:c r="D1890" s="19" t="str">
        <x:v>顺序=PHYSICS_TAIL；完成/步数=True/2017</x:v>
      </x:c>
      <x:c r="E1890" s="19" t="str">
        <x:v>完成/步数</x:v>
      </x:c>
      <x:c r="F1890" s="19" t="str">
        <x:v>True/2017</x:v>
      </x:c>
      <x:c r="G1890" s="19" t="str">
        <x:v>质量/成本</x:v>
      </x:c>
      <x:c r="H1890" s="19" t="str">
        <x:v>D:/Codex/GRL研究/outputs/grid36/GRID36_report.md</x:v>
      </x:c>
    </x:row>
    <x:row r="1891" ht="36" customHeight="1">
      <x:c r="A1891" s="19" t="str">
        <x:v>GRID36</x:v>
      </x:c>
      <x:c r="B1891" s="19" t="str">
        <x:v>GRID36_report.md</x:v>
      </x:c>
      <x:c r="C1891" s="19" t="str">
        <x:v>1. GRID36 非学习排序闭环质量试点</x:v>
      </x:c>
      <x:c r="D1891" s="19" t="str">
        <x:v>顺序=PHYSICS_TAIL；完成/步数=True/2017</x:v>
      </x:c>
      <x:c r="E1891" s="19" t="str">
        <x:v>成本差(FULL)</x:v>
      </x:c>
      <x:c r="F1891" s="19" t="str">
        <x:v>3.61164%</x:v>
      </x:c>
      <x:c r="G1891" s="19" t="str">
        <x:v>质量/成本</x:v>
      </x:c>
      <x:c r="H1891" s="19" t="str">
        <x:v>D:/Codex/GRL研究/outputs/grid36/GRID36_report.md</x:v>
      </x:c>
    </x:row>
    <x:row r="1892" ht="36" customHeight="1">
      <x:c r="A1892" s="19" t="str">
        <x:v>GRID36</x:v>
      </x:c>
      <x:c r="B1892" s="19" t="str">
        <x:v>GRID36_report.md</x:v>
      </x:c>
      <x:c r="C1892" s="19" t="str">
        <x:v>1. GRID36 非学习排序闭环质量试点</x:v>
      </x:c>
      <x:c r="D1892" s="19" t="str">
        <x:v>顺序=PHYSICS_TAIL；完成/步数=True/2017</x:v>
      </x:c>
      <x:c r="E1892" s="19" t="str">
        <x:v>质量资格</x:v>
      </x:c>
      <x:c r="F1892" s="19" t="str">
        <x:v>False</x:v>
      </x:c>
      <x:c r="G1892" s="19" t="str">
        <x:v>质量/成本</x:v>
      </x:c>
      <x:c r="H1892" s="19" t="str">
        <x:v>D:/Codex/GRL研究/outputs/grid36/GRID36_report.md</x:v>
      </x:c>
    </x:row>
    <x:row r="1893" ht="36" customHeight="1">
      <x:c r="A1893" s="19" t="str">
        <x:v>GRID36</x:v>
      </x:c>
      <x:c r="B1893" s="19" t="str">
        <x:v>GRID36_report.md</x:v>
      </x:c>
      <x:c r="C1893" s="19" t="str">
        <x:v>1. GRID36 非学习排序闭环质量试点</x:v>
      </x:c>
      <x:c r="D1893" s="19" t="str">
        <x:v>顺序=PHYSICS_TAIL；完成/步数=True/2017</x:v>
      </x:c>
      <x:c r="E1893" s="19" t="str">
        <x:v>N1查询</x:v>
      </x:c>
      <x:c r="F1893" s="19" t="str">
        <x:v>2706</x:v>
      </x:c>
      <x:c r="G1893" s="19" t="str">
        <x:v>速度/计算</x:v>
      </x:c>
      <x:c r="H1893" s="19" t="str">
        <x:v>D:/Codex/GRL研究/outputs/grid36/GRID36_report.md</x:v>
      </x:c>
    </x:row>
    <x:row r="1894" ht="36" customHeight="1">
      <x:c r="A1894" s="19" t="str">
        <x:v>GRID36</x:v>
      </x:c>
      <x:c r="B1894" s="19" t="str">
        <x:v>GRID36_report.md</x:v>
      </x:c>
      <x:c r="C1894" s="19" t="str">
        <x:v>1. GRID36 非学习排序闭环质量试点</x:v>
      </x:c>
      <x:c r="D1894" s="19" t="str">
        <x:v>顺序=PHYSICS_TAIL；完成/步数=True/2017</x:v>
      </x:c>
      <x:c r="E1894" s="19" t="str">
        <x:v>控制秒(描述)</x:v>
      </x:c>
      <x:c r="F1894" s="19" t="str">
        <x:v>130.534</x:v>
      </x:c>
      <x:c r="G1894" s="19" t="str">
        <x:v>速度/计算</x:v>
      </x:c>
      <x:c r="H1894" s="19" t="str">
        <x:v>D:/Codex/GRL研究/outputs/grid36/GRID36_report.md</x:v>
      </x:c>
    </x:row>
    <x:row r="1895" ht="36" customHeight="1">
      <x:c r="A1895" s="19" t="str">
        <x:v>GRID36</x:v>
      </x:c>
      <x:c r="B1895" s="19" t="str">
        <x:v>GRID36_report.md</x:v>
      </x:c>
      <x:c r="C1895" s="19" t="str">
        <x:v>1. GRID36 非学习排序闭环质量试点</x:v>
      </x:c>
      <x:c r="D1895" s="19" t="str">
        <x:v>顺序=LOCAL_STRESS；完成/步数=True/2017</x:v>
      </x:c>
      <x:c r="E1895" s="19" t="str">
        <x:v>完成/步数</x:v>
      </x:c>
      <x:c r="F1895" s="19" t="str">
        <x:v>True/2017</x:v>
      </x:c>
      <x:c r="G1895" s="19" t="str">
        <x:v>质量/成本</x:v>
      </x:c>
      <x:c r="H1895" s="19" t="str">
        <x:v>D:/Codex/GRL研究/outputs/grid36/GRID36_report.md</x:v>
      </x:c>
    </x:row>
    <x:row r="1896" ht="36" customHeight="1">
      <x:c r="A1896" s="19" t="str">
        <x:v>GRID36</x:v>
      </x:c>
      <x:c r="B1896" s="19" t="str">
        <x:v>GRID36_report.md</x:v>
      </x:c>
      <x:c r="C1896" s="19" t="str">
        <x:v>1. GRID36 非学习排序闭环质量试点</x:v>
      </x:c>
      <x:c r="D1896" s="19" t="str">
        <x:v>顺序=LOCAL_STRESS；完成/步数=True/2017</x:v>
      </x:c>
      <x:c r="E1896" s="19" t="str">
        <x:v>成本差(FULL)</x:v>
      </x:c>
      <x:c r="F1896" s="19" t="str">
        <x:v>4.01870%</x:v>
      </x:c>
      <x:c r="G1896" s="19" t="str">
        <x:v>质量/成本</x:v>
      </x:c>
      <x:c r="H1896" s="19" t="str">
        <x:v>D:/Codex/GRL研究/outputs/grid36/GRID36_report.md</x:v>
      </x:c>
    </x:row>
    <x:row r="1897" ht="36" customHeight="1">
      <x:c r="A1897" s="19" t="str">
        <x:v>GRID36</x:v>
      </x:c>
      <x:c r="B1897" s="19" t="str">
        <x:v>GRID36_report.md</x:v>
      </x:c>
      <x:c r="C1897" s="19" t="str">
        <x:v>1. GRID36 非学习排序闭环质量试点</x:v>
      </x:c>
      <x:c r="D1897" s="19" t="str">
        <x:v>顺序=LOCAL_STRESS；完成/步数=True/2017</x:v>
      </x:c>
      <x:c r="E1897" s="19" t="str">
        <x:v>质量资格</x:v>
      </x:c>
      <x:c r="F1897" s="19" t="str">
        <x:v>False</x:v>
      </x:c>
      <x:c r="G1897" s="19" t="str">
        <x:v>质量/成本</x:v>
      </x:c>
      <x:c r="H1897" s="19" t="str">
        <x:v>D:/Codex/GRL研究/outputs/grid36/GRID36_report.md</x:v>
      </x:c>
    </x:row>
    <x:row r="1898" ht="36" customHeight="1">
      <x:c r="A1898" s="19" t="str">
        <x:v>GRID36</x:v>
      </x:c>
      <x:c r="B1898" s="19" t="str">
        <x:v>GRID36_report.md</x:v>
      </x:c>
      <x:c r="C1898" s="19" t="str">
        <x:v>1. GRID36 非学习排序闭环质量试点</x:v>
      </x:c>
      <x:c r="D1898" s="19" t="str">
        <x:v>顺序=LOCAL_STRESS；完成/步数=True/2017</x:v>
      </x:c>
      <x:c r="E1898" s="19" t="str">
        <x:v>N1查询</x:v>
      </x:c>
      <x:c r="F1898" s="19" t="str">
        <x:v>2578</x:v>
      </x:c>
      <x:c r="G1898" s="19" t="str">
        <x:v>速度/计算</x:v>
      </x:c>
      <x:c r="H1898" s="19" t="str">
        <x:v>D:/Codex/GRL研究/outputs/grid36/GRID36_report.md</x:v>
      </x:c>
    </x:row>
    <x:row r="1899" ht="36" customHeight="1">
      <x:c r="A1899" s="19" t="str">
        <x:v>GRID36</x:v>
      </x:c>
      <x:c r="B1899" s="19" t="str">
        <x:v>GRID36_report.md</x:v>
      </x:c>
      <x:c r="C1899" s="19" t="str">
        <x:v>1. GRID36 非学习排序闭环质量试点</x:v>
      </x:c>
      <x:c r="D1899" s="19" t="str">
        <x:v>顺序=LOCAL_STRESS；完成/步数=True/2017</x:v>
      </x:c>
      <x:c r="E1899" s="19" t="str">
        <x:v>控制秒(描述)</x:v>
      </x:c>
      <x:c r="F1899" s="19" t="str">
        <x:v>125.387</x:v>
      </x:c>
      <x:c r="G1899" s="19" t="str">
        <x:v>速度/计算</x:v>
      </x:c>
      <x:c r="H1899" s="19" t="str">
        <x:v>D:/Codex/GRL研究/outputs/grid36/GRID36_report.md</x:v>
      </x:c>
    </x:row>
    <x:row r="1900" ht="36" customHeight="1">
      <x:c r="A1900" s="19" t="str">
        <x:v>GRID37</x:v>
      </x:c>
      <x:c r="B1900" s="19" t="str">
        <x:v>GRID37_report.md</x:v>
      </x:c>
      <x:c r="C1900" s="19" t="str">
        <x:v>1. GRID37 静态顺序与GNN的公平实际比较</x:v>
      </x:c>
      <x:c r="D1900" s="19" t="str">
        <x:v>方法=FULL；控制秒总计=643.951</x:v>
      </x:c>
      <x:c r="E1900" s="19" t="str">
        <x:v>控制秒总计</x:v>
      </x:c>
      <x:c r="F1900" s="19" t="str">
        <x:v>643.951</x:v>
      </x:c>
      <x:c r="G1900" s="19" t="str">
        <x:v>速度/计算</x:v>
      </x:c>
      <x:c r="H1900" s="19" t="str">
        <x:v>D:/Codex/GRL研究/outputs/grid37/GRID37_report.md</x:v>
      </x:c>
    </x:row>
    <x:row r="1901" ht="36" customHeight="1">
      <x:c r="A1901" s="19" t="str">
        <x:v>GRID37</x:v>
      </x:c>
      <x:c r="B1901" s="19" t="str">
        <x:v>GRID37_report.md</x:v>
      </x:c>
      <x:c r="C1901" s="19" t="str">
        <x:v>1. GRID37 静态顺序与GNN的公平实际比较</x:v>
      </x:c>
      <x:c r="D1901" s="19" t="str">
        <x:v>方法=FULL；控制秒总计=643.951</x:v>
      </x:c>
      <x:c r="E1901" s="19" t="str">
        <x:v>查询</x:v>
      </x:c>
      <x:c r="F1901" s="19" t="str">
        <x:v>45194</x:v>
      </x:c>
      <x:c r="G1901" s="19" t="str">
        <x:v>速度/计算</x:v>
      </x:c>
      <x:c r="H1901" s="19" t="str">
        <x:v>D:/Codex/GRL研究/outputs/grid37/GRID37_report.md</x:v>
      </x:c>
    </x:row>
    <x:row r="1902" ht="36" customHeight="1">
      <x:c r="A1902" s="19" t="str">
        <x:v>GRID37</x:v>
      </x:c>
      <x:c r="B1902" s="19" t="str">
        <x:v>GRID37_report.md</x:v>
      </x:c>
      <x:c r="C1902" s="19" t="str">
        <x:v>1. GRID37 静态顺序与GNN的公平实际比较</x:v>
      </x:c>
      <x:c r="D1902" s="19" t="str">
        <x:v>方法=FULL；控制秒总计=643.951</x:v>
      </x:c>
      <x:c r="E1902" s="19" t="str">
        <x:v>质量筛查通过</x:v>
      </x:c>
      <x:c r="F1902" s="19" t="str">
        <x:v>8/8</x:v>
      </x:c>
      <x:c r="G1902" s="19" t="str">
        <x:v>质量/成本</x:v>
      </x:c>
      <x:c r="H1902" s="19" t="str">
        <x:v>D:/Codex/GRL研究/outputs/grid37/GRID37_report.md</x:v>
      </x:c>
    </x:row>
    <x:row r="1903" ht="36" customHeight="1">
      <x:c r="A1903" s="19" t="str">
        <x:v>GRID37</x:v>
      </x:c>
      <x:c r="B1903" s="19" t="str">
        <x:v>GRID37_report.md</x:v>
      </x:c>
      <x:c r="C1903" s="19" t="str">
        <x:v>1. GRID37 静态顺序与GNN的公平实际比较</x:v>
      </x:c>
      <x:c r="D1903" s="19" t="str">
        <x:v>方法=FULL；控制秒总计=643.951</x:v>
      </x:c>
      <x:c r="E1903" s="19" t="str">
        <x:v>完成</x:v>
      </x:c>
      <x:c r="F1903" s="19" t="str">
        <x:v>6/8</x:v>
      </x:c>
      <x:c r="G1903" s="19" t="str">
        <x:v>质量/成本</x:v>
      </x:c>
      <x:c r="H1903" s="19" t="str">
        <x:v>D:/Codex/GRL研究/outputs/grid37/GRID37_report.md</x:v>
      </x:c>
    </x:row>
    <x:row r="1904" ht="36" customHeight="1">
      <x:c r="A1904" s="19" t="str">
        <x:v>GRID37</x:v>
      </x:c>
      <x:c r="B1904" s="19" t="str">
        <x:v>GRID37_report.md</x:v>
      </x:c>
      <x:c r="C1904" s="19" t="str">
        <x:v>1. GRID37 静态顺序与GNN的公平实际比较</x:v>
      </x:c>
      <x:c r="D1904" s="19" t="str">
        <x:v>方法=FULL；控制秒总计=643.951</x:v>
      </x:c>
      <x:c r="E1904" s="19" t="str">
        <x:v>最大可比成本差</x:v>
      </x:c>
      <x:c r="F1904" s="19" t="str">
        <x:v>0.00000%</x:v>
      </x:c>
      <x:c r="G1904" s="19" t="str">
        <x:v>质量/成本</x:v>
      </x:c>
      <x:c r="H1904" s="19" t="str">
        <x:v>D:/Codex/GRL研究/outputs/grid37/GRID37_report.md</x:v>
      </x:c>
    </x:row>
    <x:row r="1905" ht="36" customHeight="1">
      <x:c r="A1905" s="19" t="str">
        <x:v>GRID37</x:v>
      </x:c>
      <x:c r="B1905" s="19" t="str">
        <x:v>GRID37_report.md</x:v>
      </x:c>
      <x:c r="C1905" s="19" t="str">
        <x:v>1. GRID37 静态顺序与GNN的公平实际比较</x:v>
      </x:c>
      <x:c r="D1905" s="19" t="str">
        <x:v>方法=LOCAL_GNN0；控制秒总计=549.889</x:v>
      </x:c>
      <x:c r="E1905" s="19" t="str">
        <x:v>控制秒总计</x:v>
      </x:c>
      <x:c r="F1905" s="19" t="str">
        <x:v>549.889</x:v>
      </x:c>
      <x:c r="G1905" s="19" t="str">
        <x:v>速度/计算</x:v>
      </x:c>
      <x:c r="H1905" s="19" t="str">
        <x:v>D:/Codex/GRL研究/outputs/grid37/GRID37_report.md</x:v>
      </x:c>
    </x:row>
    <x:row r="1906" ht="36" customHeight="1">
      <x:c r="A1906" s="19" t="str">
        <x:v>GRID37</x:v>
      </x:c>
      <x:c r="B1906" s="19" t="str">
        <x:v>GRID37_report.md</x:v>
      </x:c>
      <x:c r="C1906" s="19" t="str">
        <x:v>1. GRID37 静态顺序与GNN的公平实际比较</x:v>
      </x:c>
      <x:c r="D1906" s="19" t="str">
        <x:v>方法=LOCAL_GNN0；控制秒总计=549.889</x:v>
      </x:c>
      <x:c r="E1906" s="19" t="str">
        <x:v>查询</x:v>
      </x:c>
      <x:c r="F1906" s="19" t="str">
        <x:v>14624</x:v>
      </x:c>
      <x:c r="G1906" s="19" t="str">
        <x:v>速度/计算</x:v>
      </x:c>
      <x:c r="H1906" s="19" t="str">
        <x:v>D:/Codex/GRL研究/outputs/grid37/GRID37_report.md</x:v>
      </x:c>
    </x:row>
    <x:row r="1907" ht="36" customHeight="1">
      <x:c r="A1907" s="19" t="str">
        <x:v>GRID37</x:v>
      </x:c>
      <x:c r="B1907" s="19" t="str">
        <x:v>GRID37_report.md</x:v>
      </x:c>
      <x:c r="C1907" s="19" t="str">
        <x:v>1. GRID37 静态顺序与GNN的公平实际比较</x:v>
      </x:c>
      <x:c r="D1907" s="19" t="str">
        <x:v>方法=LOCAL_GNN0；控制秒总计=549.889</x:v>
      </x:c>
      <x:c r="E1907" s="19" t="str">
        <x:v>质量筛查通过</x:v>
      </x:c>
      <x:c r="F1907" s="19" t="str">
        <x:v>8/8</x:v>
      </x:c>
      <x:c r="G1907" s="19" t="str">
        <x:v>质量/成本</x:v>
      </x:c>
      <x:c r="H1907" s="19" t="str">
        <x:v>D:/Codex/GRL研究/outputs/grid37/GRID37_report.md</x:v>
      </x:c>
    </x:row>
    <x:row r="1908" ht="36" customHeight="1">
      <x:c r="A1908" s="19" t="str">
        <x:v>GRID37</x:v>
      </x:c>
      <x:c r="B1908" s="19" t="str">
        <x:v>GRID37_report.md</x:v>
      </x:c>
      <x:c r="C1908" s="19" t="str">
        <x:v>1. GRID37 静态顺序与GNN的公平实际比较</x:v>
      </x:c>
      <x:c r="D1908" s="19" t="str">
        <x:v>方法=LOCAL_GNN0；控制秒总计=549.889</x:v>
      </x:c>
      <x:c r="E1908" s="19" t="str">
        <x:v>完成</x:v>
      </x:c>
      <x:c r="F1908" s="19" t="str">
        <x:v>6/8</x:v>
      </x:c>
      <x:c r="G1908" s="19" t="str">
        <x:v>质量/成本</x:v>
      </x:c>
      <x:c r="H1908" s="19" t="str">
        <x:v>D:/Codex/GRL研究/outputs/grid37/GRID37_report.md</x:v>
      </x:c>
    </x:row>
    <x:row r="1909" ht="36" customHeight="1">
      <x:c r="A1909" s="19" t="str">
        <x:v>GRID37</x:v>
      </x:c>
      <x:c r="B1909" s="19" t="str">
        <x:v>GRID37_report.md</x:v>
      </x:c>
      <x:c r="C1909" s="19" t="str">
        <x:v>1. GRID37 静态顺序与GNN的公平实际比较</x:v>
      </x:c>
      <x:c r="D1909" s="19" t="str">
        <x:v>方法=LOCAL_GNN0；控制秒总计=549.889</x:v>
      </x:c>
      <x:c r="E1909" s="19" t="str">
        <x:v>最大可比成本差</x:v>
      </x:c>
      <x:c r="F1909" s="19" t="str">
        <x:v>0.13612%</x:v>
      </x:c>
      <x:c r="G1909" s="19" t="str">
        <x:v>质量/成本</x:v>
      </x:c>
      <x:c r="H1909" s="19" t="str">
        <x:v>D:/Codex/GRL研究/outputs/grid37/GRID37_report.md</x:v>
      </x:c>
    </x:row>
    <x:row r="1910" ht="36" customHeight="1">
      <x:c r="A1910" s="19" t="str">
        <x:v>GRID37</x:v>
      </x:c>
      <x:c r="B1910" s="19" t="str">
        <x:v>GRID37_report.md</x:v>
      </x:c>
      <x:c r="C1910" s="19" t="str">
        <x:v>1. GRID37 静态顺序与GNN的公平实际比较</x:v>
      </x:c>
      <x:c r="D1910" s="19" t="str">
        <x:v>方法=LOCAL_GNN1；控制秒总计=559.584</x:v>
      </x:c>
      <x:c r="E1910" s="19" t="str">
        <x:v>控制秒总计</x:v>
      </x:c>
      <x:c r="F1910" s="19" t="str">
        <x:v>559.584</x:v>
      </x:c>
      <x:c r="G1910" s="19" t="str">
        <x:v>速度/计算</x:v>
      </x:c>
      <x:c r="H1910" s="19" t="str">
        <x:v>D:/Codex/GRL研究/outputs/grid37/GRID37_report.md</x:v>
      </x:c>
    </x:row>
    <x:row r="1911" ht="36" customHeight="1">
      <x:c r="A1911" s="19" t="str">
        <x:v>GRID37</x:v>
      </x:c>
      <x:c r="B1911" s="19" t="str">
        <x:v>GRID37_report.md</x:v>
      </x:c>
      <x:c r="C1911" s="19" t="str">
        <x:v>1. GRID37 静态顺序与GNN的公平实际比较</x:v>
      </x:c>
      <x:c r="D1911" s="19" t="str">
        <x:v>方法=LOCAL_GNN1；控制秒总计=559.584</x:v>
      </x:c>
      <x:c r="E1911" s="19" t="str">
        <x:v>查询</x:v>
      </x:c>
      <x:c r="F1911" s="19" t="str">
        <x:v>14968</x:v>
      </x:c>
      <x:c r="G1911" s="19" t="str">
        <x:v>速度/计算</x:v>
      </x:c>
      <x:c r="H1911" s="19" t="str">
        <x:v>D:/Codex/GRL研究/outputs/grid37/GRID37_report.md</x:v>
      </x:c>
    </x:row>
    <x:row r="1912" ht="36" customHeight="1">
      <x:c r="A1912" s="19" t="str">
        <x:v>GRID37</x:v>
      </x:c>
      <x:c r="B1912" s="19" t="str">
        <x:v>GRID37_report.md</x:v>
      </x:c>
      <x:c r="C1912" s="19" t="str">
        <x:v>1. GRID37 静态顺序与GNN的公平实际比较</x:v>
      </x:c>
      <x:c r="D1912" s="19" t="str">
        <x:v>方法=LOCAL_GNN1；控制秒总计=559.584</x:v>
      </x:c>
      <x:c r="E1912" s="19" t="str">
        <x:v>质量筛查通过</x:v>
      </x:c>
      <x:c r="F1912" s="19" t="str">
        <x:v>8/8</x:v>
      </x:c>
      <x:c r="G1912" s="19" t="str">
        <x:v>质量/成本</x:v>
      </x:c>
      <x:c r="H1912" s="19" t="str">
        <x:v>D:/Codex/GRL研究/outputs/grid37/GRID37_report.md</x:v>
      </x:c>
    </x:row>
    <x:row r="1913" ht="36" customHeight="1">
      <x:c r="A1913" s="19" t="str">
        <x:v>GRID37</x:v>
      </x:c>
      <x:c r="B1913" s="19" t="str">
        <x:v>GRID37_report.md</x:v>
      </x:c>
      <x:c r="C1913" s="19" t="str">
        <x:v>1. GRID37 静态顺序与GNN的公平实际比较</x:v>
      </x:c>
      <x:c r="D1913" s="19" t="str">
        <x:v>方法=LOCAL_GNN1；控制秒总计=559.584</x:v>
      </x:c>
      <x:c r="E1913" s="19" t="str">
        <x:v>完成</x:v>
      </x:c>
      <x:c r="F1913" s="19" t="str">
        <x:v>6/8</x:v>
      </x:c>
      <x:c r="G1913" s="19" t="str">
        <x:v>质量/成本</x:v>
      </x:c>
      <x:c r="H1913" s="19" t="str">
        <x:v>D:/Codex/GRL研究/outputs/grid37/GRID37_report.md</x:v>
      </x:c>
    </x:row>
    <x:row r="1914" ht="36" customHeight="1">
      <x:c r="A1914" s="19" t="str">
        <x:v>GRID37</x:v>
      </x:c>
      <x:c r="B1914" s="19" t="str">
        <x:v>GRID37_report.md</x:v>
      </x:c>
      <x:c r="C1914" s="19" t="str">
        <x:v>1. GRID37 静态顺序与GNN的公平实际比较</x:v>
      </x:c>
      <x:c r="D1914" s="19" t="str">
        <x:v>方法=LOCAL_GNN1；控制秒总计=559.584</x:v>
      </x:c>
      <x:c r="E1914" s="19" t="str">
        <x:v>最大可比成本差</x:v>
      </x:c>
      <x:c r="F1914" s="19" t="str">
        <x:v>0.00081%</x:v>
      </x:c>
      <x:c r="G1914" s="19" t="str">
        <x:v>质量/成本</x:v>
      </x:c>
      <x:c r="H1914" s="19" t="str">
        <x:v>D:/Codex/GRL研究/outputs/grid37/GRID37_report.md</x:v>
      </x:c>
    </x:row>
    <x:row r="1915" ht="36" customHeight="1">
      <x:c r="A1915" s="19" t="str">
        <x:v>GRID37</x:v>
      </x:c>
      <x:c r="B1915" s="19" t="str">
        <x:v>GRID37_report.md</x:v>
      </x:c>
      <x:c r="C1915" s="19" t="str">
        <x:v>1. GRID37 静态顺序与GNN的公平实际比较</x:v>
      </x:c>
      <x:c r="D1915" s="19" t="str">
        <x:v>方法=STATIC_ID；控制秒总计=548.469</x:v>
      </x:c>
      <x:c r="E1915" s="19" t="str">
        <x:v>控制秒总计</x:v>
      </x:c>
      <x:c r="F1915" s="19" t="str">
        <x:v>548.469</x:v>
      </x:c>
      <x:c r="G1915" s="19" t="str">
        <x:v>速度/计算</x:v>
      </x:c>
      <x:c r="H1915" s="19" t="str">
        <x:v>D:/Codex/GRL研究/outputs/grid37/GRID37_report.md</x:v>
      </x:c>
    </x:row>
    <x:row r="1916" ht="36" customHeight="1">
      <x:c r="A1916" s="19" t="str">
        <x:v>GRID37</x:v>
      </x:c>
      <x:c r="B1916" s="19" t="str">
        <x:v>GRID37_report.md</x:v>
      </x:c>
      <x:c r="C1916" s="19" t="str">
        <x:v>1. GRID37 静态顺序与GNN的公平实际比较</x:v>
      </x:c>
      <x:c r="D1916" s="19" t="str">
        <x:v>方法=STATIC_ID；控制秒总计=548.469</x:v>
      </x:c>
      <x:c r="E1916" s="19" t="str">
        <x:v>查询</x:v>
      </x:c>
      <x:c r="F1916" s="19" t="str">
        <x:v>15502</x:v>
      </x:c>
      <x:c r="G1916" s="19" t="str">
        <x:v>速度/计算</x:v>
      </x:c>
      <x:c r="H1916" s="19" t="str">
        <x:v>D:/Codex/GRL研究/outputs/grid37/GRID37_report.md</x:v>
      </x:c>
    </x:row>
    <x:row r="1917" ht="36" customHeight="1">
      <x:c r="A1917" s="19" t="str">
        <x:v>GRID37</x:v>
      </x:c>
      <x:c r="B1917" s="19" t="str">
        <x:v>GRID37_report.md</x:v>
      </x:c>
      <x:c r="C1917" s="19" t="str">
        <x:v>1. GRID37 静态顺序与GNN的公平实际比较</x:v>
      </x:c>
      <x:c r="D1917" s="19" t="str">
        <x:v>方法=STATIC_ID；控制秒总计=548.469</x:v>
      </x:c>
      <x:c r="E1917" s="19" t="str">
        <x:v>质量筛查通过</x:v>
      </x:c>
      <x:c r="F1917" s="19" t="str">
        <x:v>8/8</x:v>
      </x:c>
      <x:c r="G1917" s="19" t="str">
        <x:v>质量/成本</x:v>
      </x:c>
      <x:c r="H1917" s="19" t="str">
        <x:v>D:/Codex/GRL研究/outputs/grid37/GRID37_report.md</x:v>
      </x:c>
    </x:row>
    <x:row r="1918" ht="36" customHeight="1">
      <x:c r="A1918" s="19" t="str">
        <x:v>GRID37</x:v>
      </x:c>
      <x:c r="B1918" s="19" t="str">
        <x:v>GRID37_report.md</x:v>
      </x:c>
      <x:c r="C1918" s="19" t="str">
        <x:v>1. GRID37 静态顺序与GNN的公平实际比较</x:v>
      </x:c>
      <x:c r="D1918" s="19" t="str">
        <x:v>方法=STATIC_ID；控制秒总计=548.469</x:v>
      </x:c>
      <x:c r="E1918" s="19" t="str">
        <x:v>完成</x:v>
      </x:c>
      <x:c r="F1918" s="19" t="str">
        <x:v>6/8</x:v>
      </x:c>
      <x:c r="G1918" s="19" t="str">
        <x:v>质量/成本</x:v>
      </x:c>
      <x:c r="H1918" s="19" t="str">
        <x:v>D:/Codex/GRL研究/outputs/grid37/GRID37_report.md</x:v>
      </x:c>
    </x:row>
    <x:row r="1919" ht="36" customHeight="1">
      <x:c r="A1919" s="19" t="str">
        <x:v>GRID37</x:v>
      </x:c>
      <x:c r="B1919" s="19" t="str">
        <x:v>GRID37_report.md</x:v>
      </x:c>
      <x:c r="C1919" s="19" t="str">
        <x:v>1. GRID37 静态顺序与GNN的公平实际比较</x:v>
      </x:c>
      <x:c r="D1919" s="19" t="str">
        <x:v>方法=STATIC_ID；控制秒总计=548.469</x:v>
      </x:c>
      <x:c r="E1919" s="19" t="str">
        <x:v>最大可比成本差</x:v>
      </x:c>
      <x:c r="F1919" s="19" t="str">
        <x:v>0.37200%</x:v>
      </x:c>
      <x:c r="G1919" s="19" t="str">
        <x:v>质量/成本</x:v>
      </x:c>
      <x:c r="H1919" s="19" t="str">
        <x:v>D:/Codex/GRL研究/outputs/grid37/GRID37_report.md</x:v>
      </x:c>
    </x:row>
    <x:row r="1920" ht="36" customHeight="1">
      <x:c r="A1920" s="19" t="str">
        <x:v>GRID37</x:v>
      </x:c>
      <x:c r="B1920" s="19" t="str">
        <x:v>GRID37_report.md</x:v>
      </x:c>
      <x:c r="C1920" s="19" t="str">
        <x:v>2. GRID37 静态顺序与GNN的公平实际比较</x:v>
      </x:c>
      <x:c r="D1920" s="19" t="str">
        <x:v>方法=STATIC_ID；对照=FULL</x:v>
      </x:c>
      <x:c r="E1920" s="19" t="str">
        <x:v>对照</x:v>
      </x:c>
      <x:c r="F1920" s="19" t="str">
        <x:v>FULL</x:v>
      </x:c>
      <x:c r="G1920" s="19" t="str">
        <x:v>其他/配置</x:v>
      </x:c>
      <x:c r="H1920" s="19" t="str">
        <x:v>D:/Codex/GRL研究/outputs/grid37/GRID37_report.md</x:v>
      </x:c>
    </x:row>
    <x:row r="1921" ht="36" customHeight="1">
      <x:c r="A1921" s="19" t="str">
        <x:v>GRID37</x:v>
      </x:c>
      <x:c r="B1921" s="19" t="str">
        <x:v>GRID37_report.md</x:v>
      </x:c>
      <x:c r="C1921" s="19" t="str">
        <x:v>2. GRID37 静态顺序与GNN的公平实际比较</x:v>
      </x:c>
      <x:c r="D1921" s="19" t="str">
        <x:v>方法=STATIC_ID；对照=FULL</x:v>
      </x:c>
      <x:c r="E1921" s="19" t="str">
        <x:v>控制时间减少</x:v>
      </x:c>
      <x:c r="F1921" s="19" t="str">
        <x:v>14.827%</x:v>
      </x:c>
      <x:c r="G1921" s="19" t="str">
        <x:v>速度/计算</x:v>
      </x:c>
      <x:c r="H1921" s="19" t="str">
        <x:v>D:/Codex/GRL研究/outputs/grid37/GRID37_report.md</x:v>
      </x:c>
    </x:row>
    <x:row r="1922" ht="36" customHeight="1">
      <x:c r="A1922" s="19" t="str">
        <x:v>GRID37</x:v>
      </x:c>
      <x:c r="B1922" s="19" t="str">
        <x:v>GRID37_report.md</x:v>
      </x:c>
      <x:c r="C1922" s="19" t="str">
        <x:v>2. GRID37 静态顺序与GNN的公平实际比较</x:v>
      </x:c>
      <x:c r="D1922" s="19" t="str">
        <x:v>方法=STATIC_ID；对照=FULL</x:v>
      </x:c>
      <x:c r="E1922" s="19" t="str">
        <x:v>查询减少</x:v>
      </x:c>
      <x:c r="F1922" s="19" t="str">
        <x:v>65.699%</x:v>
      </x:c>
      <x:c r="G1922" s="19" t="str">
        <x:v>速度/计算</x:v>
      </x:c>
      <x:c r="H1922" s="19" t="str">
        <x:v>D:/Codex/GRL研究/outputs/grid37/GRID37_report.md</x:v>
      </x:c>
    </x:row>
    <x:row r="1923" ht="36" customHeight="1">
      <x:c r="A1923" s="19" t="str">
        <x:v>GRID37</x:v>
      </x:c>
      <x:c r="B1923" s="19" t="str">
        <x:v>GRID37_report.md</x:v>
      </x:c>
      <x:c r="C1923" s="19" t="str">
        <x:v>2. GRID37 静态顺序与GNN的公平实际比较</x:v>
      </x:c>
      <x:c r="D1923" s="19" t="str">
        <x:v>方法=STATIC_ID；对照=FULL</x:v>
      </x:c>
      <x:c r="E1923" s="19" t="str">
        <x:v>时间正向配对</x:v>
      </x:c>
      <x:c r="F1923" s="19" t="str">
        <x:v>8/8</x:v>
      </x:c>
      <x:c r="G1923" s="19" t="str">
        <x:v>速度/计算</x:v>
      </x:c>
      <x:c r="H1923" s="19" t="str">
        <x:v>D:/Codex/GRL研究/outputs/grid37/GRID37_report.md</x:v>
      </x:c>
    </x:row>
    <x:row r="1924" ht="36" customHeight="1">
      <x:c r="A1924" s="19" t="str">
        <x:v>GRID37</x:v>
      </x:c>
      <x:c r="B1924" s="19" t="str">
        <x:v>GRID37_report.md</x:v>
      </x:c>
      <x:c r="C1924" s="19" t="str">
        <x:v>2. GRID37 静态顺序与GNN的公平实际比较</x:v>
      </x:c>
      <x:c r="D1924" s="19" t="str">
        <x:v>方法=LOCAL_GNN0；对照=FULL</x:v>
      </x:c>
      <x:c r="E1924" s="19" t="str">
        <x:v>对照</x:v>
      </x:c>
      <x:c r="F1924" s="19" t="str">
        <x:v>FULL</x:v>
      </x:c>
      <x:c r="G1924" s="19" t="str">
        <x:v>其他/配置</x:v>
      </x:c>
      <x:c r="H1924" s="19" t="str">
        <x:v>D:/Codex/GRL研究/outputs/grid37/GRID37_report.md</x:v>
      </x:c>
    </x:row>
    <x:row r="1925" ht="36" customHeight="1">
      <x:c r="A1925" s="19" t="str">
        <x:v>GRID37</x:v>
      </x:c>
      <x:c r="B1925" s="19" t="str">
        <x:v>GRID37_report.md</x:v>
      </x:c>
      <x:c r="C1925" s="19" t="str">
        <x:v>2. GRID37 静态顺序与GNN的公平实际比较</x:v>
      </x:c>
      <x:c r="D1925" s="19" t="str">
        <x:v>方法=LOCAL_GNN0；对照=FULL</x:v>
      </x:c>
      <x:c r="E1925" s="19" t="str">
        <x:v>控制时间减少</x:v>
      </x:c>
      <x:c r="F1925" s="19" t="str">
        <x:v>14.607%</x:v>
      </x:c>
      <x:c r="G1925" s="19" t="str">
        <x:v>速度/计算</x:v>
      </x:c>
      <x:c r="H1925" s="19" t="str">
        <x:v>D:/Codex/GRL研究/outputs/grid37/GRID37_report.md</x:v>
      </x:c>
    </x:row>
    <x:row r="1926" ht="36" customHeight="1">
      <x:c r="A1926" s="19" t="str">
        <x:v>GRID37</x:v>
      </x:c>
      <x:c r="B1926" s="19" t="str">
        <x:v>GRID37_report.md</x:v>
      </x:c>
      <x:c r="C1926" s="19" t="str">
        <x:v>2. GRID37 静态顺序与GNN的公平实际比较</x:v>
      </x:c>
      <x:c r="D1926" s="19" t="str">
        <x:v>方法=LOCAL_GNN0；对照=FULL</x:v>
      </x:c>
      <x:c r="E1926" s="19" t="str">
        <x:v>查询减少</x:v>
      </x:c>
      <x:c r="F1926" s="19" t="str">
        <x:v>67.642%</x:v>
      </x:c>
      <x:c r="G1926" s="19" t="str">
        <x:v>速度/计算</x:v>
      </x:c>
      <x:c r="H1926" s="19" t="str">
        <x:v>D:/Codex/GRL研究/outputs/grid37/GRID37_report.md</x:v>
      </x:c>
    </x:row>
    <x:row r="1927" ht="36" customHeight="1">
      <x:c r="A1927" s="19" t="str">
        <x:v>GRID37</x:v>
      </x:c>
      <x:c r="B1927" s="19" t="str">
        <x:v>GRID37_report.md</x:v>
      </x:c>
      <x:c r="C1927" s="19" t="str">
        <x:v>2. GRID37 静态顺序与GNN的公平实际比较</x:v>
      </x:c>
      <x:c r="D1927" s="19" t="str">
        <x:v>方法=LOCAL_GNN0；对照=FULL</x:v>
      </x:c>
      <x:c r="E1927" s="19" t="str">
        <x:v>时间正向配对</x:v>
      </x:c>
      <x:c r="F1927" s="19" t="str">
        <x:v>8/8</x:v>
      </x:c>
      <x:c r="G1927" s="19" t="str">
        <x:v>速度/计算</x:v>
      </x:c>
      <x:c r="H1927" s="19" t="str">
        <x:v>D:/Codex/GRL研究/outputs/grid37/GRID37_report.md</x:v>
      </x:c>
    </x:row>
    <x:row r="1928" ht="36" customHeight="1">
      <x:c r="A1928" s="19" t="str">
        <x:v>GRID37</x:v>
      </x:c>
      <x:c r="B1928" s="19" t="str">
        <x:v>GRID37_report.md</x:v>
      </x:c>
      <x:c r="C1928" s="19" t="str">
        <x:v>2. GRID37 静态顺序与GNN的公平实际比较</x:v>
      </x:c>
      <x:c r="D1928" s="19" t="str">
        <x:v>方法=LOCAL_GNN1；对照=FULL</x:v>
      </x:c>
      <x:c r="E1928" s="19" t="str">
        <x:v>对照</x:v>
      </x:c>
      <x:c r="F1928" s="19" t="str">
        <x:v>FULL</x:v>
      </x:c>
      <x:c r="G1928" s="19" t="str">
        <x:v>其他/配置</x:v>
      </x:c>
      <x:c r="H1928" s="19" t="str">
        <x:v>D:/Codex/GRL研究/outputs/grid37/GRID37_report.md</x:v>
      </x:c>
    </x:row>
    <x:row r="1929" ht="36" customHeight="1">
      <x:c r="A1929" s="19" t="str">
        <x:v>GRID37</x:v>
      </x:c>
      <x:c r="B1929" s="19" t="str">
        <x:v>GRID37_report.md</x:v>
      </x:c>
      <x:c r="C1929" s="19" t="str">
        <x:v>2. GRID37 静态顺序与GNN的公平实际比较</x:v>
      </x:c>
      <x:c r="D1929" s="19" t="str">
        <x:v>方法=LOCAL_GNN1；对照=FULL</x:v>
      </x:c>
      <x:c r="E1929" s="19" t="str">
        <x:v>控制时间减少</x:v>
      </x:c>
      <x:c r="F1929" s="19" t="str">
        <x:v>13.101%</x:v>
      </x:c>
      <x:c r="G1929" s="19" t="str">
        <x:v>速度/计算</x:v>
      </x:c>
      <x:c r="H1929" s="19" t="str">
        <x:v>D:/Codex/GRL研究/outputs/grid37/GRID37_report.md</x:v>
      </x:c>
    </x:row>
    <x:row r="1930" ht="36" customHeight="1">
      <x:c r="A1930" s="19" t="str">
        <x:v>GRID37</x:v>
      </x:c>
      <x:c r="B1930" s="19" t="str">
        <x:v>GRID37_report.md</x:v>
      </x:c>
      <x:c r="C1930" s="19" t="str">
        <x:v>2. GRID37 静态顺序与GNN的公平实际比较</x:v>
      </x:c>
      <x:c r="D1930" s="19" t="str">
        <x:v>方法=LOCAL_GNN1；对照=FULL</x:v>
      </x:c>
      <x:c r="E1930" s="19" t="str">
        <x:v>查询减少</x:v>
      </x:c>
      <x:c r="F1930" s="19" t="str">
        <x:v>66.881%</x:v>
      </x:c>
      <x:c r="G1930" s="19" t="str">
        <x:v>速度/计算</x:v>
      </x:c>
      <x:c r="H1930" s="19" t="str">
        <x:v>D:/Codex/GRL研究/outputs/grid37/GRID37_report.md</x:v>
      </x:c>
    </x:row>
    <x:row r="1931" ht="36" customHeight="1">
      <x:c r="A1931" s="19" t="str">
        <x:v>GRID37</x:v>
      </x:c>
      <x:c r="B1931" s="19" t="str">
        <x:v>GRID37_report.md</x:v>
      </x:c>
      <x:c r="C1931" s="19" t="str">
        <x:v>2. GRID37 静态顺序与GNN的公平实际比较</x:v>
      </x:c>
      <x:c r="D1931" s="19" t="str">
        <x:v>方法=LOCAL_GNN1；对照=FULL</x:v>
      </x:c>
      <x:c r="E1931" s="19" t="str">
        <x:v>时间正向配对</x:v>
      </x:c>
      <x:c r="F1931" s="19" t="str">
        <x:v>8/8</x:v>
      </x:c>
      <x:c r="G1931" s="19" t="str">
        <x:v>速度/计算</x:v>
      </x:c>
      <x:c r="H1931" s="19" t="str">
        <x:v>D:/Codex/GRL研究/outputs/grid37/GRID37_report.md</x:v>
      </x:c>
    </x:row>
    <x:row r="1932" ht="36" customHeight="1">
      <x:c r="A1932" s="19" t="str">
        <x:v>GRID37</x:v>
      </x:c>
      <x:c r="B1932" s="19" t="str">
        <x:v>GRID37_report.md</x:v>
      </x:c>
      <x:c r="C1932" s="19" t="str">
        <x:v>2. GRID37 静态顺序与GNN的公平实际比较</x:v>
      </x:c>
      <x:c r="D1932" s="19" t="str">
        <x:v>方法=LOCAL_GNN0；对照=STATIC_ID</x:v>
      </x:c>
      <x:c r="E1932" s="19" t="str">
        <x:v>对照</x:v>
      </x:c>
      <x:c r="F1932" s="19" t="str">
        <x:v>STATIC_ID</x:v>
      </x:c>
      <x:c r="G1932" s="19" t="str">
        <x:v>其他/配置</x:v>
      </x:c>
      <x:c r="H1932" s="19" t="str">
        <x:v>D:/Codex/GRL研究/outputs/grid37/GRID37_report.md</x:v>
      </x:c>
    </x:row>
    <x:row r="1933" ht="36" customHeight="1">
      <x:c r="A1933" s="19" t="str">
        <x:v>GRID37</x:v>
      </x:c>
      <x:c r="B1933" s="19" t="str">
        <x:v>GRID37_report.md</x:v>
      </x:c>
      <x:c r="C1933" s="19" t="str">
        <x:v>2. GRID37 静态顺序与GNN的公平实际比较</x:v>
      </x:c>
      <x:c r="D1933" s="19" t="str">
        <x:v>方法=LOCAL_GNN0；对照=STATIC_ID</x:v>
      </x:c>
      <x:c r="E1933" s="19" t="str">
        <x:v>控制时间减少</x:v>
      </x:c>
      <x:c r="F1933" s="19" t="str">
        <x:v>-0.259%</x:v>
      </x:c>
      <x:c r="G1933" s="19" t="str">
        <x:v>速度/计算</x:v>
      </x:c>
      <x:c r="H1933" s="19" t="str">
        <x:v>D:/Codex/GRL研究/outputs/grid37/GRID37_report.md</x:v>
      </x:c>
    </x:row>
    <x:row r="1934" ht="36" customHeight="1">
      <x:c r="A1934" s="19" t="str">
        <x:v>GRID37</x:v>
      </x:c>
      <x:c r="B1934" s="19" t="str">
        <x:v>GRID37_report.md</x:v>
      </x:c>
      <x:c r="C1934" s="19" t="str">
        <x:v>2. GRID37 静态顺序与GNN的公平实际比较</x:v>
      </x:c>
      <x:c r="D1934" s="19" t="str">
        <x:v>方法=LOCAL_GNN0；对照=STATIC_ID</x:v>
      </x:c>
      <x:c r="E1934" s="19" t="str">
        <x:v>查询减少</x:v>
      </x:c>
      <x:c r="F1934" s="19" t="str">
        <x:v>5.664%</x:v>
      </x:c>
      <x:c r="G1934" s="19" t="str">
        <x:v>速度/计算</x:v>
      </x:c>
      <x:c r="H1934" s="19" t="str">
        <x:v>D:/Codex/GRL研究/outputs/grid37/GRID37_report.md</x:v>
      </x:c>
    </x:row>
    <x:row r="1935" ht="36" customHeight="1">
      <x:c r="A1935" s="19" t="str">
        <x:v>GRID37</x:v>
      </x:c>
      <x:c r="B1935" s="19" t="str">
        <x:v>GRID37_report.md</x:v>
      </x:c>
      <x:c r="C1935" s="19" t="str">
        <x:v>2. GRID37 静态顺序与GNN的公平实际比较</x:v>
      </x:c>
      <x:c r="D1935" s="19" t="str">
        <x:v>方法=LOCAL_GNN0；对照=STATIC_ID</x:v>
      </x:c>
      <x:c r="E1935" s="19" t="str">
        <x:v>时间正向配对</x:v>
      </x:c>
      <x:c r="F1935" s="19" t="str">
        <x:v>2/8</x:v>
      </x:c>
      <x:c r="G1935" s="19" t="str">
        <x:v>速度/计算</x:v>
      </x:c>
      <x:c r="H1935" s="19" t="str">
        <x:v>D:/Codex/GRL研究/outputs/grid37/GRID37_report.md</x:v>
      </x:c>
    </x:row>
    <x:row r="1936" ht="36" customHeight="1">
      <x:c r="A1936" s="19" t="str">
        <x:v>GRID37</x:v>
      </x:c>
      <x:c r="B1936" s="19" t="str">
        <x:v>GRID37_report.md</x:v>
      </x:c>
      <x:c r="C1936" s="19" t="str">
        <x:v>2. GRID37 静态顺序与GNN的公平实际比较</x:v>
      </x:c>
      <x:c r="D1936" s="19" t="str">
        <x:v>方法=LOCAL_GNN1；对照=STATIC_ID</x:v>
      </x:c>
      <x:c r="E1936" s="19" t="str">
        <x:v>对照</x:v>
      </x:c>
      <x:c r="F1936" s="19" t="str">
        <x:v>STATIC_ID</x:v>
      </x:c>
      <x:c r="G1936" s="19" t="str">
        <x:v>其他/配置</x:v>
      </x:c>
      <x:c r="H1936" s="19" t="str">
        <x:v>D:/Codex/GRL研究/outputs/grid37/GRID37_report.md</x:v>
      </x:c>
    </x:row>
    <x:row r="1937" ht="36" customHeight="1">
      <x:c r="A1937" s="19" t="str">
        <x:v>GRID37</x:v>
      </x:c>
      <x:c r="B1937" s="19" t="str">
        <x:v>GRID37_report.md</x:v>
      </x:c>
      <x:c r="C1937" s="19" t="str">
        <x:v>2. GRID37 静态顺序与GNN的公平实际比较</x:v>
      </x:c>
      <x:c r="D1937" s="19" t="str">
        <x:v>方法=LOCAL_GNN1；对照=STATIC_ID</x:v>
      </x:c>
      <x:c r="E1937" s="19" t="str">
        <x:v>控制时间减少</x:v>
      </x:c>
      <x:c r="F1937" s="19" t="str">
        <x:v>-2.027%</x:v>
      </x:c>
      <x:c r="G1937" s="19" t="str">
        <x:v>速度/计算</x:v>
      </x:c>
      <x:c r="H1937" s="19" t="str">
        <x:v>D:/Codex/GRL研究/outputs/grid37/GRID37_report.md</x:v>
      </x:c>
    </x:row>
    <x:row r="1938" ht="36" customHeight="1">
      <x:c r="A1938" s="19" t="str">
        <x:v>GRID37</x:v>
      </x:c>
      <x:c r="B1938" s="19" t="str">
        <x:v>GRID37_report.md</x:v>
      </x:c>
      <x:c r="C1938" s="19" t="str">
        <x:v>2. GRID37 静态顺序与GNN的公平实际比较</x:v>
      </x:c>
      <x:c r="D1938" s="19" t="str">
        <x:v>方法=LOCAL_GNN1；对照=STATIC_ID</x:v>
      </x:c>
      <x:c r="E1938" s="19" t="str">
        <x:v>查询减少</x:v>
      </x:c>
      <x:c r="F1938" s="19" t="str">
        <x:v>3.445%</x:v>
      </x:c>
      <x:c r="G1938" s="19" t="str">
        <x:v>速度/计算</x:v>
      </x:c>
      <x:c r="H1938" s="19" t="str">
        <x:v>D:/Codex/GRL研究/outputs/grid37/GRID37_report.md</x:v>
      </x:c>
    </x:row>
    <x:row r="1939" ht="36" customHeight="1">
      <x:c r="A1939" s="19" t="str">
        <x:v>GRID37</x:v>
      </x:c>
      <x:c r="B1939" s="19" t="str">
        <x:v>GRID37_report.md</x:v>
      </x:c>
      <x:c r="C1939" s="19" t="str">
        <x:v>2. GRID37 静态顺序与GNN的公平实际比较</x:v>
      </x:c>
      <x:c r="D1939" s="19" t="str">
        <x:v>方法=LOCAL_GNN1；对照=STATIC_ID</x:v>
      </x:c>
      <x:c r="E1939" s="19" t="str">
        <x:v>时间正向配对</x:v>
      </x:c>
      <x:c r="F1939" s="19" t="str">
        <x:v>1/8</x:v>
      </x:c>
      <x:c r="G1939" s="19" t="str">
        <x:v>速度/计算</x:v>
      </x:c>
      <x:c r="H1939" s="19" t="str">
        <x:v>D:/Codex/GRL研究/outputs/grid37/GRID37_report.md</x:v>
      </x:c>
    </x:row>
    <x:row r="1940" ht="36" customHeight="1">
      <x:c r="A1940" s="19" t="str">
        <x:v>GRID38</x:v>
      </x:c>
      <x:c r="B1940" s="19" t="str">
        <x:v>GRID38_report.md</x:v>
      </x:c>
      <x:c r="C1940" s="19" t="str">
        <x:v>1. GRID38 单一训练目标修订</x:v>
      </x:c>
      <x:c r="D1940" s="19" t="str">
        <x:v>模型=GNN0；原查询=7358</x:v>
      </x:c>
      <x:c r="E1940" s="19" t="str">
        <x:v>原查询</x:v>
      </x:c>
      <x:c r="F1940" s="19" t="str">
        <x:v>7358</x:v>
      </x:c>
      <x:c r="G1940" s="19" t="str">
        <x:v>速度/计算</x:v>
      </x:c>
      <x:c r="H1940" s="19" t="str">
        <x:v>D:/Codex/GRL研究/outputs/grid38/GRID38_report.md</x:v>
      </x:c>
    </x:row>
    <x:row r="1941" ht="36" customHeight="1">
      <x:c r="A1941" s="19" t="str">
        <x:v>GRID38</x:v>
      </x:c>
      <x:c r="B1941" s="19" t="str">
        <x:v>GRID38_report.md</x:v>
      </x:c>
      <x:c r="C1941" s="19" t="str">
        <x:v>1. GRID38 单一训练目标修订</x:v>
      </x:c>
      <x:c r="D1941" s="19" t="str">
        <x:v>模型=GNN0；原查询=7358</x:v>
      </x:c>
      <x:c r="E1941" s="19" t="str">
        <x:v>新查询</x:v>
      </x:c>
      <x:c r="F1941" s="19" t="str">
        <x:v>7490</x:v>
      </x:c>
      <x:c r="G1941" s="19" t="str">
        <x:v>速度/计算</x:v>
      </x:c>
      <x:c r="H1941" s="19" t="str">
        <x:v>D:/Codex/GRL研究/outputs/grid38/GRID38_report.md</x:v>
      </x:c>
    </x:row>
    <x:row r="1942" ht="36" customHeight="1">
      <x:c r="A1942" s="19" t="str">
        <x:v>GRID38</x:v>
      </x:c>
      <x:c r="B1942" s="19" t="str">
        <x:v>GRID38_report.md</x:v>
      </x:c>
      <x:c r="C1942" s="19" t="str">
        <x:v>1. GRID38 单一训练目标修订</x:v>
      </x:c>
      <x:c r="D1942" s="19" t="str">
        <x:v>模型=GNN0；原查询=7358</x:v>
      </x:c>
      <x:c r="E1942" s="19" t="str">
        <x:v>查询减少</x:v>
      </x:c>
      <x:c r="F1942" s="19" t="str">
        <x:v>-1.794%</x:v>
      </x:c>
      <x:c r="G1942" s="19" t="str">
        <x:v>速度/计算</x:v>
      </x:c>
      <x:c r="H1942" s="19" t="str">
        <x:v>D:/Codex/GRL研究/outputs/grid38/GRID38_report.md</x:v>
      </x:c>
    </x:row>
    <x:row r="1943" ht="36" customHeight="1">
      <x:c r="A1943" s="19" t="str">
        <x:v>GRID38</x:v>
      </x:c>
      <x:c r="B1943" s="19" t="str">
        <x:v>GRID38_report.md</x:v>
      </x:c>
      <x:c r="C1943" s="19" t="str">
        <x:v>1. GRID38 单一训练目标修订</x:v>
      </x:c>
      <x:c r="D1943" s="19" t="str">
        <x:v>模型=GNN0；原查询=7358</x:v>
      </x:c>
      <x:c r="E1943" s="19" t="str">
        <x:v>原/新同FULL选择</x:v>
      </x:c>
      <x:c r="F1943" s="19" t="str">
        <x:v>24/24</x:v>
      </x:c>
      <x:c r="G1943" s="19" t="str">
        <x:v>质量/成本</x:v>
      </x:c>
      <x:c r="H1943" s="19" t="str">
        <x:v>D:/Codex/GRL研究/outputs/grid38/GRID38_report.md</x:v>
      </x:c>
    </x:row>
    <x:row r="1944" ht="36" customHeight="1">
      <x:c r="A1944" s="19" t="str">
        <x:v>GRID38</x:v>
      </x:c>
      <x:c r="B1944" s="19" t="str">
        <x:v>GRID38_report.md</x:v>
      </x:c>
      <x:c r="C1944" s="19" t="str">
        <x:v>1. GRID38 单一训练目标修订</x:v>
      </x:c>
      <x:c r="D1944" s="19" t="str">
        <x:v>模型=GNN0；原查询=7358</x:v>
      </x:c>
      <x:c r="E1944" s="19" t="str">
        <x:v>最大rho差</x:v>
      </x:c>
      <x:c r="F1944" s="19" t="str">
        <x:v>0.0001174</x:v>
      </x:c>
      <x:c r="G1944" s="19" t="str">
        <x:v>质量/成本</x:v>
      </x:c>
      <x:c r="H1944" s="19" t="str">
        <x:v>D:/Codex/GRL研究/outputs/grid38/GRID38_report.md</x:v>
      </x:c>
    </x:row>
    <x:row r="1945" ht="36" customHeight="1">
      <x:c r="A1945" s="19" t="str">
        <x:v>GRID38</x:v>
      </x:c>
      <x:c r="B1945" s="19" t="str">
        <x:v>GRID38_report.md</x:v>
      </x:c>
      <x:c r="C1945" s="19" t="str">
        <x:v>1. GRID38 单一训练目标修订</x:v>
      </x:c>
      <x:c r="D1945" s="19" t="str">
        <x:v>模型=GNN0；原查询=7358</x:v>
      </x:c>
      <x:c r="E1945" s="19" t="str">
        <x:v>找回关键动作</x:v>
      </x:c>
      <x:c r="F1945" s="19" t="str">
        <x:v>True</x:v>
      </x:c>
      <x:c r="G1945" s="19" t="str">
        <x:v>其他/配置</x:v>
      </x:c>
      <x:c r="H1945" s="19" t="str">
        <x:v>D:/Codex/GRL研究/outputs/grid38/GRID38_report.md</x:v>
      </x:c>
    </x:row>
    <x:row r="1946" ht="36" customHeight="1">
      <x:c r="A1946" s="19" t="str">
        <x:v>GRID38</x:v>
      </x:c>
      <x:c r="B1946" s="19" t="str">
        <x:v>GRID38_report.md</x:v>
      </x:c>
      <x:c r="C1946" s="19" t="str">
        <x:v>1. GRID38 单一训练目标修订</x:v>
      </x:c>
      <x:c r="D1946" s="19" t="str">
        <x:v>模型=GNN1；原查询=7530</x:v>
      </x:c>
      <x:c r="E1946" s="19" t="str">
        <x:v>原查询</x:v>
      </x:c>
      <x:c r="F1946" s="19" t="str">
        <x:v>7530</x:v>
      </x:c>
      <x:c r="G1946" s="19" t="str">
        <x:v>速度/计算</x:v>
      </x:c>
      <x:c r="H1946" s="19" t="str">
        <x:v>D:/Codex/GRL研究/outputs/grid38/GRID38_report.md</x:v>
      </x:c>
    </x:row>
    <x:row r="1947" ht="36" customHeight="1">
      <x:c r="A1947" s="19" t="str">
        <x:v>GRID38</x:v>
      </x:c>
      <x:c r="B1947" s="19" t="str">
        <x:v>GRID38_report.md</x:v>
      </x:c>
      <x:c r="C1947" s="19" t="str">
        <x:v>1. GRID38 单一训练目标修订</x:v>
      </x:c>
      <x:c r="D1947" s="19" t="str">
        <x:v>模型=GNN1；原查询=7530</x:v>
      </x:c>
      <x:c r="E1947" s="19" t="str">
        <x:v>新查询</x:v>
      </x:c>
      <x:c r="F1947" s="19" t="str">
        <x:v>7426</x:v>
      </x:c>
      <x:c r="G1947" s="19" t="str">
        <x:v>速度/计算</x:v>
      </x:c>
      <x:c r="H1947" s="19" t="str">
        <x:v>D:/Codex/GRL研究/outputs/grid38/GRID38_report.md</x:v>
      </x:c>
    </x:row>
    <x:row r="1948" ht="36" customHeight="1">
      <x:c r="A1948" s="19" t="str">
        <x:v>GRID38</x:v>
      </x:c>
      <x:c r="B1948" s="19" t="str">
        <x:v>GRID38_report.md</x:v>
      </x:c>
      <x:c r="C1948" s="19" t="str">
        <x:v>1. GRID38 单一训练目标修订</x:v>
      </x:c>
      <x:c r="D1948" s="19" t="str">
        <x:v>模型=GNN1；原查询=7530</x:v>
      </x:c>
      <x:c r="E1948" s="19" t="str">
        <x:v>查询减少</x:v>
      </x:c>
      <x:c r="F1948" s="19" t="str">
        <x:v>1.381%</x:v>
      </x:c>
      <x:c r="G1948" s="19" t="str">
        <x:v>速度/计算</x:v>
      </x:c>
      <x:c r="H1948" s="19" t="str">
        <x:v>D:/Codex/GRL研究/outputs/grid38/GRID38_report.md</x:v>
      </x:c>
    </x:row>
    <x:row r="1949" ht="36" customHeight="1">
      <x:c r="A1949" s="19" t="str">
        <x:v>GRID38</x:v>
      </x:c>
      <x:c r="B1949" s="19" t="str">
        <x:v>GRID38_report.md</x:v>
      </x:c>
      <x:c r="C1949" s="19" t="str">
        <x:v>1. GRID38 单一训练目标修订</x:v>
      </x:c>
      <x:c r="D1949" s="19" t="str">
        <x:v>模型=GNN1；原查询=7530</x:v>
      </x:c>
      <x:c r="E1949" s="19" t="str">
        <x:v>原/新同FULL选择</x:v>
      </x:c>
      <x:c r="F1949" s="19" t="str">
        <x:v>25/24</x:v>
      </x:c>
      <x:c r="G1949" s="19" t="str">
        <x:v>质量/成本</x:v>
      </x:c>
      <x:c r="H1949" s="19" t="str">
        <x:v>D:/Codex/GRL研究/outputs/grid38/GRID38_report.md</x:v>
      </x:c>
    </x:row>
    <x:row r="1950" ht="36" customHeight="1">
      <x:c r="A1950" s="19" t="str">
        <x:v>GRID38</x:v>
      </x:c>
      <x:c r="B1950" s="19" t="str">
        <x:v>GRID38_report.md</x:v>
      </x:c>
      <x:c r="C1950" s="19" t="str">
        <x:v>1. GRID38 单一训练目标修订</x:v>
      </x:c>
      <x:c r="D1950" s="19" t="str">
        <x:v>模型=GNN1；原查询=7530</x:v>
      </x:c>
      <x:c r="E1950" s="19" t="str">
        <x:v>最大rho差</x:v>
      </x:c>
      <x:c r="F1950" s="19" t="str">
        <x:v>0.0001174</x:v>
      </x:c>
      <x:c r="G1950" s="19" t="str">
        <x:v>质量/成本</x:v>
      </x:c>
      <x:c r="H1950" s="19" t="str">
        <x:v>D:/Codex/GRL研究/outputs/grid38/GRID38_report.md</x:v>
      </x:c>
    </x:row>
    <x:row r="1951" ht="36" customHeight="1">
      <x:c r="A1951" s="19" t="str">
        <x:v>GRID38</x:v>
      </x:c>
      <x:c r="B1951" s="19" t="str">
        <x:v>GRID38_report.md</x:v>
      </x:c>
      <x:c r="C1951" s="19" t="str">
        <x:v>1. GRID38 单一训练目标修订</x:v>
      </x:c>
      <x:c r="D1951" s="19" t="str">
        <x:v>模型=GNN1；原查询=7530</x:v>
      </x:c>
      <x:c r="E1951" s="19" t="str">
        <x:v>找回关键动作</x:v>
      </x:c>
      <x:c r="F1951" s="19" t="str">
        <x:v>True</x:v>
      </x:c>
      <x:c r="G1951" s="19" t="str">
        <x:v>其他/配置</x:v>
      </x:c>
      <x:c r="H1951" s="19" t="str">
        <x:v>D:/Codex/GRL研究/outputs/grid38/GRID38_report.md</x:v>
      </x:c>
    </x:row>
    <x:row r="1952" ht="36" customHeight="1">
      <x:c r="A1952" s="19" t="str">
        <x:v>GRID38</x:v>
      </x:c>
      <x:c r="B1952" s="19" t="str">
        <x:v>GRID38_report.md</x:v>
      </x:c>
      <x:c r="C1952" s="19" t="str">
        <x:v>1. GRID38 单一训练目标修订</x:v>
      </x:c>
      <x:c r="D1952" s="19" t="str">
        <x:v>模型=MLP0；原查询=7549</x:v>
      </x:c>
      <x:c r="E1952" s="19" t="str">
        <x:v>原查询</x:v>
      </x:c>
      <x:c r="F1952" s="19" t="str">
        <x:v>7549</x:v>
      </x:c>
      <x:c r="G1952" s="19" t="str">
        <x:v>速度/计算</x:v>
      </x:c>
      <x:c r="H1952" s="19" t="str">
        <x:v>D:/Codex/GRL研究/outputs/grid38/GRID38_report.md</x:v>
      </x:c>
    </x:row>
    <x:row r="1953" ht="36" customHeight="1">
      <x:c r="A1953" s="19" t="str">
        <x:v>GRID38</x:v>
      </x:c>
      <x:c r="B1953" s="19" t="str">
        <x:v>GRID38_report.md</x:v>
      </x:c>
      <x:c r="C1953" s="19" t="str">
        <x:v>1. GRID38 单一训练目标修订</x:v>
      </x:c>
      <x:c r="D1953" s="19" t="str">
        <x:v>模型=MLP0；原查询=7549</x:v>
      </x:c>
      <x:c r="E1953" s="19" t="str">
        <x:v>新查询</x:v>
      </x:c>
      <x:c r="F1953" s="19" t="str">
        <x:v>7663</x:v>
      </x:c>
      <x:c r="G1953" s="19" t="str">
        <x:v>速度/计算</x:v>
      </x:c>
      <x:c r="H1953" s="19" t="str">
        <x:v>D:/Codex/GRL研究/outputs/grid38/GRID38_report.md</x:v>
      </x:c>
    </x:row>
    <x:row r="1954" ht="36" customHeight="1">
      <x:c r="A1954" s="19" t="str">
        <x:v>GRID38</x:v>
      </x:c>
      <x:c r="B1954" s="19" t="str">
        <x:v>GRID38_report.md</x:v>
      </x:c>
      <x:c r="C1954" s="19" t="str">
        <x:v>1. GRID38 单一训练目标修订</x:v>
      </x:c>
      <x:c r="D1954" s="19" t="str">
        <x:v>模型=MLP0；原查询=7549</x:v>
      </x:c>
      <x:c r="E1954" s="19" t="str">
        <x:v>查询减少</x:v>
      </x:c>
      <x:c r="F1954" s="19" t="str">
        <x:v>-1.510%</x:v>
      </x:c>
      <x:c r="G1954" s="19" t="str">
        <x:v>速度/计算</x:v>
      </x:c>
      <x:c r="H1954" s="19" t="str">
        <x:v>D:/Codex/GRL研究/outputs/grid38/GRID38_report.md</x:v>
      </x:c>
    </x:row>
    <x:row r="1955" ht="36" customHeight="1">
      <x:c r="A1955" s="19" t="str">
        <x:v>GRID38</x:v>
      </x:c>
      <x:c r="B1955" s="19" t="str">
        <x:v>GRID38_report.md</x:v>
      </x:c>
      <x:c r="C1955" s="19" t="str">
        <x:v>1. GRID38 单一训练目标修订</x:v>
      </x:c>
      <x:c r="D1955" s="19" t="str">
        <x:v>模型=MLP0；原查询=7549</x:v>
      </x:c>
      <x:c r="E1955" s="19" t="str">
        <x:v>原/新同FULL选择</x:v>
      </x:c>
      <x:c r="F1955" s="19" t="str">
        <x:v>25/24</x:v>
      </x:c>
      <x:c r="G1955" s="19" t="str">
        <x:v>质量/成本</x:v>
      </x:c>
      <x:c r="H1955" s="19" t="str">
        <x:v>D:/Codex/GRL研究/outputs/grid38/GRID38_report.md</x:v>
      </x:c>
    </x:row>
    <x:row r="1956" ht="36" customHeight="1">
      <x:c r="A1956" s="19" t="str">
        <x:v>GRID38</x:v>
      </x:c>
      <x:c r="B1956" s="19" t="str">
        <x:v>GRID38_report.md</x:v>
      </x:c>
      <x:c r="C1956" s="19" t="str">
        <x:v>1. GRID38 单一训练目标修订</x:v>
      </x:c>
      <x:c r="D1956" s="19" t="str">
        <x:v>模型=MLP0；原查询=7549</x:v>
      </x:c>
      <x:c r="E1956" s="19" t="str">
        <x:v>最大rho差</x:v>
      </x:c>
      <x:c r="F1956" s="19" t="str">
        <x:v>0.0165976</x:v>
      </x:c>
      <x:c r="G1956" s="19" t="str">
        <x:v>质量/成本</x:v>
      </x:c>
      <x:c r="H1956" s="19" t="str">
        <x:v>D:/Codex/GRL研究/outputs/grid38/GRID38_report.md</x:v>
      </x:c>
    </x:row>
    <x:row r="1957" ht="36" customHeight="1">
      <x:c r="A1957" s="19" t="str">
        <x:v>GRID38</x:v>
      </x:c>
      <x:c r="B1957" s="19" t="str">
        <x:v>GRID38_report.md</x:v>
      </x:c>
      <x:c r="C1957" s="19" t="str">
        <x:v>1. GRID38 单一训练目标修订</x:v>
      </x:c>
      <x:c r="D1957" s="19" t="str">
        <x:v>模型=MLP0；原查询=7549</x:v>
      </x:c>
      <x:c r="E1957" s="19" t="str">
        <x:v>找回关键动作</x:v>
      </x:c>
      <x:c r="F1957" s="19" t="str">
        <x:v>True</x:v>
      </x:c>
      <x:c r="G1957" s="19" t="str">
        <x:v>其他/配置</x:v>
      </x:c>
      <x:c r="H1957" s="19" t="str">
        <x:v>D:/Codex/GRL研究/outputs/grid38/GRID38_report.md</x:v>
      </x:c>
    </x:row>
    <x:row r="1958" ht="36" customHeight="1">
      <x:c r="A1958" s="19" t="str">
        <x:v>GRID38</x:v>
      </x:c>
      <x:c r="B1958" s="19" t="str">
        <x:v>GRID38_report.md</x:v>
      </x:c>
      <x:c r="C1958" s="19" t="str">
        <x:v>1. GRID38 单一训练目标修订</x:v>
      </x:c>
      <x:c r="D1958" s="19" t="str">
        <x:v>模型=MLP1；原查询=7826</x:v>
      </x:c>
      <x:c r="E1958" s="19" t="str">
        <x:v>原查询</x:v>
      </x:c>
      <x:c r="F1958" s="19" t="str">
        <x:v>7826</x:v>
      </x:c>
      <x:c r="G1958" s="19" t="str">
        <x:v>速度/计算</x:v>
      </x:c>
      <x:c r="H1958" s="19" t="str">
        <x:v>D:/Codex/GRL研究/outputs/grid38/GRID38_report.md</x:v>
      </x:c>
    </x:row>
    <x:row r="1959" ht="36" customHeight="1">
      <x:c r="A1959" s="19" t="str">
        <x:v>GRID38</x:v>
      </x:c>
      <x:c r="B1959" s="19" t="str">
        <x:v>GRID38_report.md</x:v>
      </x:c>
      <x:c r="C1959" s="19" t="str">
        <x:v>1. GRID38 单一训练目标修订</x:v>
      </x:c>
      <x:c r="D1959" s="19" t="str">
        <x:v>模型=MLP1；原查询=7826</x:v>
      </x:c>
      <x:c r="E1959" s="19" t="str">
        <x:v>新查询</x:v>
      </x:c>
      <x:c r="F1959" s="19" t="str">
        <x:v>7651</x:v>
      </x:c>
      <x:c r="G1959" s="19" t="str">
        <x:v>速度/计算</x:v>
      </x:c>
      <x:c r="H1959" s="19" t="str">
        <x:v>D:/Codex/GRL研究/outputs/grid38/GRID38_report.md</x:v>
      </x:c>
    </x:row>
    <x:row r="1960" ht="36" customHeight="1">
      <x:c r="A1960" s="19" t="str">
        <x:v>GRID38</x:v>
      </x:c>
      <x:c r="B1960" s="19" t="str">
        <x:v>GRID38_report.md</x:v>
      </x:c>
      <x:c r="C1960" s="19" t="str">
        <x:v>1. GRID38 单一训练目标修订</x:v>
      </x:c>
      <x:c r="D1960" s="19" t="str">
        <x:v>模型=MLP1；原查询=7826</x:v>
      </x:c>
      <x:c r="E1960" s="19" t="str">
        <x:v>查询减少</x:v>
      </x:c>
      <x:c r="F1960" s="19" t="str">
        <x:v>2.236%</x:v>
      </x:c>
      <x:c r="G1960" s="19" t="str">
        <x:v>速度/计算</x:v>
      </x:c>
      <x:c r="H1960" s="19" t="str">
        <x:v>D:/Codex/GRL研究/outputs/grid38/GRID38_report.md</x:v>
      </x:c>
    </x:row>
    <x:row r="1961" ht="36" customHeight="1">
      <x:c r="A1961" s="19" t="str">
        <x:v>GRID38</x:v>
      </x:c>
      <x:c r="B1961" s="19" t="str">
        <x:v>GRID38_report.md</x:v>
      </x:c>
      <x:c r="C1961" s="19" t="str">
        <x:v>1. GRID38 单一训练目标修订</x:v>
      </x:c>
      <x:c r="D1961" s="19" t="str">
        <x:v>模型=MLP1；原查询=7826</x:v>
      </x:c>
      <x:c r="E1961" s="19" t="str">
        <x:v>原/新同FULL选择</x:v>
      </x:c>
      <x:c r="F1961" s="19" t="str">
        <x:v>26/24</x:v>
      </x:c>
      <x:c r="G1961" s="19" t="str">
        <x:v>质量/成本</x:v>
      </x:c>
      <x:c r="H1961" s="19" t="str">
        <x:v>D:/Codex/GRL研究/outputs/grid38/GRID38_report.md</x:v>
      </x:c>
    </x:row>
    <x:row r="1962" ht="36" customHeight="1">
      <x:c r="A1962" s="19" t="str">
        <x:v>GRID38</x:v>
      </x:c>
      <x:c r="B1962" s="19" t="str">
        <x:v>GRID38_report.md</x:v>
      </x:c>
      <x:c r="C1962" s="19" t="str">
        <x:v>1. GRID38 单一训练目标修订</x:v>
      </x:c>
      <x:c r="D1962" s="19" t="str">
        <x:v>模型=MLP1；原查询=7826</x:v>
      </x:c>
      <x:c r="E1962" s="19" t="str">
        <x:v>最大rho差</x:v>
      </x:c>
      <x:c r="F1962" s="19" t="str">
        <x:v>0.0165976</x:v>
      </x:c>
      <x:c r="G1962" s="19" t="str">
        <x:v>质量/成本</x:v>
      </x:c>
      <x:c r="H1962" s="19" t="str">
        <x:v>D:/Codex/GRL研究/outputs/grid38/GRID38_report.md</x:v>
      </x:c>
    </x:row>
    <x:row r="1963" ht="36" customHeight="1">
      <x:c r="A1963" s="19" t="str">
        <x:v>GRID38</x:v>
      </x:c>
      <x:c r="B1963" s="19" t="str">
        <x:v>GRID38_report.md</x:v>
      </x:c>
      <x:c r="C1963" s="19" t="str">
        <x:v>1. GRID38 单一训练目标修订</x:v>
      </x:c>
      <x:c r="D1963" s="19" t="str">
        <x:v>模型=MLP1；原查询=7826</x:v>
      </x:c>
      <x:c r="E1963" s="19" t="str">
        <x:v>找回关键动作</x:v>
      </x:c>
      <x:c r="F1963" s="19" t="str">
        <x:v>True</x:v>
      </x:c>
      <x:c r="G1963" s="19" t="str">
        <x:v>其他/配置</x:v>
      </x:c>
      <x:c r="H1963" s="19" t="str">
        <x:v>D:/Codex/GRL研究/outputs/grid38/GRID38_report.md</x:v>
      </x:c>
    </x:row>
    <x:row r="1964" ht="36" customHeight="1">
      <x:c r="A1964" s="19" t="str">
        <x:v>GRID39</x:v>
      </x:c>
      <x:c r="B1964" s="19" t="str">
        <x:v>GRID39_report.md</x:v>
      </x:c>
      <x:c r="C1964" s="19" t="str">
        <x:v>1. GRID39 一版目标修订的实际闭环评价</x:v>
      </x:c>
      <x:c r="D1964" s="19" t="str">
        <x:v>方法=FULL；控制秒总计=308.692</x:v>
      </x:c>
      <x:c r="E1964" s="19" t="str">
        <x:v>控制秒总计</x:v>
      </x:c>
      <x:c r="F1964" s="19" t="str">
        <x:v>308.692</x:v>
      </x:c>
      <x:c r="G1964" s="19" t="str">
        <x:v>速度/计算</x:v>
      </x:c>
      <x:c r="H1964" s="19" t="str">
        <x:v>D:/Codex/GRL研究/outputs/grid39/GRID39_report.md</x:v>
      </x:c>
    </x:row>
    <x:row r="1965" ht="36" customHeight="1">
      <x:c r="A1965" s="19" t="str">
        <x:v>GRID39</x:v>
      </x:c>
      <x:c r="B1965" s="19" t="str">
        <x:v>GRID39_report.md</x:v>
      </x:c>
      <x:c r="C1965" s="19" t="str">
        <x:v>1. GRID39 一版目标修订的实际闭环评价</x:v>
      </x:c>
      <x:c r="D1965" s="19" t="str">
        <x:v>方法=FULL；控制秒总计=308.692</x:v>
      </x:c>
      <x:c r="E1965" s="19" t="str">
        <x:v>查询</x:v>
      </x:c>
      <x:c r="F1965" s="19" t="str">
        <x:v>22597</x:v>
      </x:c>
      <x:c r="G1965" s="19" t="str">
        <x:v>速度/计算</x:v>
      </x:c>
      <x:c r="H1965" s="19" t="str">
        <x:v>D:/Codex/GRL研究/outputs/grid39/GRID39_report.md</x:v>
      </x:c>
    </x:row>
    <x:row r="1966" ht="36" customHeight="1">
      <x:c r="A1966" s="19" t="str">
        <x:v>GRID39</x:v>
      </x:c>
      <x:c r="B1966" s="19" t="str">
        <x:v>GRID39_report.md</x:v>
      </x:c>
      <x:c r="C1966" s="19" t="str">
        <x:v>1. GRID39 一版目标修订的实际闭环评价</x:v>
      </x:c>
      <x:c r="D1966" s="19" t="str">
        <x:v>方法=FULL；控制秒总计=308.692</x:v>
      </x:c>
      <x:c r="E1966" s="19" t="str">
        <x:v>质量筛查通过</x:v>
      </x:c>
      <x:c r="F1966" s="19" t="str">
        <x:v>4/4</x:v>
      </x:c>
      <x:c r="G1966" s="19" t="str">
        <x:v>质量/成本</x:v>
      </x:c>
      <x:c r="H1966" s="19" t="str">
        <x:v>D:/Codex/GRL研究/outputs/grid39/GRID39_report.md</x:v>
      </x:c>
    </x:row>
    <x:row r="1967" ht="36" customHeight="1">
      <x:c r="A1967" s="19" t="str">
        <x:v>GRID39</x:v>
      </x:c>
      <x:c r="B1967" s="19" t="str">
        <x:v>GRID39_report.md</x:v>
      </x:c>
      <x:c r="C1967" s="19" t="str">
        <x:v>1. GRID39 一版目标修订的实际闭环评价</x:v>
      </x:c>
      <x:c r="D1967" s="19" t="str">
        <x:v>方法=FULL；控制秒总计=308.692</x:v>
      </x:c>
      <x:c r="E1967" s="19" t="str">
        <x:v>完成</x:v>
      </x:c>
      <x:c r="F1967" s="19" t="str">
        <x:v>3/4</x:v>
      </x:c>
      <x:c r="G1967" s="19" t="str">
        <x:v>质量/成本</x:v>
      </x:c>
      <x:c r="H1967" s="19" t="str">
        <x:v>D:/Codex/GRL研究/outputs/grid39/GRID39_report.md</x:v>
      </x:c>
    </x:row>
    <x:row r="1968" ht="36" customHeight="1">
      <x:c r="A1968" s="19" t="str">
        <x:v>GRID39</x:v>
      </x:c>
      <x:c r="B1968" s="19" t="str">
        <x:v>GRID39_report.md</x:v>
      </x:c>
      <x:c r="C1968" s="19" t="str">
        <x:v>1. GRID39 一版目标修订的实际闭环评价</x:v>
      </x:c>
      <x:c r="D1968" s="19" t="str">
        <x:v>方法=FULL；控制秒总计=308.692</x:v>
      </x:c>
      <x:c r="E1968" s="19" t="str">
        <x:v>最大可比成本差</x:v>
      </x:c>
      <x:c r="F1968" s="19" t="str">
        <x:v>0.00000%</x:v>
      </x:c>
      <x:c r="G1968" s="19" t="str">
        <x:v>质量/成本</x:v>
      </x:c>
      <x:c r="H1968" s="19" t="str">
        <x:v>D:/Codex/GRL研究/outputs/grid39/GRID39_report.md</x:v>
      </x:c>
    </x:row>
    <x:row r="1969" ht="36" customHeight="1">
      <x:c r="A1969" s="19" t="str">
        <x:v>GRID39</x:v>
      </x:c>
      <x:c r="B1969" s="19" t="str">
        <x:v>GRID39_report.md</x:v>
      </x:c>
      <x:c r="C1969" s="19" t="str">
        <x:v>1. GRID39 一版目标修订的实际闭环评价</x:v>
      </x:c>
      <x:c r="D1969" s="19" t="str">
        <x:v>方法=REVISED_GNN0；控制秒总计=274.638</x:v>
      </x:c>
      <x:c r="E1969" s="19" t="str">
        <x:v>控制秒总计</x:v>
      </x:c>
      <x:c r="F1969" s="19" t="str">
        <x:v>274.638</x:v>
      </x:c>
      <x:c r="G1969" s="19" t="str">
        <x:v>速度/计算</x:v>
      </x:c>
      <x:c r="H1969" s="19" t="str">
        <x:v>D:/Codex/GRL研究/outputs/grid39/GRID39_report.md</x:v>
      </x:c>
    </x:row>
    <x:row r="1970" ht="36" customHeight="1">
      <x:c r="A1970" s="19" t="str">
        <x:v>GRID39</x:v>
      </x:c>
      <x:c r="B1970" s="19" t="str">
        <x:v>GRID39_report.md</x:v>
      </x:c>
      <x:c r="C1970" s="19" t="str">
        <x:v>1. GRID39 一版目标修订的实际闭环评价</x:v>
      </x:c>
      <x:c r="D1970" s="19" t="str">
        <x:v>方法=REVISED_GNN0；控制秒总计=274.638</x:v>
      </x:c>
      <x:c r="E1970" s="19" t="str">
        <x:v>查询</x:v>
      </x:c>
      <x:c r="F1970" s="19" t="str">
        <x:v>7380</x:v>
      </x:c>
      <x:c r="G1970" s="19" t="str">
        <x:v>速度/计算</x:v>
      </x:c>
      <x:c r="H1970" s="19" t="str">
        <x:v>D:/Codex/GRL研究/outputs/grid39/GRID39_report.md</x:v>
      </x:c>
    </x:row>
    <x:row r="1971" ht="36" customHeight="1">
      <x:c r="A1971" s="19" t="str">
        <x:v>GRID39</x:v>
      </x:c>
      <x:c r="B1971" s="19" t="str">
        <x:v>GRID39_report.md</x:v>
      </x:c>
      <x:c r="C1971" s="19" t="str">
        <x:v>1. GRID39 一版目标修订的实际闭环评价</x:v>
      </x:c>
      <x:c r="D1971" s="19" t="str">
        <x:v>方法=REVISED_GNN0；控制秒总计=274.638</x:v>
      </x:c>
      <x:c r="E1971" s="19" t="str">
        <x:v>质量筛查通过</x:v>
      </x:c>
      <x:c r="F1971" s="19" t="str">
        <x:v>4/4</x:v>
      </x:c>
      <x:c r="G1971" s="19" t="str">
        <x:v>质量/成本</x:v>
      </x:c>
      <x:c r="H1971" s="19" t="str">
        <x:v>D:/Codex/GRL研究/outputs/grid39/GRID39_report.md</x:v>
      </x:c>
    </x:row>
    <x:row r="1972" ht="36" customHeight="1">
      <x:c r="A1972" s="19" t="str">
        <x:v>GRID39</x:v>
      </x:c>
      <x:c r="B1972" s="19" t="str">
        <x:v>GRID39_report.md</x:v>
      </x:c>
      <x:c r="C1972" s="19" t="str">
        <x:v>1. GRID39 一版目标修订的实际闭环评价</x:v>
      </x:c>
      <x:c r="D1972" s="19" t="str">
        <x:v>方法=REVISED_GNN0；控制秒总计=274.638</x:v>
      </x:c>
      <x:c r="E1972" s="19" t="str">
        <x:v>完成</x:v>
      </x:c>
      <x:c r="F1972" s="19" t="str">
        <x:v>3/4</x:v>
      </x:c>
      <x:c r="G1972" s="19" t="str">
        <x:v>质量/成本</x:v>
      </x:c>
      <x:c r="H1972" s="19" t="str">
        <x:v>D:/Codex/GRL研究/outputs/grid39/GRID39_report.md</x:v>
      </x:c>
    </x:row>
    <x:row r="1973" ht="36" customHeight="1">
      <x:c r="A1973" s="19" t="str">
        <x:v>GRID39</x:v>
      </x:c>
      <x:c r="B1973" s="19" t="str">
        <x:v>GRID39_report.md</x:v>
      </x:c>
      <x:c r="C1973" s="19" t="str">
        <x:v>1. GRID39 一版目标修订的实际闭环评价</x:v>
      </x:c>
      <x:c r="D1973" s="19" t="str">
        <x:v>方法=REVISED_GNN0；控制秒总计=274.638</x:v>
      </x:c>
      <x:c r="E1973" s="19" t="str">
        <x:v>最大可比成本差</x:v>
      </x:c>
      <x:c r="F1973" s="19" t="str">
        <x:v>0.13612%</x:v>
      </x:c>
      <x:c r="G1973" s="19" t="str">
        <x:v>质量/成本</x:v>
      </x:c>
      <x:c r="H1973" s="19" t="str">
        <x:v>D:/Codex/GRL研究/outputs/grid39/GRID39_report.md</x:v>
      </x:c>
    </x:row>
    <x:row r="1974" ht="36" customHeight="1">
      <x:c r="A1974" s="19" t="str">
        <x:v>GRID39</x:v>
      </x:c>
      <x:c r="B1974" s="19" t="str">
        <x:v>GRID39_report.md</x:v>
      </x:c>
      <x:c r="C1974" s="19" t="str">
        <x:v>1. GRID39 一版目标修订的实际闭环评价</x:v>
      </x:c>
      <x:c r="D1974" s="19" t="str">
        <x:v>方法=REVISED_GNN1；控制秒总计=273.841</x:v>
      </x:c>
      <x:c r="E1974" s="19" t="str">
        <x:v>控制秒总计</x:v>
      </x:c>
      <x:c r="F1974" s="19" t="str">
        <x:v>273.841</x:v>
      </x:c>
      <x:c r="G1974" s="19" t="str">
        <x:v>速度/计算</x:v>
      </x:c>
      <x:c r="H1974" s="19" t="str">
        <x:v>D:/Codex/GRL研究/outputs/grid39/GRID39_report.md</x:v>
      </x:c>
    </x:row>
    <x:row r="1975" ht="36" customHeight="1">
      <x:c r="A1975" s="19" t="str">
        <x:v>GRID39</x:v>
      </x:c>
      <x:c r="B1975" s="19" t="str">
        <x:v>GRID39_report.md</x:v>
      </x:c>
      <x:c r="C1975" s="19" t="str">
        <x:v>1. GRID39 一版目标修订的实际闭环评价</x:v>
      </x:c>
      <x:c r="D1975" s="19" t="str">
        <x:v>方法=REVISED_GNN1；控制秒总计=273.841</x:v>
      </x:c>
      <x:c r="E1975" s="19" t="str">
        <x:v>查询</x:v>
      </x:c>
      <x:c r="F1975" s="19" t="str">
        <x:v>7381</x:v>
      </x:c>
      <x:c r="G1975" s="19" t="str">
        <x:v>速度/计算</x:v>
      </x:c>
      <x:c r="H1975" s="19" t="str">
        <x:v>D:/Codex/GRL研究/outputs/grid39/GRID39_report.md</x:v>
      </x:c>
    </x:row>
    <x:row r="1976" ht="36" customHeight="1">
      <x:c r="A1976" s="19" t="str">
        <x:v>GRID39</x:v>
      </x:c>
      <x:c r="B1976" s="19" t="str">
        <x:v>GRID39_report.md</x:v>
      </x:c>
      <x:c r="C1976" s="19" t="str">
        <x:v>1. GRID39 一版目标修订的实际闭环评价</x:v>
      </x:c>
      <x:c r="D1976" s="19" t="str">
        <x:v>方法=REVISED_GNN1；控制秒总计=273.841</x:v>
      </x:c>
      <x:c r="E1976" s="19" t="str">
        <x:v>质量筛查通过</x:v>
      </x:c>
      <x:c r="F1976" s="19" t="str">
        <x:v>4/4</x:v>
      </x:c>
      <x:c r="G1976" s="19" t="str">
        <x:v>质量/成本</x:v>
      </x:c>
      <x:c r="H1976" s="19" t="str">
        <x:v>D:/Codex/GRL研究/outputs/grid39/GRID39_report.md</x:v>
      </x:c>
    </x:row>
    <x:row r="1977" ht="36" customHeight="1">
      <x:c r="A1977" s="19" t="str">
        <x:v>GRID39</x:v>
      </x:c>
      <x:c r="B1977" s="19" t="str">
        <x:v>GRID39_report.md</x:v>
      </x:c>
      <x:c r="C1977" s="19" t="str">
        <x:v>1. GRID39 一版目标修订的实际闭环评价</x:v>
      </x:c>
      <x:c r="D1977" s="19" t="str">
        <x:v>方法=REVISED_GNN1；控制秒总计=273.841</x:v>
      </x:c>
      <x:c r="E1977" s="19" t="str">
        <x:v>完成</x:v>
      </x:c>
      <x:c r="F1977" s="19" t="str">
        <x:v>3/4</x:v>
      </x:c>
      <x:c r="G1977" s="19" t="str">
        <x:v>质量/成本</x:v>
      </x:c>
      <x:c r="H1977" s="19" t="str">
        <x:v>D:/Codex/GRL研究/outputs/grid39/GRID39_report.md</x:v>
      </x:c>
    </x:row>
    <x:row r="1978" ht="36" customHeight="1">
      <x:c r="A1978" s="19" t="str">
        <x:v>GRID39</x:v>
      </x:c>
      <x:c r="B1978" s="19" t="str">
        <x:v>GRID39_report.md</x:v>
      </x:c>
      <x:c r="C1978" s="19" t="str">
        <x:v>1. GRID39 一版目标修订的实际闭环评价</x:v>
      </x:c>
      <x:c r="D1978" s="19" t="str">
        <x:v>方法=REVISED_GNN1；控制秒总计=273.841</x:v>
      </x:c>
      <x:c r="E1978" s="19" t="str">
        <x:v>最大可比成本差</x:v>
      </x:c>
      <x:c r="F1978" s="19" t="str">
        <x:v>0.13612%</x:v>
      </x:c>
      <x:c r="G1978" s="19" t="str">
        <x:v>质量/成本</x:v>
      </x:c>
      <x:c r="H1978" s="19" t="str">
        <x:v>D:/Codex/GRL研究/outputs/grid39/GRID39_report.md</x:v>
      </x:c>
    </x:row>
    <x:row r="1979" ht="36" customHeight="1">
      <x:c r="A1979" s="19" t="str">
        <x:v>GRID39</x:v>
      </x:c>
      <x:c r="B1979" s="19" t="str">
        <x:v>GRID39_report.md</x:v>
      </x:c>
      <x:c r="C1979" s="19" t="str">
        <x:v>2. GRID39 一版目标修订的实际闭环评价</x:v>
      </x:c>
      <x:c r="D1979" s="19" t="str">
        <x:v>方法=REVISED_GNN0；对照=FULL</x:v>
      </x:c>
      <x:c r="E1979" s="19" t="str">
        <x:v>对照</x:v>
      </x:c>
      <x:c r="F1979" s="19" t="str">
        <x:v>FULL</x:v>
      </x:c>
      <x:c r="G1979" s="19" t="str">
        <x:v>其他/配置</x:v>
      </x:c>
      <x:c r="H1979" s="19" t="str">
        <x:v>D:/Codex/GRL研究/outputs/grid39/GRID39_report.md</x:v>
      </x:c>
    </x:row>
    <x:row r="1980" ht="36" customHeight="1">
      <x:c r="A1980" s="19" t="str">
        <x:v>GRID39</x:v>
      </x:c>
      <x:c r="B1980" s="19" t="str">
        <x:v>GRID39_report.md</x:v>
      </x:c>
      <x:c r="C1980" s="19" t="str">
        <x:v>2. GRID39 一版目标修订的实际闭环评价</x:v>
      </x:c>
      <x:c r="D1980" s="19" t="str">
        <x:v>方法=REVISED_GNN0；对照=FULL</x:v>
      </x:c>
      <x:c r="E1980" s="19" t="str">
        <x:v>控制时间减少</x:v>
      </x:c>
      <x:c r="F1980" s="19" t="str">
        <x:v>11.032%</x:v>
      </x:c>
      <x:c r="G1980" s="19" t="str">
        <x:v>速度/计算</x:v>
      </x:c>
      <x:c r="H1980" s="19" t="str">
        <x:v>D:/Codex/GRL研究/outputs/grid39/GRID39_report.md</x:v>
      </x:c>
    </x:row>
    <x:row r="1981" ht="36" customHeight="1">
      <x:c r="A1981" s="19" t="str">
        <x:v>GRID39</x:v>
      </x:c>
      <x:c r="B1981" s="19" t="str">
        <x:v>GRID39_report.md</x:v>
      </x:c>
      <x:c r="C1981" s="19" t="str">
        <x:v>2. GRID39 一版目标修订的实际闭环评价</x:v>
      </x:c>
      <x:c r="D1981" s="19" t="str">
        <x:v>方法=REVISED_GNN0；对照=FULL</x:v>
      </x:c>
      <x:c r="E1981" s="19" t="str">
        <x:v>查询减少</x:v>
      </x:c>
      <x:c r="F1981" s="19" t="str">
        <x:v>67.341%</x:v>
      </x:c>
      <x:c r="G1981" s="19" t="str">
        <x:v>速度/计算</x:v>
      </x:c>
      <x:c r="H1981" s="19" t="str">
        <x:v>D:/Codex/GRL研究/outputs/grid39/GRID39_report.md</x:v>
      </x:c>
    </x:row>
    <x:row r="1982" ht="36" customHeight="1">
      <x:c r="A1982" s="19" t="str">
        <x:v>GRID39</x:v>
      </x:c>
      <x:c r="B1982" s="19" t="str">
        <x:v>GRID39_report.md</x:v>
      </x:c>
      <x:c r="C1982" s="19" t="str">
        <x:v>2. GRID39 一版目标修订的实际闭环评价</x:v>
      </x:c>
      <x:c r="D1982" s="19" t="str">
        <x:v>方法=REVISED_GNN0；对照=FULL</x:v>
      </x:c>
      <x:c r="E1982" s="19" t="str">
        <x:v>时间正向配对</x:v>
      </x:c>
      <x:c r="F1982" s="19" t="str">
        <x:v>4/4</x:v>
      </x:c>
      <x:c r="G1982" s="19" t="str">
        <x:v>速度/计算</x:v>
      </x:c>
      <x:c r="H1982" s="19" t="str">
        <x:v>D:/Codex/GRL研究/outputs/grid39/GRID39_report.md</x:v>
      </x:c>
    </x:row>
    <x:row r="1983" ht="36" customHeight="1">
      <x:c r="A1983" s="19" t="str">
        <x:v>GRID39</x:v>
      </x:c>
      <x:c r="B1983" s="19" t="str">
        <x:v>GRID39_report.md</x:v>
      </x:c>
      <x:c r="C1983" s="19" t="str">
        <x:v>2. GRID39 一版目标修订的实际闭环评价</x:v>
      </x:c>
      <x:c r="D1983" s="19" t="str">
        <x:v>方法=REVISED_GNN1；对照=FULL</x:v>
      </x:c>
      <x:c r="E1983" s="19" t="str">
        <x:v>对照</x:v>
      </x:c>
      <x:c r="F1983" s="19" t="str">
        <x:v>FULL</x:v>
      </x:c>
      <x:c r="G1983" s="19" t="str">
        <x:v>其他/配置</x:v>
      </x:c>
      <x:c r="H1983" s="19" t="str">
        <x:v>D:/Codex/GRL研究/outputs/grid39/GRID39_report.md</x:v>
      </x:c>
    </x:row>
    <x:row r="1984" ht="36" customHeight="1">
      <x:c r="A1984" s="19" t="str">
        <x:v>GRID39</x:v>
      </x:c>
      <x:c r="B1984" s="19" t="str">
        <x:v>GRID39_report.md</x:v>
      </x:c>
      <x:c r="C1984" s="19" t="str">
        <x:v>2. GRID39 一版目标修订的实际闭环评价</x:v>
      </x:c>
      <x:c r="D1984" s="19" t="str">
        <x:v>方法=REVISED_GNN1；对照=FULL</x:v>
      </x:c>
      <x:c r="E1984" s="19" t="str">
        <x:v>控制时间减少</x:v>
      </x:c>
      <x:c r="F1984" s="19" t="str">
        <x:v>11.290%</x:v>
      </x:c>
      <x:c r="G1984" s="19" t="str">
        <x:v>速度/计算</x:v>
      </x:c>
      <x:c r="H1984" s="19" t="str">
        <x:v>D:/Codex/GRL研究/outputs/grid39/GRID39_report.md</x:v>
      </x:c>
    </x:row>
    <x:row r="1985" ht="36" customHeight="1">
      <x:c r="A1985" s="19" t="str">
        <x:v>GRID39</x:v>
      </x:c>
      <x:c r="B1985" s="19" t="str">
        <x:v>GRID39_report.md</x:v>
      </x:c>
      <x:c r="C1985" s="19" t="str">
        <x:v>2. GRID39 一版目标修订的实际闭环评价</x:v>
      </x:c>
      <x:c r="D1985" s="19" t="str">
        <x:v>方法=REVISED_GNN1；对照=FULL</x:v>
      </x:c>
      <x:c r="E1985" s="19" t="str">
        <x:v>查询减少</x:v>
      </x:c>
      <x:c r="F1985" s="19" t="str">
        <x:v>67.336%</x:v>
      </x:c>
      <x:c r="G1985" s="19" t="str">
        <x:v>速度/计算</x:v>
      </x:c>
      <x:c r="H1985" s="19" t="str">
        <x:v>D:/Codex/GRL研究/outputs/grid39/GRID39_report.md</x:v>
      </x:c>
    </x:row>
    <x:row r="1986" ht="36" customHeight="1">
      <x:c r="A1986" s="19" t="str">
        <x:v>GRID39</x:v>
      </x:c>
      <x:c r="B1986" s="19" t="str">
        <x:v>GRID39_report.md</x:v>
      </x:c>
      <x:c r="C1986" s="19" t="str">
        <x:v>2. GRID39 一版目标修订的实际闭环评价</x:v>
      </x:c>
      <x:c r="D1986" s="19" t="str">
        <x:v>方法=REVISED_GNN1；对照=FULL</x:v>
      </x:c>
      <x:c r="E1986" s="19" t="str">
        <x:v>时间正向配对</x:v>
      </x:c>
      <x:c r="F1986" s="19" t="str">
        <x:v>4/4</x:v>
      </x:c>
      <x:c r="G1986" s="19" t="str">
        <x:v>速度/计算</x:v>
      </x:c>
      <x:c r="H1986" s="19" t="str">
        <x:v>D:/Codex/GRL研究/outputs/grid39/GRID39_report.md</x:v>
      </x:c>
    </x:row>
    <x:row r="1987" ht="36" customHeight="1">
      <x:c r="A1987" s="19" t="str">
        <x:v>GRID39</x:v>
      </x:c>
      <x:c r="B1987" s="19" t="str">
        <x:v>GRID39_report.md</x:v>
      </x:c>
      <x:c r="C1987" s="19" t="str">
        <x:v>3. 与原版的质量/查询参照</x:v>
      </x:c>
      <x:c r="D1987" s="19" t="str">
        <x:v>种子=0；原/新查询=7312/7380</x:v>
      </x:c>
      <x:c r="E1987" s="19" t="str">
        <x:v>原/新查询</x:v>
      </x:c>
      <x:c r="F1987" s="19" t="str">
        <x:v>7312/7380</x:v>
      </x:c>
      <x:c r="G1987" s="19" t="str">
        <x:v>速度/计算</x:v>
      </x:c>
      <x:c r="H1987" s="19" t="str">
        <x:v>D:/Codex/GRL研究/outputs/grid39/GRID39_report.md</x:v>
      </x:c>
    </x:row>
    <x:row r="1988" ht="36" customHeight="1">
      <x:c r="A1988" s="19" t="str">
        <x:v>GRID39</x:v>
      </x:c>
      <x:c r="B1988" s="19" t="str">
        <x:v>GRID39_report.md</x:v>
      </x:c>
      <x:c r="C1988" s="19" t="str">
        <x:v>3. 与原版的质量/查询参照</x:v>
      </x:c>
      <x:c r="D1988" s="19" t="str">
        <x:v>种子=0；原/新查询=7312/7380</x:v>
      </x:c>
      <x:c r="E1988" s="19" t="str">
        <x:v>查询减少</x:v>
      </x:c>
      <x:c r="F1988" s="19" t="str">
        <x:v>-0.930%</x:v>
      </x:c>
      <x:c r="G1988" s="19" t="str">
        <x:v>速度/计算</x:v>
      </x:c>
      <x:c r="H1988" s="19" t="str">
        <x:v>D:/Codex/GRL研究/outputs/grid39/GRID39_report.md</x:v>
      </x:c>
    </x:row>
    <x:row r="1989" ht="36" customHeight="1">
      <x:c r="A1989" s="19" t="str">
        <x:v>GRID39</x:v>
      </x:c>
      <x:c r="B1989" s="19" t="str">
        <x:v>GRID39_report.md</x:v>
      </x:c>
      <x:c r="C1989" s="19" t="str">
        <x:v>3. 与原版的质量/查询参照</x:v>
      </x:c>
      <x:c r="D1989" s="19" t="str">
        <x:v>种子=0；原/新查询=7312/7380</x:v>
      </x:c>
      <x:c r="E1989" s="19" t="str">
        <x:v>成本变化（四周平均，以FULL成本归一化）</x:v>
      </x:c>
      <x:c r="F1989" s="19" t="str">
        <x:v>0.00000%</x:v>
      </x:c>
      <x:c r="G1989" s="19" t="str">
        <x:v>质量/成本</x:v>
      </x:c>
      <x:c r="H1989" s="19" t="str">
        <x:v>D:/Codex/GRL研究/outputs/grid39/GRID39_report.md</x:v>
      </x:c>
    </x:row>
    <x:row r="1990" ht="36" customHeight="1">
      <x:c r="A1990" s="19" t="str">
        <x:v>GRID39</x:v>
      </x:c>
      <x:c r="B1990" s="19" t="str">
        <x:v>GRID39_report.md</x:v>
      </x:c>
      <x:c r="C1990" s="19" t="str">
        <x:v>3. 与原版的质量/查询参照</x:v>
      </x:c>
      <x:c r="D1990" s="19" t="str">
        <x:v>种子=1；原/新查询=7484/7381</x:v>
      </x:c>
      <x:c r="E1990" s="19" t="str">
        <x:v>原/新查询</x:v>
      </x:c>
      <x:c r="F1990" s="19" t="str">
        <x:v>7484/7381</x:v>
      </x:c>
      <x:c r="G1990" s="19" t="str">
        <x:v>速度/计算</x:v>
      </x:c>
      <x:c r="H1990" s="19" t="str">
        <x:v>D:/Codex/GRL研究/outputs/grid39/GRID39_report.md</x:v>
      </x:c>
    </x:row>
    <x:row r="1991" ht="36" customHeight="1">
      <x:c r="A1991" s="19" t="str">
        <x:v>GRID39</x:v>
      </x:c>
      <x:c r="B1991" s="19" t="str">
        <x:v>GRID39_report.md</x:v>
      </x:c>
      <x:c r="C1991" s="19" t="str">
        <x:v>3. 与原版的质量/查询参照</x:v>
      </x:c>
      <x:c r="D1991" s="19" t="str">
        <x:v>种子=1；原/新查询=7484/7381</x:v>
      </x:c>
      <x:c r="E1991" s="19" t="str">
        <x:v>查询减少</x:v>
      </x:c>
      <x:c r="F1991" s="19" t="str">
        <x:v>1.376%</x:v>
      </x:c>
      <x:c r="G1991" s="19" t="str">
        <x:v>速度/计算</x:v>
      </x:c>
      <x:c r="H1991" s="19" t="str">
        <x:v>D:/Codex/GRL研究/outputs/grid39/GRID39_report.md</x:v>
      </x:c>
    </x:row>
    <x:row r="1992" ht="36" customHeight="1">
      <x:c r="A1992" s="19" t="str">
        <x:v>GRID39</x:v>
      </x:c>
      <x:c r="B1992" s="19" t="str">
        <x:v>GRID39_report.md</x:v>
      </x:c>
      <x:c r="C1992" s="19" t="str">
        <x:v>3. 与原版的质量/查询参照</x:v>
      </x:c>
      <x:c r="D1992" s="19" t="str">
        <x:v>种子=1；原/新查询=7484/7381</x:v>
      </x:c>
      <x:c r="E1992" s="19" t="str">
        <x:v>成本变化（四周平均，以FULL成本归一化）</x:v>
      </x:c>
      <x:c r="F1992" s="19" t="str">
        <x:v>0.03403%</x:v>
      </x:c>
      <x:c r="G1992" s="19" t="str">
        <x:v>质量/成本</x:v>
      </x:c>
      <x:c r="H1992" s="19" t="str">
        <x:v>D:/Codex/GRL研究/outputs/grid39/GRID39_report.md</x:v>
      </x:c>
    </x:row>
    <x:row r="1993" ht="36" customHeight="1">
      <x:c r="A1993" s="19" t="str">
        <x:v>GRID40B</x:v>
      </x:c>
      <x:c r="B1993" s="19" t="str">
        <x:v>GRID40B_report.md</x:v>
      </x:c>
      <x:c r="C1993" s="19" t="str">
        <x:v>1. GRID40B SoftGNN核心适配及训练优化检查</x:v>
      </x:c>
      <x:c r="D1993" s="19" t="str">
        <x:v>种子=0；原训练KL=3.0739</x:v>
      </x:c>
      <x:c r="E1993" s="19" t="str">
        <x:v>原训练KL</x:v>
      </x:c>
      <x:c r="F1993" s="19" t="str">
        <x:v>3.0739</x:v>
      </x:c>
      <x:c r="G1993" s="19" t="str">
        <x:v>其他/配置</x:v>
      </x:c>
      <x:c r="H1993" s="19" t="str">
        <x:v>D:/Codex/GRL研究/outputs/grid40b/GRID40B_report.md</x:v>
      </x:c>
    </x:row>
    <x:row r="1994" ht="36" customHeight="1">
      <x:c r="A1994" s="19" t="str">
        <x:v>GRID40B</x:v>
      </x:c>
      <x:c r="B1994" s="19" t="str">
        <x:v>GRID40B_report.md</x:v>
      </x:c>
      <x:c r="C1994" s="19" t="str">
        <x:v>1. GRID40B SoftGNN核心适配及训练优化检查</x:v>
      </x:c>
      <x:c r="D1994" s="19" t="str">
        <x:v>种子=0；原训练KL=3.0739</x:v>
      </x:c>
      <x:c r="E1994" s="19" t="str">
        <x:v>修订训练KL</x:v>
      </x:c>
      <x:c r="F1994" s="19" t="str">
        <x:v>1.1526</x:v>
      </x:c>
      <x:c r="G1994" s="19" t="str">
        <x:v>其他/配置</x:v>
      </x:c>
      <x:c r="H1994" s="19" t="str">
        <x:v>D:/Codex/GRL研究/outputs/grid40b/GRID40B_report.md</x:v>
      </x:c>
    </x:row>
    <x:row r="1995" ht="36" customHeight="1">
      <x:c r="A1995" s="19" t="str">
        <x:v>GRID40B</x:v>
      </x:c>
      <x:c r="B1995" s="19" t="str">
        <x:v>GRID40B_report.md</x:v>
      </x:c>
      <x:c r="C1995" s="19" t="str">
        <x:v>1. GRID40B SoftGNN核心适配及训练优化检查</x:v>
      </x:c>
      <x:c r="D1995" s="19" t="str">
        <x:v>种子=0；原训练KL=3.0739</x:v>
      </x:c>
      <x:c r="E1995" s="19" t="str">
        <x:v>静态频率KL</x:v>
      </x:c>
      <x:c r="F1995" s="19" t="str">
        <x:v>3.0717</x:v>
      </x:c>
      <x:c r="G1995" s="19" t="str">
        <x:v>其他/配置</x:v>
      </x:c>
      <x:c r="H1995" s="19" t="str">
        <x:v>D:/Codex/GRL研究/outputs/grid40b/GRID40B_report.md</x:v>
      </x:c>
    </x:row>
    <x:row r="1996" ht="36" customHeight="1">
      <x:c r="A1996" s="19" t="str">
        <x:v>GRID40B</x:v>
      </x:c>
      <x:c r="B1996" s="19" t="str">
        <x:v>GRID40B_report.md</x:v>
      </x:c>
      <x:c r="C1996" s="19" t="str">
        <x:v>1. GRID40B SoftGNN核心适配及训练优化检查</x:v>
      </x:c>
      <x:c r="D1996" s="19" t="str">
        <x:v>种子=1；原训练KL=2.9923</x:v>
      </x:c>
      <x:c r="E1996" s="19" t="str">
        <x:v>原训练KL</x:v>
      </x:c>
      <x:c r="F1996" s="19" t="str">
        <x:v>2.9923</x:v>
      </x:c>
      <x:c r="G1996" s="19" t="str">
        <x:v>其他/配置</x:v>
      </x:c>
      <x:c r="H1996" s="19" t="str">
        <x:v>D:/Codex/GRL研究/outputs/grid40b/GRID40B_report.md</x:v>
      </x:c>
    </x:row>
    <x:row r="1997" ht="36" customHeight="1">
      <x:c r="A1997" s="19" t="str">
        <x:v>GRID40B</x:v>
      </x:c>
      <x:c r="B1997" s="19" t="str">
        <x:v>GRID40B_report.md</x:v>
      </x:c>
      <x:c r="C1997" s="19" t="str">
        <x:v>1. GRID40B SoftGNN核心适配及训练优化检查</x:v>
      </x:c>
      <x:c r="D1997" s="19" t="str">
        <x:v>种子=1；原训练KL=2.9923</x:v>
      </x:c>
      <x:c r="E1997" s="19" t="str">
        <x:v>修订训练KL</x:v>
      </x:c>
      <x:c r="F1997" s="19" t="str">
        <x:v>0.6785</x:v>
      </x:c>
      <x:c r="G1997" s="19" t="str">
        <x:v>其他/配置</x:v>
      </x:c>
      <x:c r="H1997" s="19" t="str">
        <x:v>D:/Codex/GRL研究/outputs/grid40b/GRID40B_report.md</x:v>
      </x:c>
    </x:row>
    <x:row r="1998" ht="36" customHeight="1">
      <x:c r="A1998" s="19" t="str">
        <x:v>GRID40B</x:v>
      </x:c>
      <x:c r="B1998" s="19" t="str">
        <x:v>GRID40B_report.md</x:v>
      </x:c>
      <x:c r="C1998" s="19" t="str">
        <x:v>1. GRID40B SoftGNN核心适配及训练优化检查</x:v>
      </x:c>
      <x:c r="D1998" s="19" t="str">
        <x:v>种子=1；原训练KL=2.9923</x:v>
      </x:c>
      <x:c r="E1998" s="19" t="str">
        <x:v>静态频率KL</x:v>
      </x:c>
      <x:c r="F1998" s="19" t="str">
        <x:v>3.0717</x:v>
      </x:c>
      <x:c r="G1998" s="19" t="str">
        <x:v>其他/配置</x:v>
      </x:c>
      <x:c r="H1998" s="19" t="str">
        <x:v>D:/Codex/GRL研究/outputs/grid40b/GRID40B_report.md</x:v>
      </x:c>
    </x:row>
    <x:row r="1999" ht="36" customHeight="1">
      <x:c r="A1999" s="19" t="str">
        <x:v>GRID40B</x:v>
      </x:c>
      <x:c r="B1999" s="19" t="str">
        <x:v>GRID40B_report.md</x:v>
      </x:c>
      <x:c r="C1999" s="19" t="str">
        <x:v>2. GRID40B SoftGNN核心适配及训练优化检查</x:v>
      </x:c>
      <x:c r="D1999" s="19" t="str">
        <x:v>模型=SOFTGNN0；26状态查询=8064</x:v>
      </x:c>
      <x:c r="E1999" s="19" t="str">
        <x:v>26状态查询</x:v>
      </x:c>
      <x:c r="F1999" s="19" t="str">
        <x:v>8064</x:v>
      </x:c>
      <x:c r="G1999" s="19" t="str">
        <x:v>速度/计算</x:v>
      </x:c>
      <x:c r="H1999" s="19" t="str">
        <x:v>D:/Codex/GRL研究/outputs/grid40b/GRID40B_report.md</x:v>
      </x:c>
    </x:row>
    <x:row r="2000" ht="36" customHeight="1">
      <x:c r="A2000" s="19" t="str">
        <x:v>GRID40B</x:v>
      </x:c>
      <x:c r="B2000" s="19" t="str">
        <x:v>GRID40B_report.md</x:v>
      </x:c>
      <x:c r="C2000" s="19" t="str">
        <x:v>2. GRID40B SoftGNN核心适配及训练优化检查</x:v>
      </x:c>
      <x:c r="D2000" s="19" t="str">
        <x:v>模型=SOFTGNN0；26状态查询=8064</x:v>
      </x:c>
      <x:c r="E2000" s="19" t="str">
        <x:v>原GNN查询</x:v>
      </x:c>
      <x:c r="F2000" s="19" t="str">
        <x:v>7358</x:v>
      </x:c>
      <x:c r="G2000" s="19" t="str">
        <x:v>速度/计算</x:v>
      </x:c>
      <x:c r="H2000" s="19" t="str">
        <x:v>D:/Codex/GRL研究/outputs/grid40b/GRID40B_report.md</x:v>
      </x:c>
    </x:row>
    <x:row r="2001" ht="36" customHeight="1">
      <x:c r="A2001" s="19" t="str">
        <x:v>GRID40B</x:v>
      </x:c>
      <x:c r="B2001" s="19" t="str">
        <x:v>GRID40B_report.md</x:v>
      </x:c>
      <x:c r="C2001" s="19" t="str">
        <x:v>2. GRID40B SoftGNN核心适配及训练优化检查</x:v>
      </x:c>
      <x:c r="D2001" s="19" t="str">
        <x:v>模型=SOFTGNN0；26状态查询=8064</x:v>
      </x:c>
      <x:c r="E2001" s="19" t="str">
        <x:v>同FULL选择</x:v>
      </x:c>
      <x:c r="F2001" s="19" t="str">
        <x:v>22/26</x:v>
      </x:c>
      <x:c r="G2001" s="19" t="str">
        <x:v>质量/成本</x:v>
      </x:c>
      <x:c r="H2001" s="19" t="str">
        <x:v>D:/Codex/GRL研究/outputs/grid40b/GRID40B_report.md</x:v>
      </x:c>
    </x:row>
    <x:row r="2002" ht="36" customHeight="1">
      <x:c r="A2002" s="19" t="str">
        <x:v>GRID40B</x:v>
      </x:c>
      <x:c r="B2002" s="19" t="str">
        <x:v>GRID40B_report.md</x:v>
      </x:c>
      <x:c r="C2002" s="19" t="str">
        <x:v>2. GRID40B SoftGNN核心适配及训练优化检查</x:v>
      </x:c>
      <x:c r="D2002" s="19" t="str">
        <x:v>模型=SOFTGNN0；26状态查询=8064</x:v>
      </x:c>
      <x:c r="E2002" s="19" t="str">
        <x:v>最大rho差</x:v>
      </x:c>
      <x:c r="F2002" s="19" t="str">
        <x:v>0.0027224</x:v>
      </x:c>
      <x:c r="G2002" s="19" t="str">
        <x:v>质量/成本</x:v>
      </x:c>
      <x:c r="H2002" s="19" t="str">
        <x:v>D:/Codex/GRL研究/outputs/grid40b/GRID40B_report.md</x:v>
      </x:c>
    </x:row>
    <x:row r="2003" ht="36" customHeight="1">
      <x:c r="A2003" s="19" t="str">
        <x:v>GRID40B</x:v>
      </x:c>
      <x:c r="B2003" s="19" t="str">
        <x:v>GRID40B_report.md</x:v>
      </x:c>
      <x:c r="C2003" s="19" t="str">
        <x:v>2. GRID40B SoftGNN核心适配及训练优化检查</x:v>
      </x:c>
      <x:c r="D2003" s="19" t="str">
        <x:v>模型=SOFTGNN0；26状态查询=8064</x:v>
      </x:c>
      <x:c r="E2003" s="19" t="str">
        <x:v>关键1733匹配</x:v>
      </x:c>
      <x:c r="F2003" s="19" t="str">
        <x:v>True</x:v>
      </x:c>
      <x:c r="G2003" s="19" t="str">
        <x:v>其他/配置</x:v>
      </x:c>
      <x:c r="H2003" s="19" t="str">
        <x:v>D:/Codex/GRL研究/outputs/grid40b/GRID40B_report.md</x:v>
      </x:c>
    </x:row>
    <x:row r="2004" ht="36" customHeight="1">
      <x:c r="A2004" s="19" t="str">
        <x:v>GRID40B</x:v>
      </x:c>
      <x:c r="B2004" s="19" t="str">
        <x:v>GRID40B_report.md</x:v>
      </x:c>
      <x:c r="C2004" s="19" t="str">
        <x:v>2. GRID40B SoftGNN核心适配及训练优化检查</x:v>
      </x:c>
      <x:c r="D2004" s="19" t="str">
        <x:v>模型=SOFTGNN1；26状态查询=8004</x:v>
      </x:c>
      <x:c r="E2004" s="19" t="str">
        <x:v>26状态查询</x:v>
      </x:c>
      <x:c r="F2004" s="19" t="str">
        <x:v>8004</x:v>
      </x:c>
      <x:c r="G2004" s="19" t="str">
        <x:v>速度/计算</x:v>
      </x:c>
      <x:c r="H2004" s="19" t="str">
        <x:v>D:/Codex/GRL研究/outputs/grid40b/GRID40B_report.md</x:v>
      </x:c>
    </x:row>
    <x:row r="2005" ht="36" customHeight="1">
      <x:c r="A2005" s="19" t="str">
        <x:v>GRID40B</x:v>
      </x:c>
      <x:c r="B2005" s="19" t="str">
        <x:v>GRID40B_report.md</x:v>
      </x:c>
      <x:c r="C2005" s="19" t="str">
        <x:v>2. GRID40B SoftGNN核心适配及训练优化检查</x:v>
      </x:c>
      <x:c r="D2005" s="19" t="str">
        <x:v>模型=SOFTGNN1；26状态查询=8004</x:v>
      </x:c>
      <x:c r="E2005" s="19" t="str">
        <x:v>原GNN查询</x:v>
      </x:c>
      <x:c r="F2005" s="19" t="str">
        <x:v>7530</x:v>
      </x:c>
      <x:c r="G2005" s="19" t="str">
        <x:v>速度/计算</x:v>
      </x:c>
      <x:c r="H2005" s="19" t="str">
        <x:v>D:/Codex/GRL研究/outputs/grid40b/GRID40B_report.md</x:v>
      </x:c>
    </x:row>
    <x:row r="2006" ht="36" customHeight="1">
      <x:c r="A2006" s="19" t="str">
        <x:v>GRID40B</x:v>
      </x:c>
      <x:c r="B2006" s="19" t="str">
        <x:v>GRID40B_report.md</x:v>
      </x:c>
      <x:c r="C2006" s="19" t="str">
        <x:v>2. GRID40B SoftGNN核心适配及训练优化检查</x:v>
      </x:c>
      <x:c r="D2006" s="19" t="str">
        <x:v>模型=SOFTGNN1；26状态查询=8004</x:v>
      </x:c>
      <x:c r="E2006" s="19" t="str">
        <x:v>同FULL选择</x:v>
      </x:c>
      <x:c r="F2006" s="19" t="str">
        <x:v>22/26</x:v>
      </x:c>
      <x:c r="G2006" s="19" t="str">
        <x:v>质量/成本</x:v>
      </x:c>
      <x:c r="H2006" s="19" t="str">
        <x:v>D:/Codex/GRL研究/outputs/grid40b/GRID40B_report.md</x:v>
      </x:c>
    </x:row>
    <x:row r="2007" ht="36" customHeight="1">
      <x:c r="A2007" s="19" t="str">
        <x:v>GRID40B</x:v>
      </x:c>
      <x:c r="B2007" s="19" t="str">
        <x:v>GRID40B_report.md</x:v>
      </x:c>
      <x:c r="C2007" s="19" t="str">
        <x:v>2. GRID40B SoftGNN核心适配及训练优化检查</x:v>
      </x:c>
      <x:c r="D2007" s="19" t="str">
        <x:v>模型=SOFTGNN1；26状态查询=8004</x:v>
      </x:c>
      <x:c r="E2007" s="19" t="str">
        <x:v>最大rho差</x:v>
      </x:c>
      <x:c r="F2007" s="19" t="str">
        <x:v>0.0101787</x:v>
      </x:c>
      <x:c r="G2007" s="19" t="str">
        <x:v>质量/成本</x:v>
      </x:c>
      <x:c r="H2007" s="19" t="str">
        <x:v>D:/Codex/GRL研究/outputs/grid40b/GRID40B_report.md</x:v>
      </x:c>
    </x:row>
    <x:row r="2008" ht="36" customHeight="1">
      <x:c r="A2008" s="19" t="str">
        <x:v>GRID40B</x:v>
      </x:c>
      <x:c r="B2008" s="19" t="str">
        <x:v>GRID40B_report.md</x:v>
      </x:c>
      <x:c r="C2008" s="19" t="str">
        <x:v>2. GRID40B SoftGNN核心适配及训练优化检查</x:v>
      </x:c>
      <x:c r="D2008" s="19" t="str">
        <x:v>模型=SOFTGNN1；26状态查询=8004</x:v>
      </x:c>
      <x:c r="E2008" s="19" t="str">
        <x:v>关键1733匹配</x:v>
      </x:c>
      <x:c r="F2008" s="19" t="str">
        <x:v>True</x:v>
      </x:c>
      <x:c r="G2008" s="19" t="str">
        <x:v>其他/配置</x:v>
      </x:c>
      <x:c r="H2008" s="19" t="str">
        <x:v>D:/Codex/GRL研究/outputs/grid40b/GRID40B_report.md</x:v>
      </x:c>
    </x:row>
    <x:row r="2009" ht="36" customHeight="1">
      <x:c r="A2009" s="19" t="str">
        <x:v>GRID41</x:v>
      </x:c>
      <x:c r="B2009" s="19" t="str">
        <x:v>GRID41_report.md</x:v>
      </x:c>
      <x:c r="C2009" s="19" t="str">
        <x:v>1. GRID41 近期SoftGNN适配与原模型的同条件闭环比较</x:v>
      </x:c>
      <x:c r="D2009" s="19" t="str">
        <x:v>方法=FULL；控制秒总计=307.513</x:v>
      </x:c>
      <x:c r="E2009" s="19" t="str">
        <x:v>控制秒总计</x:v>
      </x:c>
      <x:c r="F2009" s="19" t="str">
        <x:v>307.513</x:v>
      </x:c>
      <x:c r="G2009" s="19" t="str">
        <x:v>速度/计算</x:v>
      </x:c>
      <x:c r="H2009" s="19" t="str">
        <x:v>D:/Codex/GRL研究/outputs/grid41/GRID41_report.md</x:v>
      </x:c>
    </x:row>
    <x:row r="2010" ht="36" customHeight="1">
      <x:c r="A2010" s="19" t="str">
        <x:v>GRID41</x:v>
      </x:c>
      <x:c r="B2010" s="19" t="str">
        <x:v>GRID41_report.md</x:v>
      </x:c>
      <x:c r="C2010" s="19" t="str">
        <x:v>1. GRID41 近期SoftGNN适配与原模型的同条件闭环比较</x:v>
      </x:c>
      <x:c r="D2010" s="19" t="str">
        <x:v>方法=FULL；控制秒总计=307.513</x:v>
      </x:c>
      <x:c r="E2010" s="19" t="str">
        <x:v>查询</x:v>
      </x:c>
      <x:c r="F2010" s="19" t="str">
        <x:v>22597</x:v>
      </x:c>
      <x:c r="G2010" s="19" t="str">
        <x:v>速度/计算</x:v>
      </x:c>
      <x:c r="H2010" s="19" t="str">
        <x:v>D:/Codex/GRL研究/outputs/grid41/GRID41_report.md</x:v>
      </x:c>
    </x:row>
    <x:row r="2011" ht="36" customHeight="1">
      <x:c r="A2011" s="19" t="str">
        <x:v>GRID41</x:v>
      </x:c>
      <x:c r="B2011" s="19" t="str">
        <x:v>GRID41_report.md</x:v>
      </x:c>
      <x:c r="C2011" s="19" t="str">
        <x:v>1. GRID41 近期SoftGNN适配与原模型的同条件闭环比较</x:v>
      </x:c>
      <x:c r="D2011" s="19" t="str">
        <x:v>方法=FULL；控制秒总计=307.513</x:v>
      </x:c>
      <x:c r="E2011" s="19" t="str">
        <x:v>质量筛查通过</x:v>
      </x:c>
      <x:c r="F2011" s="19" t="str">
        <x:v>4/4</x:v>
      </x:c>
      <x:c r="G2011" s="19" t="str">
        <x:v>质量/成本</x:v>
      </x:c>
      <x:c r="H2011" s="19" t="str">
        <x:v>D:/Codex/GRL研究/outputs/grid41/GRID41_report.md</x:v>
      </x:c>
    </x:row>
    <x:row r="2012" ht="36" customHeight="1">
      <x:c r="A2012" s="19" t="str">
        <x:v>GRID41</x:v>
      </x:c>
      <x:c r="B2012" s="19" t="str">
        <x:v>GRID41_report.md</x:v>
      </x:c>
      <x:c r="C2012" s="19" t="str">
        <x:v>1. GRID41 近期SoftGNN适配与原模型的同条件闭环比较</x:v>
      </x:c>
      <x:c r="D2012" s="19" t="str">
        <x:v>方法=FULL；控制秒总计=307.513</x:v>
      </x:c>
      <x:c r="E2012" s="19" t="str">
        <x:v>完成</x:v>
      </x:c>
      <x:c r="F2012" s="19" t="str">
        <x:v>3/4</x:v>
      </x:c>
      <x:c r="G2012" s="19" t="str">
        <x:v>质量/成本</x:v>
      </x:c>
      <x:c r="H2012" s="19" t="str">
        <x:v>D:/Codex/GRL研究/outputs/grid41/GRID41_report.md</x:v>
      </x:c>
    </x:row>
    <x:row r="2013" ht="36" customHeight="1">
      <x:c r="A2013" s="19" t="str">
        <x:v>GRID41</x:v>
      </x:c>
      <x:c r="B2013" s="19" t="str">
        <x:v>GRID41_report.md</x:v>
      </x:c>
      <x:c r="C2013" s="19" t="str">
        <x:v>1. GRID41 近期SoftGNN适配与原模型的同条件闭环比较</x:v>
      </x:c>
      <x:c r="D2013" s="19" t="str">
        <x:v>方法=FULL；控制秒总计=307.513</x:v>
      </x:c>
      <x:c r="E2013" s="19" t="str">
        <x:v>最大可比成本差</x:v>
      </x:c>
      <x:c r="F2013" s="19" t="str">
        <x:v>0.00000%</x:v>
      </x:c>
      <x:c r="G2013" s="19" t="str">
        <x:v>质量/成本</x:v>
      </x:c>
      <x:c r="H2013" s="19" t="str">
        <x:v>D:/Codex/GRL研究/outputs/grid41/GRID41_report.md</x:v>
      </x:c>
    </x:row>
    <x:row r="2014" ht="36" customHeight="1">
      <x:c r="A2014" s="19" t="str">
        <x:v>GRID41</x:v>
      </x:c>
      <x:c r="B2014" s="19" t="str">
        <x:v>GRID41_report.md</x:v>
      </x:c>
      <x:c r="C2014" s="19" t="str">
        <x:v>1. GRID41 近期SoftGNN适配与原模型的同条件闭环比较</x:v>
      </x:c>
      <x:c r="D2014" s="19" t="str">
        <x:v>方法=LOCAL_GNN0；控制秒总计=272.249</x:v>
      </x:c>
      <x:c r="E2014" s="19" t="str">
        <x:v>控制秒总计</x:v>
      </x:c>
      <x:c r="F2014" s="19" t="str">
        <x:v>272.249</x:v>
      </x:c>
      <x:c r="G2014" s="19" t="str">
        <x:v>速度/计算</x:v>
      </x:c>
      <x:c r="H2014" s="19" t="str">
        <x:v>D:/Codex/GRL研究/outputs/grid41/GRID41_report.md</x:v>
      </x:c>
    </x:row>
    <x:row r="2015" ht="36" customHeight="1">
      <x:c r="A2015" s="19" t="str">
        <x:v>GRID41</x:v>
      </x:c>
      <x:c r="B2015" s="19" t="str">
        <x:v>GRID41_report.md</x:v>
      </x:c>
      <x:c r="C2015" s="19" t="str">
        <x:v>1. GRID41 近期SoftGNN适配与原模型的同条件闭环比较</x:v>
      </x:c>
      <x:c r="D2015" s="19" t="str">
        <x:v>方法=LOCAL_GNN0；控制秒总计=272.249</x:v>
      </x:c>
      <x:c r="E2015" s="19" t="str">
        <x:v>查询</x:v>
      </x:c>
      <x:c r="F2015" s="19" t="str">
        <x:v>7312</x:v>
      </x:c>
      <x:c r="G2015" s="19" t="str">
        <x:v>速度/计算</x:v>
      </x:c>
      <x:c r="H2015" s="19" t="str">
        <x:v>D:/Codex/GRL研究/outputs/grid41/GRID41_report.md</x:v>
      </x:c>
    </x:row>
    <x:row r="2016" ht="36" customHeight="1">
      <x:c r="A2016" s="19" t="str">
        <x:v>GRID41</x:v>
      </x:c>
      <x:c r="B2016" s="19" t="str">
        <x:v>GRID41_report.md</x:v>
      </x:c>
      <x:c r="C2016" s="19" t="str">
        <x:v>1. GRID41 近期SoftGNN适配与原模型的同条件闭环比较</x:v>
      </x:c>
      <x:c r="D2016" s="19" t="str">
        <x:v>方法=LOCAL_GNN0；控制秒总计=272.249</x:v>
      </x:c>
      <x:c r="E2016" s="19" t="str">
        <x:v>质量筛查通过</x:v>
      </x:c>
      <x:c r="F2016" s="19" t="str">
        <x:v>4/4</x:v>
      </x:c>
      <x:c r="G2016" s="19" t="str">
        <x:v>质量/成本</x:v>
      </x:c>
      <x:c r="H2016" s="19" t="str">
        <x:v>D:/Codex/GRL研究/outputs/grid41/GRID41_report.md</x:v>
      </x:c>
    </x:row>
    <x:row r="2017" ht="36" customHeight="1">
      <x:c r="A2017" s="19" t="str">
        <x:v>GRID41</x:v>
      </x:c>
      <x:c r="B2017" s="19" t="str">
        <x:v>GRID41_report.md</x:v>
      </x:c>
      <x:c r="C2017" s="19" t="str">
        <x:v>1. GRID41 近期SoftGNN适配与原模型的同条件闭环比较</x:v>
      </x:c>
      <x:c r="D2017" s="19" t="str">
        <x:v>方法=LOCAL_GNN0；控制秒总计=272.249</x:v>
      </x:c>
      <x:c r="E2017" s="19" t="str">
        <x:v>完成</x:v>
      </x:c>
      <x:c r="F2017" s="19" t="str">
        <x:v>3/4</x:v>
      </x:c>
      <x:c r="G2017" s="19" t="str">
        <x:v>质量/成本</x:v>
      </x:c>
      <x:c r="H2017" s="19" t="str">
        <x:v>D:/Codex/GRL研究/outputs/grid41/GRID41_report.md</x:v>
      </x:c>
    </x:row>
    <x:row r="2018" ht="36" customHeight="1">
      <x:c r="A2018" s="19" t="str">
        <x:v>GRID41</x:v>
      </x:c>
      <x:c r="B2018" s="19" t="str">
        <x:v>GRID41_report.md</x:v>
      </x:c>
      <x:c r="C2018" s="19" t="str">
        <x:v>1. GRID41 近期SoftGNN适配与原模型的同条件闭环比较</x:v>
      </x:c>
      <x:c r="D2018" s="19" t="str">
        <x:v>方法=LOCAL_GNN0；控制秒总计=272.249</x:v>
      </x:c>
      <x:c r="E2018" s="19" t="str">
        <x:v>最大可比成本差</x:v>
      </x:c>
      <x:c r="F2018" s="19" t="str">
        <x:v>0.13612%</x:v>
      </x:c>
      <x:c r="G2018" s="19" t="str">
        <x:v>质量/成本</x:v>
      </x:c>
      <x:c r="H2018" s="19" t="str">
        <x:v>D:/Codex/GRL研究/outputs/grid41/GRID41_report.md</x:v>
      </x:c>
    </x:row>
    <x:row r="2019" ht="36" customHeight="1">
      <x:c r="A2019" s="19" t="str">
        <x:v>GRID41</x:v>
      </x:c>
      <x:c r="B2019" s="19" t="str">
        <x:v>GRID41_report.md</x:v>
      </x:c>
      <x:c r="C2019" s="19" t="str">
        <x:v>1. GRID41 近期SoftGNN适配与原模型的同条件闭环比较</x:v>
      </x:c>
      <x:c r="D2019" s="19" t="str">
        <x:v>方法=LOCAL_GNN1；控制秒总计=273.679</x:v>
      </x:c>
      <x:c r="E2019" s="19" t="str">
        <x:v>控制秒总计</x:v>
      </x:c>
      <x:c r="F2019" s="19" t="str">
        <x:v>273.679</x:v>
      </x:c>
      <x:c r="G2019" s="19" t="str">
        <x:v>速度/计算</x:v>
      </x:c>
      <x:c r="H2019" s="19" t="str">
        <x:v>D:/Codex/GRL研究/outputs/grid41/GRID41_report.md</x:v>
      </x:c>
    </x:row>
    <x:row r="2020" ht="36" customHeight="1">
      <x:c r="A2020" s="19" t="str">
        <x:v>GRID41</x:v>
      </x:c>
      <x:c r="B2020" s="19" t="str">
        <x:v>GRID41_report.md</x:v>
      </x:c>
      <x:c r="C2020" s="19" t="str">
        <x:v>1. GRID41 近期SoftGNN适配与原模型的同条件闭环比较</x:v>
      </x:c>
      <x:c r="D2020" s="19" t="str">
        <x:v>方法=LOCAL_GNN1；控制秒总计=273.679</x:v>
      </x:c>
      <x:c r="E2020" s="19" t="str">
        <x:v>查询</x:v>
      </x:c>
      <x:c r="F2020" s="19" t="str">
        <x:v>7484</x:v>
      </x:c>
      <x:c r="G2020" s="19" t="str">
        <x:v>速度/计算</x:v>
      </x:c>
      <x:c r="H2020" s="19" t="str">
        <x:v>D:/Codex/GRL研究/outputs/grid41/GRID41_report.md</x:v>
      </x:c>
    </x:row>
    <x:row r="2021" ht="36" customHeight="1">
      <x:c r="A2021" s="19" t="str">
        <x:v>GRID41</x:v>
      </x:c>
      <x:c r="B2021" s="19" t="str">
        <x:v>GRID41_report.md</x:v>
      </x:c>
      <x:c r="C2021" s="19" t="str">
        <x:v>1. GRID41 近期SoftGNN适配与原模型的同条件闭环比较</x:v>
      </x:c>
      <x:c r="D2021" s="19" t="str">
        <x:v>方法=LOCAL_GNN1；控制秒总计=273.679</x:v>
      </x:c>
      <x:c r="E2021" s="19" t="str">
        <x:v>质量筛查通过</x:v>
      </x:c>
      <x:c r="F2021" s="19" t="str">
        <x:v>4/4</x:v>
      </x:c>
      <x:c r="G2021" s="19" t="str">
        <x:v>质量/成本</x:v>
      </x:c>
      <x:c r="H2021" s="19" t="str">
        <x:v>D:/Codex/GRL研究/outputs/grid41/GRID41_report.md</x:v>
      </x:c>
    </x:row>
    <x:row r="2022" ht="36" customHeight="1">
      <x:c r="A2022" s="19" t="str">
        <x:v>GRID41</x:v>
      </x:c>
      <x:c r="B2022" s="19" t="str">
        <x:v>GRID41_report.md</x:v>
      </x:c>
      <x:c r="C2022" s="19" t="str">
        <x:v>1. GRID41 近期SoftGNN适配与原模型的同条件闭环比较</x:v>
      </x:c>
      <x:c r="D2022" s="19" t="str">
        <x:v>方法=LOCAL_GNN1；控制秒总计=273.679</x:v>
      </x:c>
      <x:c r="E2022" s="19" t="str">
        <x:v>完成</x:v>
      </x:c>
      <x:c r="F2022" s="19" t="str">
        <x:v>3/4</x:v>
      </x:c>
      <x:c r="G2022" s="19" t="str">
        <x:v>质量/成本</x:v>
      </x:c>
      <x:c r="H2022" s="19" t="str">
        <x:v>D:/Codex/GRL研究/outputs/grid41/GRID41_report.md</x:v>
      </x:c>
    </x:row>
    <x:row r="2023" ht="36" customHeight="1">
      <x:c r="A2023" s="19" t="str">
        <x:v>GRID41</x:v>
      </x:c>
      <x:c r="B2023" s="19" t="str">
        <x:v>GRID41_report.md</x:v>
      </x:c>
      <x:c r="C2023" s="19" t="str">
        <x:v>1. GRID41 近期SoftGNN适配与原模型的同条件闭环比较</x:v>
      </x:c>
      <x:c r="D2023" s="19" t="str">
        <x:v>方法=LOCAL_GNN1；控制秒总计=273.679</x:v>
      </x:c>
      <x:c r="E2023" s="19" t="str">
        <x:v>最大可比成本差</x:v>
      </x:c>
      <x:c r="F2023" s="19" t="str">
        <x:v>0.00081%</x:v>
      </x:c>
      <x:c r="G2023" s="19" t="str">
        <x:v>质量/成本</x:v>
      </x:c>
      <x:c r="H2023" s="19" t="str">
        <x:v>D:/Codex/GRL研究/outputs/grid41/GRID41_report.md</x:v>
      </x:c>
    </x:row>
    <x:row r="2024" ht="36" customHeight="1">
      <x:c r="A2024" s="19" t="str">
        <x:v>GRID41</x:v>
      </x:c>
      <x:c r="B2024" s="19" t="str">
        <x:v>GRID41_report.md</x:v>
      </x:c>
      <x:c r="C2024" s="19" t="str">
        <x:v>1. GRID41 近期SoftGNN适配与原模型的同条件闭环比较</x:v>
      </x:c>
      <x:c r="D2024" s="19" t="str">
        <x:v>方法=SOFTGNN0；控制秒总计=267.580</x:v>
      </x:c>
      <x:c r="E2024" s="19" t="str">
        <x:v>控制秒总计</x:v>
      </x:c>
      <x:c r="F2024" s="19" t="str">
        <x:v>267.580</x:v>
      </x:c>
      <x:c r="G2024" s="19" t="str">
        <x:v>速度/计算</x:v>
      </x:c>
      <x:c r="H2024" s="19" t="str">
        <x:v>D:/Codex/GRL研究/outputs/grid41/GRID41_report.md</x:v>
      </x:c>
    </x:row>
    <x:row r="2025" ht="36" customHeight="1">
      <x:c r="A2025" s="19" t="str">
        <x:v>GRID41</x:v>
      </x:c>
      <x:c r="B2025" s="19" t="str">
        <x:v>GRID41_report.md</x:v>
      </x:c>
      <x:c r="C2025" s="19" t="str">
        <x:v>1. GRID41 近期SoftGNN适配与原模型的同条件闭环比较</x:v>
      </x:c>
      <x:c r="D2025" s="19" t="str">
        <x:v>方法=SOFTGNN0；控制秒总计=267.580</x:v>
      </x:c>
      <x:c r="E2025" s="19" t="str">
        <x:v>查询</x:v>
      </x:c>
      <x:c r="F2025" s="19" t="str">
        <x:v>8054</x:v>
      </x:c>
      <x:c r="G2025" s="19" t="str">
        <x:v>速度/计算</x:v>
      </x:c>
      <x:c r="H2025" s="19" t="str">
        <x:v>D:/Codex/GRL研究/outputs/grid41/GRID41_report.md</x:v>
      </x:c>
    </x:row>
    <x:row r="2026" ht="36" customHeight="1">
      <x:c r="A2026" s="19" t="str">
        <x:v>GRID41</x:v>
      </x:c>
      <x:c r="B2026" s="19" t="str">
        <x:v>GRID41_report.md</x:v>
      </x:c>
      <x:c r="C2026" s="19" t="str">
        <x:v>1. GRID41 近期SoftGNN适配与原模型的同条件闭环比较</x:v>
      </x:c>
      <x:c r="D2026" s="19" t="str">
        <x:v>方法=SOFTGNN0；控制秒总计=267.580</x:v>
      </x:c>
      <x:c r="E2026" s="19" t="str">
        <x:v>质量筛查通过</x:v>
      </x:c>
      <x:c r="F2026" s="19" t="str">
        <x:v>3/4</x:v>
      </x:c>
      <x:c r="G2026" s="19" t="str">
        <x:v>质量/成本</x:v>
      </x:c>
      <x:c r="H2026" s="19" t="str">
        <x:v>D:/Codex/GRL研究/outputs/grid41/GRID41_report.md</x:v>
      </x:c>
    </x:row>
    <x:row r="2027" ht="36" customHeight="1">
      <x:c r="A2027" s="19" t="str">
        <x:v>GRID41</x:v>
      </x:c>
      <x:c r="B2027" s="19" t="str">
        <x:v>GRID41_report.md</x:v>
      </x:c>
      <x:c r="C2027" s="19" t="str">
        <x:v>1. GRID41 近期SoftGNN适配与原模型的同条件闭环比较</x:v>
      </x:c>
      <x:c r="D2027" s="19" t="str">
        <x:v>方法=SOFTGNN0；控制秒总计=267.580</x:v>
      </x:c>
      <x:c r="E2027" s="19" t="str">
        <x:v>完成</x:v>
      </x:c>
      <x:c r="F2027" s="19" t="str">
        <x:v>3/4</x:v>
      </x:c>
      <x:c r="G2027" s="19" t="str">
        <x:v>质量/成本</x:v>
      </x:c>
      <x:c r="H2027" s="19" t="str">
        <x:v>D:/Codex/GRL研究/outputs/grid41/GRID41_report.md</x:v>
      </x:c>
    </x:row>
    <x:row r="2028" ht="36" customHeight="1">
      <x:c r="A2028" s="19" t="str">
        <x:v>GRID41</x:v>
      </x:c>
      <x:c r="B2028" s="19" t="str">
        <x:v>GRID41_report.md</x:v>
      </x:c>
      <x:c r="C2028" s="19" t="str">
        <x:v>1. GRID41 近期SoftGNN适配与原模型的同条件闭环比较</x:v>
      </x:c>
      <x:c r="D2028" s="19" t="str">
        <x:v>方法=SOFTGNN0；控制秒总计=267.580</x:v>
      </x:c>
      <x:c r="E2028" s="19" t="str">
        <x:v>最大可比成本差</x:v>
      </x:c>
      <x:c r="F2028" s="19" t="str">
        <x:v>2.90814%</x:v>
      </x:c>
      <x:c r="G2028" s="19" t="str">
        <x:v>质量/成本</x:v>
      </x:c>
      <x:c r="H2028" s="19" t="str">
        <x:v>D:/Codex/GRL研究/outputs/grid41/GRID41_report.md</x:v>
      </x:c>
    </x:row>
    <x:row r="2029" ht="36" customHeight="1">
      <x:c r="A2029" s="19" t="str">
        <x:v>GRID41</x:v>
      </x:c>
      <x:c r="B2029" s="19" t="str">
        <x:v>GRID41_report.md</x:v>
      </x:c>
      <x:c r="C2029" s="19" t="str">
        <x:v>1. GRID41 近期SoftGNN适配与原模型的同条件闭环比较</x:v>
      </x:c>
      <x:c r="D2029" s="19" t="str">
        <x:v>方法=SOFTGNN1；控制秒总计=276.756</x:v>
      </x:c>
      <x:c r="E2029" s="19" t="str">
        <x:v>控制秒总计</x:v>
      </x:c>
      <x:c r="F2029" s="19" t="str">
        <x:v>276.756</x:v>
      </x:c>
      <x:c r="G2029" s="19" t="str">
        <x:v>速度/计算</x:v>
      </x:c>
      <x:c r="H2029" s="19" t="str">
        <x:v>D:/Codex/GRL研究/outputs/grid41/GRID41_report.md</x:v>
      </x:c>
    </x:row>
    <x:row r="2030" ht="36" customHeight="1">
      <x:c r="A2030" s="19" t="str">
        <x:v>GRID41</x:v>
      </x:c>
      <x:c r="B2030" s="19" t="str">
        <x:v>GRID41_report.md</x:v>
      </x:c>
      <x:c r="C2030" s="19" t="str">
        <x:v>1. GRID41 近期SoftGNN适配与原模型的同条件闭环比较</x:v>
      </x:c>
      <x:c r="D2030" s="19" t="str">
        <x:v>方法=SOFTGNN1；控制秒总计=276.756</x:v>
      </x:c>
      <x:c r="E2030" s="19" t="str">
        <x:v>查询</x:v>
      </x:c>
      <x:c r="F2030" s="19" t="str">
        <x:v>8398</x:v>
      </x:c>
      <x:c r="G2030" s="19" t="str">
        <x:v>速度/计算</x:v>
      </x:c>
      <x:c r="H2030" s="19" t="str">
        <x:v>D:/Codex/GRL研究/outputs/grid41/GRID41_report.md</x:v>
      </x:c>
    </x:row>
    <x:row r="2031" ht="36" customHeight="1">
      <x:c r="A2031" s="19" t="str">
        <x:v>GRID41</x:v>
      </x:c>
      <x:c r="B2031" s="19" t="str">
        <x:v>GRID41_report.md</x:v>
      </x:c>
      <x:c r="C2031" s="19" t="str">
        <x:v>1. GRID41 近期SoftGNN适配与原模型的同条件闭环比较</x:v>
      </x:c>
      <x:c r="D2031" s="19" t="str">
        <x:v>方法=SOFTGNN1；控制秒总计=276.756</x:v>
      </x:c>
      <x:c r="E2031" s="19" t="str">
        <x:v>质量筛查通过</x:v>
      </x:c>
      <x:c r="F2031" s="19" t="str">
        <x:v>3/4</x:v>
      </x:c>
      <x:c r="G2031" s="19" t="str">
        <x:v>质量/成本</x:v>
      </x:c>
      <x:c r="H2031" s="19" t="str">
        <x:v>D:/Codex/GRL研究/outputs/grid41/GRID41_report.md</x:v>
      </x:c>
    </x:row>
    <x:row r="2032" ht="36" customHeight="1">
      <x:c r="A2032" s="19" t="str">
        <x:v>GRID41</x:v>
      </x:c>
      <x:c r="B2032" s="19" t="str">
        <x:v>GRID41_report.md</x:v>
      </x:c>
      <x:c r="C2032" s="19" t="str">
        <x:v>1. GRID41 近期SoftGNN适配与原模型的同条件闭环比较</x:v>
      </x:c>
      <x:c r="D2032" s="19" t="str">
        <x:v>方法=SOFTGNN1；控制秒总计=276.756</x:v>
      </x:c>
      <x:c r="E2032" s="19" t="str">
        <x:v>完成</x:v>
      </x:c>
      <x:c r="F2032" s="19" t="str">
        <x:v>3/4</x:v>
      </x:c>
      <x:c r="G2032" s="19" t="str">
        <x:v>质量/成本</x:v>
      </x:c>
      <x:c r="H2032" s="19" t="str">
        <x:v>D:/Codex/GRL研究/outputs/grid41/GRID41_report.md</x:v>
      </x:c>
    </x:row>
    <x:row r="2033" ht="36" customHeight="1">
      <x:c r="A2033" s="19" t="str">
        <x:v>GRID41</x:v>
      </x:c>
      <x:c r="B2033" s="19" t="str">
        <x:v>GRID41_report.md</x:v>
      </x:c>
      <x:c r="C2033" s="19" t="str">
        <x:v>1. GRID41 近期SoftGNN适配与原模型的同条件闭环比较</x:v>
      </x:c>
      <x:c r="D2033" s="19" t="str">
        <x:v>方法=SOFTGNN1；控制秒总计=276.756</x:v>
      </x:c>
      <x:c r="E2033" s="19" t="str">
        <x:v>最大可比成本差</x:v>
      </x:c>
      <x:c r="F2033" s="19" t="str">
        <x:v>6.19453%</x:v>
      </x:c>
      <x:c r="G2033" s="19" t="str">
        <x:v>质量/成本</x:v>
      </x:c>
      <x:c r="H2033" s="19" t="str">
        <x:v>D:/Codex/GRL研究/outputs/grid41/GRID41_report.md</x:v>
      </x:c>
    </x:row>
    <x:row r="2034" ht="36" customHeight="1">
      <x:c r="A2034" s="19" t="str">
        <x:v>GRID41</x:v>
      </x:c>
      <x:c r="B2034" s="19" t="str">
        <x:v>GRID41_report.md</x:v>
      </x:c>
      <x:c r="C2034" s="19" t="str">
        <x:v>2. GRID41 近期SoftGNN适配与原模型的同条件闭环比较</x:v>
      </x:c>
      <x:c r="D2034" s="19" t="str">
        <x:v>方法=LOCAL_GNN0；对照=FULL</x:v>
      </x:c>
      <x:c r="E2034" s="19" t="str">
        <x:v>对照</x:v>
      </x:c>
      <x:c r="F2034" s="19" t="str">
        <x:v>FULL</x:v>
      </x:c>
      <x:c r="G2034" s="19" t="str">
        <x:v>其他/配置</x:v>
      </x:c>
      <x:c r="H2034" s="19" t="str">
        <x:v>D:/Codex/GRL研究/outputs/grid41/GRID41_report.md</x:v>
      </x:c>
    </x:row>
    <x:row r="2035" ht="36" customHeight="1">
      <x:c r="A2035" s="19" t="str">
        <x:v>GRID41</x:v>
      </x:c>
      <x:c r="B2035" s="19" t="str">
        <x:v>GRID41_report.md</x:v>
      </x:c>
      <x:c r="C2035" s="19" t="str">
        <x:v>2. GRID41 近期SoftGNN适配与原模型的同条件闭环比较</x:v>
      </x:c>
      <x:c r="D2035" s="19" t="str">
        <x:v>方法=LOCAL_GNN0；对照=FULL</x:v>
      </x:c>
      <x:c r="E2035" s="19" t="str">
        <x:v>控制时间减少</x:v>
      </x:c>
      <x:c r="F2035" s="19" t="str">
        <x:v>11.468%</x:v>
      </x:c>
      <x:c r="G2035" s="19" t="str">
        <x:v>速度/计算</x:v>
      </x:c>
      <x:c r="H2035" s="19" t="str">
        <x:v>D:/Codex/GRL研究/outputs/grid41/GRID41_report.md</x:v>
      </x:c>
    </x:row>
    <x:row r="2036" ht="36" customHeight="1">
      <x:c r="A2036" s="19" t="str">
        <x:v>GRID41</x:v>
      </x:c>
      <x:c r="B2036" s="19" t="str">
        <x:v>GRID41_report.md</x:v>
      </x:c>
      <x:c r="C2036" s="19" t="str">
        <x:v>2. GRID41 近期SoftGNN适配与原模型的同条件闭环比较</x:v>
      </x:c>
      <x:c r="D2036" s="19" t="str">
        <x:v>方法=LOCAL_GNN0；对照=FULL</x:v>
      </x:c>
      <x:c r="E2036" s="19" t="str">
        <x:v>查询减少</x:v>
      </x:c>
      <x:c r="F2036" s="19" t="str">
        <x:v>67.642%</x:v>
      </x:c>
      <x:c r="G2036" s="19" t="str">
        <x:v>速度/计算</x:v>
      </x:c>
      <x:c r="H2036" s="19" t="str">
        <x:v>D:/Codex/GRL研究/outputs/grid41/GRID41_report.md</x:v>
      </x:c>
    </x:row>
    <x:row r="2037" ht="36" customHeight="1">
      <x:c r="A2037" s="19" t="str">
        <x:v>GRID41</x:v>
      </x:c>
      <x:c r="B2037" s="19" t="str">
        <x:v>GRID41_report.md</x:v>
      </x:c>
      <x:c r="C2037" s="19" t="str">
        <x:v>2. GRID41 近期SoftGNN适配与原模型的同条件闭环比较</x:v>
      </x:c>
      <x:c r="D2037" s="19" t="str">
        <x:v>方法=LOCAL_GNN0；对照=FULL</x:v>
      </x:c>
      <x:c r="E2037" s="19" t="str">
        <x:v>时间正向配对</x:v>
      </x:c>
      <x:c r="F2037" s="19" t="str">
        <x:v>4/4</x:v>
      </x:c>
      <x:c r="G2037" s="19" t="str">
        <x:v>速度/计算</x:v>
      </x:c>
      <x:c r="H2037" s="19" t="str">
        <x:v>D:/Codex/GRL研究/outputs/grid41/GRID41_report.md</x:v>
      </x:c>
    </x:row>
    <x:row r="2038" ht="36" customHeight="1">
      <x:c r="A2038" s="19" t="str">
        <x:v>GRID41</x:v>
      </x:c>
      <x:c r="B2038" s="19" t="str">
        <x:v>GRID41_report.md</x:v>
      </x:c>
      <x:c r="C2038" s="19" t="str">
        <x:v>2. GRID41 近期SoftGNN适配与原模型的同条件闭环比较</x:v>
      </x:c>
      <x:c r="D2038" s="19" t="str">
        <x:v>方法=LOCAL_GNN1；对照=FULL</x:v>
      </x:c>
      <x:c r="E2038" s="19" t="str">
        <x:v>对照</x:v>
      </x:c>
      <x:c r="F2038" s="19" t="str">
        <x:v>FULL</x:v>
      </x:c>
      <x:c r="G2038" s="19" t="str">
        <x:v>其他/配置</x:v>
      </x:c>
      <x:c r="H2038" s="19" t="str">
        <x:v>D:/Codex/GRL研究/outputs/grid41/GRID41_report.md</x:v>
      </x:c>
    </x:row>
    <x:row r="2039" ht="36" customHeight="1">
      <x:c r="A2039" s="19" t="str">
        <x:v>GRID41</x:v>
      </x:c>
      <x:c r="B2039" s="19" t="str">
        <x:v>GRID41_report.md</x:v>
      </x:c>
      <x:c r="C2039" s="19" t="str">
        <x:v>2. GRID41 近期SoftGNN适配与原模型的同条件闭环比较</x:v>
      </x:c>
      <x:c r="D2039" s="19" t="str">
        <x:v>方法=LOCAL_GNN1；对照=FULL</x:v>
      </x:c>
      <x:c r="E2039" s="19" t="str">
        <x:v>控制时间减少</x:v>
      </x:c>
      <x:c r="F2039" s="19" t="str">
        <x:v>11.003%</x:v>
      </x:c>
      <x:c r="G2039" s="19" t="str">
        <x:v>速度/计算</x:v>
      </x:c>
      <x:c r="H2039" s="19" t="str">
        <x:v>D:/Codex/GRL研究/outputs/grid41/GRID41_report.md</x:v>
      </x:c>
    </x:row>
    <x:row r="2040" ht="36" customHeight="1">
      <x:c r="A2040" s="19" t="str">
        <x:v>GRID41</x:v>
      </x:c>
      <x:c r="B2040" s="19" t="str">
        <x:v>GRID41_report.md</x:v>
      </x:c>
      <x:c r="C2040" s="19" t="str">
        <x:v>2. GRID41 近期SoftGNN适配与原模型的同条件闭环比较</x:v>
      </x:c>
      <x:c r="D2040" s="19" t="str">
        <x:v>方法=LOCAL_GNN1；对照=FULL</x:v>
      </x:c>
      <x:c r="E2040" s="19" t="str">
        <x:v>查询减少</x:v>
      </x:c>
      <x:c r="F2040" s="19" t="str">
        <x:v>66.881%</x:v>
      </x:c>
      <x:c r="G2040" s="19" t="str">
        <x:v>速度/计算</x:v>
      </x:c>
      <x:c r="H2040" s="19" t="str">
        <x:v>D:/Codex/GRL研究/outputs/grid41/GRID41_report.md</x:v>
      </x:c>
    </x:row>
    <x:row r="2041" ht="36" customHeight="1">
      <x:c r="A2041" s="19" t="str">
        <x:v>GRID41</x:v>
      </x:c>
      <x:c r="B2041" s="19" t="str">
        <x:v>GRID41_report.md</x:v>
      </x:c>
      <x:c r="C2041" s="19" t="str">
        <x:v>2. GRID41 近期SoftGNN适配与原模型的同条件闭环比较</x:v>
      </x:c>
      <x:c r="D2041" s="19" t="str">
        <x:v>方法=LOCAL_GNN1；对照=FULL</x:v>
      </x:c>
      <x:c r="E2041" s="19" t="str">
        <x:v>时间正向配对</x:v>
      </x:c>
      <x:c r="F2041" s="19" t="str">
        <x:v>4/4</x:v>
      </x:c>
      <x:c r="G2041" s="19" t="str">
        <x:v>速度/计算</x:v>
      </x:c>
      <x:c r="H2041" s="19" t="str">
        <x:v>D:/Codex/GRL研究/outputs/grid41/GRID41_report.md</x:v>
      </x:c>
    </x:row>
    <x:row r="2042" ht="36" customHeight="1">
      <x:c r="A2042" s="19" t="str">
        <x:v>GRID41</x:v>
      </x:c>
      <x:c r="B2042" s="19" t="str">
        <x:v>GRID41_report.md</x:v>
      </x:c>
      <x:c r="C2042" s="19" t="str">
        <x:v>2. GRID41 近期SoftGNN适配与原模型的同条件闭环比较</x:v>
      </x:c>
      <x:c r="D2042" s="19" t="str">
        <x:v>方法=SOFTGNN0；对照=FULL</x:v>
      </x:c>
      <x:c r="E2042" s="19" t="str">
        <x:v>对照</x:v>
      </x:c>
      <x:c r="F2042" s="19" t="str">
        <x:v>FULL</x:v>
      </x:c>
      <x:c r="G2042" s="19" t="str">
        <x:v>其他/配置</x:v>
      </x:c>
      <x:c r="H2042" s="19" t="str">
        <x:v>D:/Codex/GRL研究/outputs/grid41/GRID41_report.md</x:v>
      </x:c>
    </x:row>
    <x:row r="2043" ht="36" customHeight="1">
      <x:c r="A2043" s="19" t="str">
        <x:v>GRID41</x:v>
      </x:c>
      <x:c r="B2043" s="19" t="str">
        <x:v>GRID41_report.md</x:v>
      </x:c>
      <x:c r="C2043" s="19" t="str">
        <x:v>2. GRID41 近期SoftGNN适配与原模型的同条件闭环比较</x:v>
      </x:c>
      <x:c r="D2043" s="19" t="str">
        <x:v>方法=SOFTGNN0；对照=FULL</x:v>
      </x:c>
      <x:c r="E2043" s="19" t="str">
        <x:v>控制时间减少</x:v>
      </x:c>
      <x:c r="F2043" s="19" t="str">
        <x:v>12.986%</x:v>
      </x:c>
      <x:c r="G2043" s="19" t="str">
        <x:v>速度/计算</x:v>
      </x:c>
      <x:c r="H2043" s="19" t="str">
        <x:v>D:/Codex/GRL研究/outputs/grid41/GRID41_report.md</x:v>
      </x:c>
    </x:row>
    <x:row r="2044" ht="36" customHeight="1">
      <x:c r="A2044" s="19" t="str">
        <x:v>GRID41</x:v>
      </x:c>
      <x:c r="B2044" s="19" t="str">
        <x:v>GRID41_report.md</x:v>
      </x:c>
      <x:c r="C2044" s="19" t="str">
        <x:v>2. GRID41 近期SoftGNN适配与原模型的同条件闭环比较</x:v>
      </x:c>
      <x:c r="D2044" s="19" t="str">
        <x:v>方法=SOFTGNN0；对照=FULL</x:v>
      </x:c>
      <x:c r="E2044" s="19" t="str">
        <x:v>查询减少</x:v>
      </x:c>
      <x:c r="F2044" s="19" t="str">
        <x:v>64.358%</x:v>
      </x:c>
      <x:c r="G2044" s="19" t="str">
        <x:v>速度/计算</x:v>
      </x:c>
      <x:c r="H2044" s="19" t="str">
        <x:v>D:/Codex/GRL研究/outputs/grid41/GRID41_report.md</x:v>
      </x:c>
    </x:row>
    <x:row r="2045" ht="36" customHeight="1">
      <x:c r="A2045" s="19" t="str">
        <x:v>GRID41</x:v>
      </x:c>
      <x:c r="B2045" s="19" t="str">
        <x:v>GRID41_report.md</x:v>
      </x:c>
      <x:c r="C2045" s="19" t="str">
        <x:v>2. GRID41 近期SoftGNN适配与原模型的同条件闭环比较</x:v>
      </x:c>
      <x:c r="D2045" s="19" t="str">
        <x:v>方法=SOFTGNN0；对照=FULL</x:v>
      </x:c>
      <x:c r="E2045" s="19" t="str">
        <x:v>时间正向配对</x:v>
      </x:c>
      <x:c r="F2045" s="19" t="str">
        <x:v>4/4</x:v>
      </x:c>
      <x:c r="G2045" s="19" t="str">
        <x:v>速度/计算</x:v>
      </x:c>
      <x:c r="H2045" s="19" t="str">
        <x:v>D:/Codex/GRL研究/outputs/grid41/GRID41_report.md</x:v>
      </x:c>
    </x:row>
    <x:row r="2046" ht="36" customHeight="1">
      <x:c r="A2046" s="19" t="str">
        <x:v>GRID41</x:v>
      </x:c>
      <x:c r="B2046" s="19" t="str">
        <x:v>GRID41_report.md</x:v>
      </x:c>
      <x:c r="C2046" s="19" t="str">
        <x:v>2. GRID41 近期SoftGNN适配与原模型的同条件闭环比较</x:v>
      </x:c>
      <x:c r="D2046" s="19" t="str">
        <x:v>方法=SOFTGNN1；对照=FULL</x:v>
      </x:c>
      <x:c r="E2046" s="19" t="str">
        <x:v>对照</x:v>
      </x:c>
      <x:c r="F2046" s="19" t="str">
        <x:v>FULL</x:v>
      </x:c>
      <x:c r="G2046" s="19" t="str">
        <x:v>其他/配置</x:v>
      </x:c>
      <x:c r="H2046" s="19" t="str">
        <x:v>D:/Codex/GRL研究/outputs/grid41/GRID41_report.md</x:v>
      </x:c>
    </x:row>
    <x:row r="2047" ht="36" customHeight="1">
      <x:c r="A2047" s="19" t="str">
        <x:v>GRID41</x:v>
      </x:c>
      <x:c r="B2047" s="19" t="str">
        <x:v>GRID41_report.md</x:v>
      </x:c>
      <x:c r="C2047" s="19" t="str">
        <x:v>2. GRID41 近期SoftGNN适配与原模型的同条件闭环比较</x:v>
      </x:c>
      <x:c r="D2047" s="19" t="str">
        <x:v>方法=SOFTGNN1；对照=FULL</x:v>
      </x:c>
      <x:c r="E2047" s="19" t="str">
        <x:v>控制时间减少</x:v>
      </x:c>
      <x:c r="F2047" s="19" t="str">
        <x:v>10.002%</x:v>
      </x:c>
      <x:c r="G2047" s="19" t="str">
        <x:v>速度/计算</x:v>
      </x:c>
      <x:c r="H2047" s="19" t="str">
        <x:v>D:/Codex/GRL研究/outputs/grid41/GRID41_report.md</x:v>
      </x:c>
    </x:row>
    <x:row r="2048" ht="36" customHeight="1">
      <x:c r="A2048" s="19" t="str">
        <x:v>GRID41</x:v>
      </x:c>
      <x:c r="B2048" s="19" t="str">
        <x:v>GRID41_report.md</x:v>
      </x:c>
      <x:c r="C2048" s="19" t="str">
        <x:v>2. GRID41 近期SoftGNN适配与原模型的同条件闭环比较</x:v>
      </x:c>
      <x:c r="D2048" s="19" t="str">
        <x:v>方法=SOFTGNN1；对照=FULL</x:v>
      </x:c>
      <x:c r="E2048" s="19" t="str">
        <x:v>查询减少</x:v>
      </x:c>
      <x:c r="F2048" s="19" t="str">
        <x:v>62.836%</x:v>
      </x:c>
      <x:c r="G2048" s="19" t="str">
        <x:v>速度/计算</x:v>
      </x:c>
      <x:c r="H2048" s="19" t="str">
        <x:v>D:/Codex/GRL研究/outputs/grid41/GRID41_report.md</x:v>
      </x:c>
    </x:row>
    <x:row r="2049" ht="36" customHeight="1">
      <x:c r="A2049" s="19" t="str">
        <x:v>GRID41</x:v>
      </x:c>
      <x:c r="B2049" s="19" t="str">
        <x:v>GRID41_report.md</x:v>
      </x:c>
      <x:c r="C2049" s="19" t="str">
        <x:v>2. GRID41 近期SoftGNN适配与原模型的同条件闭环比较</x:v>
      </x:c>
      <x:c r="D2049" s="19" t="str">
        <x:v>方法=SOFTGNN1；对照=FULL</x:v>
      </x:c>
      <x:c r="E2049" s="19" t="str">
        <x:v>时间正向配对</x:v>
      </x:c>
      <x:c r="F2049" s="19" t="str">
        <x:v>4/4</x:v>
      </x:c>
      <x:c r="G2049" s="19" t="str">
        <x:v>速度/计算</x:v>
      </x:c>
      <x:c r="H2049" s="19" t="str">
        <x:v>D:/Codex/GRL研究/outputs/grid41/GRID41_report.md</x:v>
      </x:c>
    </x:row>
    <x:row r="2050" ht="36" customHeight="1">
      <x:c r="A2050" s="19" t="str">
        <x:v>GRID41</x:v>
      </x:c>
      <x:c r="B2050" s="19" t="str">
        <x:v>GRID41_report.md</x:v>
      </x:c>
      <x:c r="C2050" s="19" t="str">
        <x:v>2. GRID41 近期SoftGNN适配与原模型的同条件闭环比较</x:v>
      </x:c>
      <x:c r="D2050" s="19" t="str">
        <x:v>方法=LOCAL_GNN0；对照=SOFTGNN0</x:v>
      </x:c>
      <x:c r="E2050" s="19" t="str">
        <x:v>对照</x:v>
      </x:c>
      <x:c r="F2050" s="19" t="str">
        <x:v>SOFTGNN0</x:v>
      </x:c>
      <x:c r="G2050" s="19" t="str">
        <x:v>其他/配置</x:v>
      </x:c>
      <x:c r="H2050" s="19" t="str">
        <x:v>D:/Codex/GRL研究/outputs/grid41/GRID41_report.md</x:v>
      </x:c>
    </x:row>
    <x:row r="2051" ht="36" customHeight="1">
      <x:c r="A2051" s="19" t="str">
        <x:v>GRID41</x:v>
      </x:c>
      <x:c r="B2051" s="19" t="str">
        <x:v>GRID41_report.md</x:v>
      </x:c>
      <x:c r="C2051" s="19" t="str">
        <x:v>2. GRID41 近期SoftGNN适配与原模型的同条件闭环比较</x:v>
      </x:c>
      <x:c r="D2051" s="19" t="str">
        <x:v>方法=LOCAL_GNN0；对照=SOFTGNN0</x:v>
      </x:c>
      <x:c r="E2051" s="19" t="str">
        <x:v>控制时间减少</x:v>
      </x:c>
      <x:c r="F2051" s="19" t="str">
        <x:v>-1.745%</x:v>
      </x:c>
      <x:c r="G2051" s="19" t="str">
        <x:v>速度/计算</x:v>
      </x:c>
      <x:c r="H2051" s="19" t="str">
        <x:v>D:/Codex/GRL研究/outputs/grid41/GRID41_report.md</x:v>
      </x:c>
    </x:row>
    <x:row r="2052" ht="36" customHeight="1">
      <x:c r="A2052" s="19" t="str">
        <x:v>GRID41</x:v>
      </x:c>
      <x:c r="B2052" s="19" t="str">
        <x:v>GRID41_report.md</x:v>
      </x:c>
      <x:c r="C2052" s="19" t="str">
        <x:v>2. GRID41 近期SoftGNN适配与原模型的同条件闭环比较</x:v>
      </x:c>
      <x:c r="D2052" s="19" t="str">
        <x:v>方法=LOCAL_GNN0；对照=SOFTGNN0</x:v>
      </x:c>
      <x:c r="E2052" s="19" t="str">
        <x:v>查询减少</x:v>
      </x:c>
      <x:c r="F2052" s="19" t="str">
        <x:v>9.213%</x:v>
      </x:c>
      <x:c r="G2052" s="19" t="str">
        <x:v>速度/计算</x:v>
      </x:c>
      <x:c r="H2052" s="19" t="str">
        <x:v>D:/Codex/GRL研究/outputs/grid41/GRID41_report.md</x:v>
      </x:c>
    </x:row>
    <x:row r="2053" ht="36" customHeight="1">
      <x:c r="A2053" s="19" t="str">
        <x:v>GRID41</x:v>
      </x:c>
      <x:c r="B2053" s="19" t="str">
        <x:v>GRID41_report.md</x:v>
      </x:c>
      <x:c r="C2053" s="19" t="str">
        <x:v>2. GRID41 近期SoftGNN适配与原模型的同条件闭环比较</x:v>
      </x:c>
      <x:c r="D2053" s="19" t="str">
        <x:v>方法=LOCAL_GNN0；对照=SOFTGNN0</x:v>
      </x:c>
      <x:c r="E2053" s="19" t="str">
        <x:v>时间正向配对</x:v>
      </x:c>
      <x:c r="F2053" s="19" t="str">
        <x:v>0/4</x:v>
      </x:c>
      <x:c r="G2053" s="19" t="str">
        <x:v>速度/计算</x:v>
      </x:c>
      <x:c r="H2053" s="19" t="str">
        <x:v>D:/Codex/GRL研究/outputs/grid41/GRID41_report.md</x:v>
      </x:c>
    </x:row>
    <x:row r="2054" ht="36" customHeight="1">
      <x:c r="A2054" s="19" t="str">
        <x:v>GRID41</x:v>
      </x:c>
      <x:c r="B2054" s="19" t="str">
        <x:v>GRID41_report.md</x:v>
      </x:c>
      <x:c r="C2054" s="19" t="str">
        <x:v>2. GRID41 近期SoftGNN适配与原模型的同条件闭环比较</x:v>
      </x:c>
      <x:c r="D2054" s="19" t="str">
        <x:v>方法=LOCAL_GNN0；对照=SOFTGNN1</x:v>
      </x:c>
      <x:c r="E2054" s="19" t="str">
        <x:v>对照</x:v>
      </x:c>
      <x:c r="F2054" s="19" t="str">
        <x:v>SOFTGNN1</x:v>
      </x:c>
      <x:c r="G2054" s="19" t="str">
        <x:v>其他/配置</x:v>
      </x:c>
      <x:c r="H2054" s="19" t="str">
        <x:v>D:/Codex/GRL研究/outputs/grid41/GRID41_report.md</x:v>
      </x:c>
    </x:row>
    <x:row r="2055" ht="36" customHeight="1">
      <x:c r="A2055" s="19" t="str">
        <x:v>GRID41</x:v>
      </x:c>
      <x:c r="B2055" s="19" t="str">
        <x:v>GRID41_report.md</x:v>
      </x:c>
      <x:c r="C2055" s="19" t="str">
        <x:v>2. GRID41 近期SoftGNN适配与原模型的同条件闭环比较</x:v>
      </x:c>
      <x:c r="D2055" s="19" t="str">
        <x:v>方法=LOCAL_GNN0；对照=SOFTGNN1</x:v>
      </x:c>
      <x:c r="E2055" s="19" t="str">
        <x:v>控制时间减少</x:v>
      </x:c>
      <x:c r="F2055" s="19" t="str">
        <x:v>1.628%</x:v>
      </x:c>
      <x:c r="G2055" s="19" t="str">
        <x:v>速度/计算</x:v>
      </x:c>
      <x:c r="H2055" s="19" t="str">
        <x:v>D:/Codex/GRL研究/outputs/grid41/GRID41_report.md</x:v>
      </x:c>
    </x:row>
    <x:row r="2056" ht="36" customHeight="1">
      <x:c r="A2056" s="19" t="str">
        <x:v>GRID41</x:v>
      </x:c>
      <x:c r="B2056" s="19" t="str">
        <x:v>GRID41_report.md</x:v>
      </x:c>
      <x:c r="C2056" s="19" t="str">
        <x:v>2. GRID41 近期SoftGNN适配与原模型的同条件闭环比较</x:v>
      </x:c>
      <x:c r="D2056" s="19" t="str">
        <x:v>方法=LOCAL_GNN0；对照=SOFTGNN1</x:v>
      </x:c>
      <x:c r="E2056" s="19" t="str">
        <x:v>查询减少</x:v>
      </x:c>
      <x:c r="F2056" s="19" t="str">
        <x:v>12.932%</x:v>
      </x:c>
      <x:c r="G2056" s="19" t="str">
        <x:v>速度/计算</x:v>
      </x:c>
      <x:c r="H2056" s="19" t="str">
        <x:v>D:/Codex/GRL研究/outputs/grid41/GRID41_report.md</x:v>
      </x:c>
    </x:row>
    <x:row r="2057" ht="36" customHeight="1">
      <x:c r="A2057" s="19" t="str">
        <x:v>GRID41</x:v>
      </x:c>
      <x:c r="B2057" s="19" t="str">
        <x:v>GRID41_report.md</x:v>
      </x:c>
      <x:c r="C2057" s="19" t="str">
        <x:v>2. GRID41 近期SoftGNN适配与原模型的同条件闭环比较</x:v>
      </x:c>
      <x:c r="D2057" s="19" t="str">
        <x:v>方法=LOCAL_GNN0；对照=SOFTGNN1</x:v>
      </x:c>
      <x:c r="E2057" s="19" t="str">
        <x:v>时间正向配对</x:v>
      </x:c>
      <x:c r="F2057" s="19" t="str">
        <x:v>1/4</x:v>
      </x:c>
      <x:c r="G2057" s="19" t="str">
        <x:v>速度/计算</x:v>
      </x:c>
      <x:c r="H2057" s="19" t="str">
        <x:v>D:/Codex/GRL研究/outputs/grid41/GRID41_report.md</x:v>
      </x:c>
    </x:row>
    <x:row r="2058" ht="36" customHeight="1">
      <x:c r="A2058" s="19" t="str">
        <x:v>GRID41</x:v>
      </x:c>
      <x:c r="B2058" s="19" t="str">
        <x:v>GRID41_report.md</x:v>
      </x:c>
      <x:c r="C2058" s="19" t="str">
        <x:v>2. GRID41 近期SoftGNN适配与原模型的同条件闭环比较</x:v>
      </x:c>
      <x:c r="D2058" s="19" t="str">
        <x:v>方法=LOCAL_GNN1；对照=SOFTGNN0</x:v>
      </x:c>
      <x:c r="E2058" s="19" t="str">
        <x:v>对照</x:v>
      </x:c>
      <x:c r="F2058" s="19" t="str">
        <x:v>SOFTGNN0</x:v>
      </x:c>
      <x:c r="G2058" s="19" t="str">
        <x:v>其他/配置</x:v>
      </x:c>
      <x:c r="H2058" s="19" t="str">
        <x:v>D:/Codex/GRL研究/outputs/grid41/GRID41_report.md</x:v>
      </x:c>
    </x:row>
    <x:row r="2059" ht="36" customHeight="1">
      <x:c r="A2059" s="19" t="str">
        <x:v>GRID41</x:v>
      </x:c>
      <x:c r="B2059" s="19" t="str">
        <x:v>GRID41_report.md</x:v>
      </x:c>
      <x:c r="C2059" s="19" t="str">
        <x:v>2. GRID41 近期SoftGNN适配与原模型的同条件闭环比较</x:v>
      </x:c>
      <x:c r="D2059" s="19" t="str">
        <x:v>方法=LOCAL_GNN1；对照=SOFTGNN0</x:v>
      </x:c>
      <x:c r="E2059" s="19" t="str">
        <x:v>控制时间减少</x:v>
      </x:c>
      <x:c r="F2059" s="19" t="str">
        <x:v>-2.279%</x:v>
      </x:c>
      <x:c r="G2059" s="19" t="str">
        <x:v>速度/计算</x:v>
      </x:c>
      <x:c r="H2059" s="19" t="str">
        <x:v>D:/Codex/GRL研究/outputs/grid41/GRID41_report.md</x:v>
      </x:c>
    </x:row>
    <x:row r="2060" ht="36" customHeight="1">
      <x:c r="A2060" s="19" t="str">
        <x:v>GRID41</x:v>
      </x:c>
      <x:c r="B2060" s="19" t="str">
        <x:v>GRID41_report.md</x:v>
      </x:c>
      <x:c r="C2060" s="19" t="str">
        <x:v>2. GRID41 近期SoftGNN适配与原模型的同条件闭环比较</x:v>
      </x:c>
      <x:c r="D2060" s="19" t="str">
        <x:v>方法=LOCAL_GNN1；对照=SOFTGNN0</x:v>
      </x:c>
      <x:c r="E2060" s="19" t="str">
        <x:v>查询减少</x:v>
      </x:c>
      <x:c r="F2060" s="19" t="str">
        <x:v>7.077%</x:v>
      </x:c>
      <x:c r="G2060" s="19" t="str">
        <x:v>速度/计算</x:v>
      </x:c>
      <x:c r="H2060" s="19" t="str">
        <x:v>D:/Codex/GRL研究/outputs/grid41/GRID41_report.md</x:v>
      </x:c>
    </x:row>
    <x:row r="2061" ht="36" customHeight="1">
      <x:c r="A2061" s="19" t="str">
        <x:v>GRID41</x:v>
      </x:c>
      <x:c r="B2061" s="19" t="str">
        <x:v>GRID41_report.md</x:v>
      </x:c>
      <x:c r="C2061" s="19" t="str">
        <x:v>2. GRID41 近期SoftGNN适配与原模型的同条件闭环比较</x:v>
      </x:c>
      <x:c r="D2061" s="19" t="str">
        <x:v>方法=LOCAL_GNN1；对照=SOFTGNN0</x:v>
      </x:c>
      <x:c r="E2061" s="19" t="str">
        <x:v>时间正向配对</x:v>
      </x:c>
      <x:c r="F2061" s="19" t="str">
        <x:v>0/4</x:v>
      </x:c>
      <x:c r="G2061" s="19" t="str">
        <x:v>速度/计算</x:v>
      </x:c>
      <x:c r="H2061" s="19" t="str">
        <x:v>D:/Codex/GRL研究/outputs/grid41/GRID41_report.md</x:v>
      </x:c>
    </x:row>
    <x:row r="2062" ht="36" customHeight="1">
      <x:c r="A2062" s="19" t="str">
        <x:v>GRID41</x:v>
      </x:c>
      <x:c r="B2062" s="19" t="str">
        <x:v>GRID41_report.md</x:v>
      </x:c>
      <x:c r="C2062" s="19" t="str">
        <x:v>2. GRID41 近期SoftGNN适配与原模型的同条件闭环比较</x:v>
      </x:c>
      <x:c r="D2062" s="19" t="str">
        <x:v>方法=LOCAL_GNN1；对照=SOFTGNN1</x:v>
      </x:c>
      <x:c r="E2062" s="19" t="str">
        <x:v>对照</x:v>
      </x:c>
      <x:c r="F2062" s="19" t="str">
        <x:v>SOFTGNN1</x:v>
      </x:c>
      <x:c r="G2062" s="19" t="str">
        <x:v>其他/配置</x:v>
      </x:c>
      <x:c r="H2062" s="19" t="str">
        <x:v>D:/Codex/GRL研究/outputs/grid41/GRID41_report.md</x:v>
      </x:c>
    </x:row>
    <x:row r="2063" ht="36" customHeight="1">
      <x:c r="A2063" s="19" t="str">
        <x:v>GRID41</x:v>
      </x:c>
      <x:c r="B2063" s="19" t="str">
        <x:v>GRID41_report.md</x:v>
      </x:c>
      <x:c r="C2063" s="19" t="str">
        <x:v>2. GRID41 近期SoftGNN适配与原模型的同条件闭环比较</x:v>
      </x:c>
      <x:c r="D2063" s="19" t="str">
        <x:v>方法=LOCAL_GNN1；对照=SOFTGNN1</x:v>
      </x:c>
      <x:c r="E2063" s="19" t="str">
        <x:v>控制时间减少</x:v>
      </x:c>
      <x:c r="F2063" s="19" t="str">
        <x:v>1.112%</x:v>
      </x:c>
      <x:c r="G2063" s="19" t="str">
        <x:v>速度/计算</x:v>
      </x:c>
      <x:c r="H2063" s="19" t="str">
        <x:v>D:/Codex/GRL研究/outputs/grid41/GRID41_report.md</x:v>
      </x:c>
    </x:row>
    <x:row r="2064" ht="36" customHeight="1">
      <x:c r="A2064" s="19" t="str">
        <x:v>GRID41</x:v>
      </x:c>
      <x:c r="B2064" s="19" t="str">
        <x:v>GRID41_report.md</x:v>
      </x:c>
      <x:c r="C2064" s="19" t="str">
        <x:v>2. GRID41 近期SoftGNN适配与原模型的同条件闭环比较</x:v>
      </x:c>
      <x:c r="D2064" s="19" t="str">
        <x:v>方法=LOCAL_GNN1；对照=SOFTGNN1</x:v>
      </x:c>
      <x:c r="E2064" s="19" t="str">
        <x:v>查询减少</x:v>
      </x:c>
      <x:c r="F2064" s="19" t="str">
        <x:v>10.884%</x:v>
      </x:c>
      <x:c r="G2064" s="19" t="str">
        <x:v>速度/计算</x:v>
      </x:c>
      <x:c r="H2064" s="19" t="str">
        <x:v>D:/Codex/GRL研究/outputs/grid41/GRID41_report.md</x:v>
      </x:c>
    </x:row>
    <x:row r="2065" ht="36" customHeight="1">
      <x:c r="A2065" s="19" t="str">
        <x:v>GRID41</x:v>
      </x:c>
      <x:c r="B2065" s="19" t="str">
        <x:v>GRID41_report.md</x:v>
      </x:c>
      <x:c r="C2065" s="19" t="str">
        <x:v>2. GRID41 近期SoftGNN适配与原模型的同条件闭环比较</x:v>
      </x:c>
      <x:c r="D2065" s="19" t="str">
        <x:v>方法=LOCAL_GNN1；对照=SOFTGNN1</x:v>
      </x:c>
      <x:c r="E2065" s="19" t="str">
        <x:v>时间正向配对</x:v>
      </x:c>
      <x:c r="F2065" s="19" t="str">
        <x:v>1/4</x:v>
      </x:c>
      <x:c r="G2065" s="19" t="str">
        <x:v>速度/计算</x:v>
      </x:c>
      <x:c r="H2065" s="19" t="str">
        <x:v>D:/Codex/GRL研究/outputs/grid41/GRID41_report.md</x:v>
      </x:c>
    </x:row>
    <x:row r="2066" ht="36" customHeight="1">
      <x:c r="A2066" s="19" t="str">
        <x:v>GRID42B</x:v>
      </x:c>
      <x:c r="B2066" s="19" t="str">
        <x:v>GRID42_report.md</x:v>
      </x:c>
      <x:c r="C2066" s="19" t="str">
        <x:v>1. GRID42 已观测即时并列的局部补查</x:v>
      </x:c>
      <x:c r="D2066" s="19" t="str">
        <x:v>排序器=GNN0；原查询=7358</x:v>
      </x:c>
      <x:c r="E2066" s="19" t="str">
        <x:v>原查询</x:v>
      </x:c>
      <x:c r="F2066" s="19" t="str">
        <x:v>7358</x:v>
      </x:c>
      <x:c r="G2066" s="19" t="str">
        <x:v>速度/计算</x:v>
      </x:c>
      <x:c r="H2066" s="19" t="str">
        <x:v>D:/Codex/GRL研究/outputs/grid42b/GRID42_report.md</x:v>
      </x:c>
    </x:row>
    <x:row r="2067" ht="36" customHeight="1">
      <x:c r="A2067" s="19" t="str">
        <x:v>GRID42B</x:v>
      </x:c>
      <x:c r="B2067" s="19" t="str">
        <x:v>GRID42_report.md</x:v>
      </x:c>
      <x:c r="C2067" s="19" t="str">
        <x:v>1. GRID42 已观测即时并列的局部补查</x:v>
      </x:c>
      <x:c r="D2067" s="19" t="str">
        <x:v>排序器=GNN0；原查询=7358</x:v>
      </x:c>
      <x:c r="E2067" s="19" t="str">
        <x:v>补查查询</x:v>
      </x:c>
      <x:c r="F2067" s="19" t="str">
        <x:v>8721</x:v>
      </x:c>
      <x:c r="G2067" s="19" t="str">
        <x:v>速度/计算</x:v>
      </x:c>
      <x:c r="H2067" s="19" t="str">
        <x:v>D:/Codex/GRL研究/outputs/grid42b/GRID42_report.md</x:v>
      </x:c>
    </x:row>
    <x:row r="2068" ht="36" customHeight="1">
      <x:c r="A2068" s="19" t="str">
        <x:v>GRID42B</x:v>
      </x:c>
      <x:c r="B2068" s="19" t="str">
        <x:v>GRID42_report.md</x:v>
      </x:c>
      <x:c r="C2068" s="19" t="str">
        <x:v>1. GRID42 已观测即时并列的局部补查</x:v>
      </x:c>
      <x:c r="D2068" s="19" t="str">
        <x:v>排序器=GNN0；原查询=7358</x:v>
      </x:c>
      <x:c r="E2068" s="19" t="str">
        <x:v>与FULL选择相同</x:v>
      </x:c>
      <x:c r="F2068" s="19" t="str">
        <x:v>24/26</x:v>
      </x:c>
      <x:c r="G2068" s="19" t="str">
        <x:v>质量/成本</x:v>
      </x:c>
      <x:c r="H2068" s="19" t="str">
        <x:v>D:/Codex/GRL研究/outputs/grid42b/GRID42_report.md</x:v>
      </x:c>
    </x:row>
    <x:row r="2069" ht="36" customHeight="1">
      <x:c r="A2069" s="19" t="str">
        <x:v>GRID42B</x:v>
      </x:c>
      <x:c r="B2069" s="19" t="str">
        <x:v>GRID42_report.md</x:v>
      </x:c>
      <x:c r="C2069" s="19" t="str">
        <x:v>1. GRID42 已观测即时并列的局部补查</x:v>
      </x:c>
      <x:c r="D2069" s="19" t="str">
        <x:v>排序器=GNN0；原查询=7358</x:v>
      </x:c>
      <x:c r="E2069" s="19" t="str">
        <x:v>找回578</x:v>
      </x:c>
      <x:c r="F2069" s="19" t="str">
        <x:v>True</x:v>
      </x:c>
      <x:c r="G2069" s="19" t="str">
        <x:v>其他/配置</x:v>
      </x:c>
      <x:c r="H2069" s="19" t="str">
        <x:v>D:/Codex/GRL研究/outputs/grid42b/GRID42_report.md</x:v>
      </x:c>
    </x:row>
    <x:row r="2070" ht="36" customHeight="1">
      <x:c r="A2070" s="19" t="str">
        <x:v>GRID42B</x:v>
      </x:c>
      <x:c r="B2070" s="19" t="str">
        <x:v>GRID42_report.md</x:v>
      </x:c>
      <x:c r="C2070" s="19" t="str">
        <x:v>1. GRID42 已观测即时并列的局部补查</x:v>
      </x:c>
      <x:c r="D2070" s="19" t="str">
        <x:v>排序器=GNN0；原查询=7358</x:v>
      </x:c>
      <x:c r="E2070" s="19" t="str">
        <x:v>找回1733</x:v>
      </x:c>
      <x:c r="F2070" s="19" t="str">
        <x:v>True</x:v>
      </x:c>
      <x:c r="G2070" s="19" t="str">
        <x:v>其他/配置</x:v>
      </x:c>
      <x:c r="H2070" s="19" t="str">
        <x:v>D:/Codex/GRL研究/outputs/grid42b/GRID42_report.md</x:v>
      </x:c>
    </x:row>
    <x:row r="2071" ht="36" customHeight="1">
      <x:c r="A2071" s="19" t="str">
        <x:v>GRID42B</x:v>
      </x:c>
      <x:c r="B2071" s="19" t="str">
        <x:v>GRID42_report.md</x:v>
      </x:c>
      <x:c r="C2071" s="19" t="str">
        <x:v>1. GRID42 已观测即时并列的局部补查</x:v>
      </x:c>
      <x:c r="D2071" s="19" t="str">
        <x:v>排序器=GNN1；原查询=7530</x:v>
      </x:c>
      <x:c r="E2071" s="19" t="str">
        <x:v>原查询</x:v>
      </x:c>
      <x:c r="F2071" s="19" t="str">
        <x:v>7530</x:v>
      </x:c>
      <x:c r="G2071" s="19" t="str">
        <x:v>速度/计算</x:v>
      </x:c>
      <x:c r="H2071" s="19" t="str">
        <x:v>D:/Codex/GRL研究/outputs/grid42b/GRID42_report.md</x:v>
      </x:c>
    </x:row>
    <x:row r="2072" ht="36" customHeight="1">
      <x:c r="A2072" s="19" t="str">
        <x:v>GRID42B</x:v>
      </x:c>
      <x:c r="B2072" s="19" t="str">
        <x:v>GRID42_report.md</x:v>
      </x:c>
      <x:c r="C2072" s="19" t="str">
        <x:v>1. GRID42 已观测即时并列的局部补查</x:v>
      </x:c>
      <x:c r="D2072" s="19" t="str">
        <x:v>排序器=GNN1；原查询=7530</x:v>
      </x:c>
      <x:c r="E2072" s="19" t="str">
        <x:v>补查查询</x:v>
      </x:c>
      <x:c r="F2072" s="19" t="str">
        <x:v>8897</x:v>
      </x:c>
      <x:c r="G2072" s="19" t="str">
        <x:v>速度/计算</x:v>
      </x:c>
      <x:c r="H2072" s="19" t="str">
        <x:v>D:/Codex/GRL研究/outputs/grid42b/GRID42_report.md</x:v>
      </x:c>
    </x:row>
    <x:row r="2073" ht="36" customHeight="1">
      <x:c r="A2073" s="19" t="str">
        <x:v>GRID42B</x:v>
      </x:c>
      <x:c r="B2073" s="19" t="str">
        <x:v>GRID42_report.md</x:v>
      </x:c>
      <x:c r="C2073" s="19" t="str">
        <x:v>1. GRID42 已观测即时并列的局部补查</x:v>
      </x:c>
      <x:c r="D2073" s="19" t="str">
        <x:v>排序器=GNN1；原查询=7530</x:v>
      </x:c>
      <x:c r="E2073" s="19" t="str">
        <x:v>与FULL选择相同</x:v>
      </x:c>
      <x:c r="F2073" s="19" t="str">
        <x:v>25/26</x:v>
      </x:c>
      <x:c r="G2073" s="19" t="str">
        <x:v>质量/成本</x:v>
      </x:c>
      <x:c r="H2073" s="19" t="str">
        <x:v>D:/Codex/GRL研究/outputs/grid42b/GRID42_report.md</x:v>
      </x:c>
    </x:row>
    <x:row r="2074" ht="36" customHeight="1">
      <x:c r="A2074" s="19" t="str">
        <x:v>GRID42B</x:v>
      </x:c>
      <x:c r="B2074" s="19" t="str">
        <x:v>GRID42_report.md</x:v>
      </x:c>
      <x:c r="C2074" s="19" t="str">
        <x:v>1. GRID42 已观测即时并列的局部补查</x:v>
      </x:c>
      <x:c r="D2074" s="19" t="str">
        <x:v>排序器=GNN1；原查询=7530</x:v>
      </x:c>
      <x:c r="E2074" s="19" t="str">
        <x:v>找回578</x:v>
      </x:c>
      <x:c r="F2074" s="19" t="str">
        <x:v>True</x:v>
      </x:c>
      <x:c r="G2074" s="19" t="str">
        <x:v>其他/配置</x:v>
      </x:c>
      <x:c r="H2074" s="19" t="str">
        <x:v>D:/Codex/GRL研究/outputs/grid42b/GRID42_report.md</x:v>
      </x:c>
    </x:row>
    <x:row r="2075" ht="36" customHeight="1">
      <x:c r="A2075" s="19" t="str">
        <x:v>GRID42B</x:v>
      </x:c>
      <x:c r="B2075" s="19" t="str">
        <x:v>GRID42_report.md</x:v>
      </x:c>
      <x:c r="C2075" s="19" t="str">
        <x:v>1. GRID42 已观测即时并列的局部补查</x:v>
      </x:c>
      <x:c r="D2075" s="19" t="str">
        <x:v>排序器=GNN1；原查询=7530</x:v>
      </x:c>
      <x:c r="E2075" s="19" t="str">
        <x:v>找回1733</x:v>
      </x:c>
      <x:c r="F2075" s="19" t="str">
        <x:v>True</x:v>
      </x:c>
      <x:c r="G2075" s="19" t="str">
        <x:v>其他/配置</x:v>
      </x:c>
      <x:c r="H2075" s="19" t="str">
        <x:v>D:/Codex/GRL研究/outputs/grid42b/GRID42_report.md</x:v>
      </x:c>
    </x:row>
    <x:row r="2076" ht="36" customHeight="1">
      <x:c r="A2076" s="19" t="str">
        <x:v>GRID42B</x:v>
      </x:c>
      <x:c r="B2076" s="19" t="str">
        <x:v>GRID42_report.md</x:v>
      </x:c>
      <x:c r="C2076" s="19" t="str">
        <x:v>1. GRID42 已观测即时并列的局部补查</x:v>
      </x:c>
      <x:c r="D2076" s="19" t="str">
        <x:v>排序器=PPO；原查询=7823</x:v>
      </x:c>
      <x:c r="E2076" s="19" t="str">
        <x:v>原查询</x:v>
      </x:c>
      <x:c r="F2076" s="19" t="str">
        <x:v>7823</x:v>
      </x:c>
      <x:c r="G2076" s="19" t="str">
        <x:v>速度/计算</x:v>
      </x:c>
      <x:c r="H2076" s="19" t="str">
        <x:v>D:/Codex/GRL研究/outputs/grid42b/GRID42_report.md</x:v>
      </x:c>
    </x:row>
    <x:row r="2077" ht="36" customHeight="1">
      <x:c r="A2077" s="19" t="str">
        <x:v>GRID42B</x:v>
      </x:c>
      <x:c r="B2077" s="19" t="str">
        <x:v>GRID42_report.md</x:v>
      </x:c>
      <x:c r="C2077" s="19" t="str">
        <x:v>1. GRID42 已观测即时并列的局部补查</x:v>
      </x:c>
      <x:c r="D2077" s="19" t="str">
        <x:v>排序器=PPO；原查询=7823</x:v>
      </x:c>
      <x:c r="E2077" s="19" t="str">
        <x:v>补查查询</x:v>
      </x:c>
      <x:c r="F2077" s="19" t="str">
        <x:v>9302</x:v>
      </x:c>
      <x:c r="G2077" s="19" t="str">
        <x:v>速度/计算</x:v>
      </x:c>
      <x:c r="H2077" s="19" t="str">
        <x:v>D:/Codex/GRL研究/outputs/grid42b/GRID42_report.md</x:v>
      </x:c>
    </x:row>
    <x:row r="2078" ht="36" customHeight="1">
      <x:c r="A2078" s="19" t="str">
        <x:v>GRID42B</x:v>
      </x:c>
      <x:c r="B2078" s="19" t="str">
        <x:v>GRID42_report.md</x:v>
      </x:c>
      <x:c r="C2078" s="19" t="str">
        <x:v>1. GRID42 已观测即时并列的局部补查</x:v>
      </x:c>
      <x:c r="D2078" s="19" t="str">
        <x:v>排序器=PPO；原查询=7823</x:v>
      </x:c>
      <x:c r="E2078" s="19" t="str">
        <x:v>与FULL选择相同</x:v>
      </x:c>
      <x:c r="F2078" s="19" t="str">
        <x:v>24/26</x:v>
      </x:c>
      <x:c r="G2078" s="19" t="str">
        <x:v>质量/成本</x:v>
      </x:c>
      <x:c r="H2078" s="19" t="str">
        <x:v>D:/Codex/GRL研究/outputs/grid42b/GRID42_report.md</x:v>
      </x:c>
    </x:row>
    <x:row r="2079" ht="36" customHeight="1">
      <x:c r="A2079" s="19" t="str">
        <x:v>GRID42B</x:v>
      </x:c>
      <x:c r="B2079" s="19" t="str">
        <x:v>GRID42_report.md</x:v>
      </x:c>
      <x:c r="C2079" s="19" t="str">
        <x:v>1. GRID42 已观测即时并列的局部补查</x:v>
      </x:c>
      <x:c r="D2079" s="19" t="str">
        <x:v>排序器=PPO；原查询=7823</x:v>
      </x:c>
      <x:c r="E2079" s="19" t="str">
        <x:v>找回578</x:v>
      </x:c>
      <x:c r="F2079" s="19" t="str">
        <x:v>True</x:v>
      </x:c>
      <x:c r="G2079" s="19" t="str">
        <x:v>其他/配置</x:v>
      </x:c>
      <x:c r="H2079" s="19" t="str">
        <x:v>D:/Codex/GRL研究/outputs/grid42b/GRID42_report.md</x:v>
      </x:c>
    </x:row>
    <x:row r="2080" ht="36" customHeight="1">
      <x:c r="A2080" s="19" t="str">
        <x:v>GRID42B</x:v>
      </x:c>
      <x:c r="B2080" s="19" t="str">
        <x:v>GRID42_report.md</x:v>
      </x:c>
      <x:c r="C2080" s="19" t="str">
        <x:v>1. GRID42 已观测即时并列的局部补查</x:v>
      </x:c>
      <x:c r="D2080" s="19" t="str">
        <x:v>排序器=PPO；原查询=7823</x:v>
      </x:c>
      <x:c r="E2080" s="19" t="str">
        <x:v>找回1733</x:v>
      </x:c>
      <x:c r="F2080" s="19" t="str">
        <x:v>True</x:v>
      </x:c>
      <x:c r="G2080" s="19" t="str">
        <x:v>其他/配置</x:v>
      </x:c>
      <x:c r="H2080" s="19" t="str">
        <x:v>D:/Codex/GRL研究/outputs/grid42b/GRID42_report.md</x:v>
      </x:c>
    </x:row>
    <x:row r="2081" ht="36" customHeight="1">
      <x:c r="A2081" s="19" t="str">
        <x:v>GRID42B</x:v>
      </x:c>
      <x:c r="B2081" s="19" t="str">
        <x:v>GRID42_report.md</x:v>
      </x:c>
      <x:c r="C2081" s="19" t="str">
        <x:v>1. GRID42 已观测即时并列的局部补查</x:v>
      </x:c>
      <x:c r="D2081" s="19" t="str">
        <x:v>排序器=SOFTGNN0；原查询=8064</x:v>
      </x:c>
      <x:c r="E2081" s="19" t="str">
        <x:v>原查询</x:v>
      </x:c>
      <x:c r="F2081" s="19" t="str">
        <x:v>8064</x:v>
      </x:c>
      <x:c r="G2081" s="19" t="str">
        <x:v>速度/计算</x:v>
      </x:c>
      <x:c r="H2081" s="19" t="str">
        <x:v>D:/Codex/GRL研究/outputs/grid42b/GRID42_report.md</x:v>
      </x:c>
    </x:row>
    <x:row r="2082" ht="36" customHeight="1">
      <x:c r="A2082" s="19" t="str">
        <x:v>GRID42B</x:v>
      </x:c>
      <x:c r="B2082" s="19" t="str">
        <x:v>GRID42_report.md</x:v>
      </x:c>
      <x:c r="C2082" s="19" t="str">
        <x:v>1. GRID42 已观测即时并列的局部补查</x:v>
      </x:c>
      <x:c r="D2082" s="19" t="str">
        <x:v>排序器=SOFTGNN0；原查询=8064</x:v>
      </x:c>
      <x:c r="E2082" s="19" t="str">
        <x:v>补查查询</x:v>
      </x:c>
      <x:c r="F2082" s="19" t="str">
        <x:v>9089</x:v>
      </x:c>
      <x:c r="G2082" s="19" t="str">
        <x:v>速度/计算</x:v>
      </x:c>
      <x:c r="H2082" s="19" t="str">
        <x:v>D:/Codex/GRL研究/outputs/grid42b/GRID42_report.md</x:v>
      </x:c>
    </x:row>
    <x:row r="2083" ht="36" customHeight="1">
      <x:c r="A2083" s="19" t="str">
        <x:v>GRID42B</x:v>
      </x:c>
      <x:c r="B2083" s="19" t="str">
        <x:v>GRID42_report.md</x:v>
      </x:c>
      <x:c r="C2083" s="19" t="str">
        <x:v>1. GRID42 已观测即时并列的局部补查</x:v>
      </x:c>
      <x:c r="D2083" s="19" t="str">
        <x:v>排序器=SOFTGNN0；原查询=8064</x:v>
      </x:c>
      <x:c r="E2083" s="19" t="str">
        <x:v>与FULL选择相同</x:v>
      </x:c>
      <x:c r="F2083" s="19" t="str">
        <x:v>24/26</x:v>
      </x:c>
      <x:c r="G2083" s="19" t="str">
        <x:v>质量/成本</x:v>
      </x:c>
      <x:c r="H2083" s="19" t="str">
        <x:v>D:/Codex/GRL研究/outputs/grid42b/GRID42_report.md</x:v>
      </x:c>
    </x:row>
    <x:row r="2084" ht="36" customHeight="1">
      <x:c r="A2084" s="19" t="str">
        <x:v>GRID42B</x:v>
      </x:c>
      <x:c r="B2084" s="19" t="str">
        <x:v>GRID42_report.md</x:v>
      </x:c>
      <x:c r="C2084" s="19" t="str">
        <x:v>1. GRID42 已观测即时并列的局部补查</x:v>
      </x:c>
      <x:c r="D2084" s="19" t="str">
        <x:v>排序器=SOFTGNN0；原查询=8064</x:v>
      </x:c>
      <x:c r="E2084" s="19" t="str">
        <x:v>找回578</x:v>
      </x:c>
      <x:c r="F2084" s="19" t="str">
        <x:v>True</x:v>
      </x:c>
      <x:c r="G2084" s="19" t="str">
        <x:v>其他/配置</x:v>
      </x:c>
      <x:c r="H2084" s="19" t="str">
        <x:v>D:/Codex/GRL研究/outputs/grid42b/GRID42_report.md</x:v>
      </x:c>
    </x:row>
    <x:row r="2085" ht="36" customHeight="1">
      <x:c r="A2085" s="19" t="str">
        <x:v>GRID42B</x:v>
      </x:c>
      <x:c r="B2085" s="19" t="str">
        <x:v>GRID42_report.md</x:v>
      </x:c>
      <x:c r="C2085" s="19" t="str">
        <x:v>1. GRID42 已观测即时并列的局部补查</x:v>
      </x:c>
      <x:c r="D2085" s="19" t="str">
        <x:v>排序器=SOFTGNN0；原查询=8064</x:v>
      </x:c>
      <x:c r="E2085" s="19" t="str">
        <x:v>找回1733</x:v>
      </x:c>
      <x:c r="F2085" s="19" t="str">
        <x:v>True</x:v>
      </x:c>
      <x:c r="G2085" s="19" t="str">
        <x:v>其他/配置</x:v>
      </x:c>
      <x:c r="H2085" s="19" t="str">
        <x:v>D:/Codex/GRL研究/outputs/grid42b/GRID42_report.md</x:v>
      </x:c>
    </x:row>
    <x:row r="2086" ht="36" customHeight="1">
      <x:c r="A2086" s="19" t="str">
        <x:v>GRID42B</x:v>
      </x:c>
      <x:c r="B2086" s="19" t="str">
        <x:v>GRID42_report.md</x:v>
      </x:c>
      <x:c r="C2086" s="19" t="str">
        <x:v>1. GRID42 已观测即时并列的局部补查</x:v>
      </x:c>
      <x:c r="D2086" s="19" t="str">
        <x:v>排序器=SOFTGNN1；原查询=8004</x:v>
      </x:c>
      <x:c r="E2086" s="19" t="str">
        <x:v>原查询</x:v>
      </x:c>
      <x:c r="F2086" s="19" t="str">
        <x:v>8004</x:v>
      </x:c>
      <x:c r="G2086" s="19" t="str">
        <x:v>速度/计算</x:v>
      </x:c>
      <x:c r="H2086" s="19" t="str">
        <x:v>D:/Codex/GRL研究/outputs/grid42b/GRID42_report.md</x:v>
      </x:c>
    </x:row>
    <x:row r="2087" ht="36" customHeight="1">
      <x:c r="A2087" s="19" t="str">
        <x:v>GRID42B</x:v>
      </x:c>
      <x:c r="B2087" s="19" t="str">
        <x:v>GRID42_report.md</x:v>
      </x:c>
      <x:c r="C2087" s="19" t="str">
        <x:v>1. GRID42 已观测即时并列的局部补查</x:v>
      </x:c>
      <x:c r="D2087" s="19" t="str">
        <x:v>排序器=SOFTGNN1；原查询=8004</x:v>
      </x:c>
      <x:c r="E2087" s="19" t="str">
        <x:v>补查查询</x:v>
      </x:c>
      <x:c r="F2087" s="19" t="str">
        <x:v>9127</x:v>
      </x:c>
      <x:c r="G2087" s="19" t="str">
        <x:v>速度/计算</x:v>
      </x:c>
      <x:c r="H2087" s="19" t="str">
        <x:v>D:/Codex/GRL研究/outputs/grid42b/GRID42_report.md</x:v>
      </x:c>
    </x:row>
    <x:row r="2088" ht="36" customHeight="1">
      <x:c r="A2088" s="19" t="str">
        <x:v>GRID42B</x:v>
      </x:c>
      <x:c r="B2088" s="19" t="str">
        <x:v>GRID42_report.md</x:v>
      </x:c>
      <x:c r="C2088" s="19" t="str">
        <x:v>1. GRID42 已观测即时并列的局部补查</x:v>
      </x:c>
      <x:c r="D2088" s="19" t="str">
        <x:v>排序器=SOFTGNN1；原查询=8004</x:v>
      </x:c>
      <x:c r="E2088" s="19" t="str">
        <x:v>与FULL选择相同</x:v>
      </x:c>
      <x:c r="F2088" s="19" t="str">
        <x:v>24/26</x:v>
      </x:c>
      <x:c r="G2088" s="19" t="str">
        <x:v>质量/成本</x:v>
      </x:c>
      <x:c r="H2088" s="19" t="str">
        <x:v>D:/Codex/GRL研究/outputs/grid42b/GRID42_report.md</x:v>
      </x:c>
    </x:row>
    <x:row r="2089" ht="36" customHeight="1">
      <x:c r="A2089" s="19" t="str">
        <x:v>GRID42B</x:v>
      </x:c>
      <x:c r="B2089" s="19" t="str">
        <x:v>GRID42_report.md</x:v>
      </x:c>
      <x:c r="C2089" s="19" t="str">
        <x:v>1. GRID42 已观测即时并列的局部补查</x:v>
      </x:c>
      <x:c r="D2089" s="19" t="str">
        <x:v>排序器=SOFTGNN1；原查询=8004</x:v>
      </x:c>
      <x:c r="E2089" s="19" t="str">
        <x:v>找回578</x:v>
      </x:c>
      <x:c r="F2089" s="19" t="str">
        <x:v>True</x:v>
      </x:c>
      <x:c r="G2089" s="19" t="str">
        <x:v>其他/配置</x:v>
      </x:c>
      <x:c r="H2089" s="19" t="str">
        <x:v>D:/Codex/GRL研究/outputs/grid42b/GRID42_report.md</x:v>
      </x:c>
    </x:row>
    <x:row r="2090" ht="36" customHeight="1">
      <x:c r="A2090" s="19" t="str">
        <x:v>GRID42B</x:v>
      </x:c>
      <x:c r="B2090" s="19" t="str">
        <x:v>GRID42_report.md</x:v>
      </x:c>
      <x:c r="C2090" s="19" t="str">
        <x:v>1. GRID42 已观测即时并列的局部补查</x:v>
      </x:c>
      <x:c r="D2090" s="19" t="str">
        <x:v>排序器=SOFTGNN1；原查询=8004</x:v>
      </x:c>
      <x:c r="E2090" s="19" t="str">
        <x:v>找回1733</x:v>
      </x:c>
      <x:c r="F2090" s="19" t="str">
        <x:v>True</x:v>
      </x:c>
      <x:c r="G2090" s="19" t="str">
        <x:v>其他/配置</x:v>
      </x:c>
      <x:c r="H2090" s="19" t="str">
        <x:v>D:/Codex/GRL研究/outputs/grid42b/GRID42_report.md</x:v>
      </x:c>
    </x:row>
    <x:row r="2091" ht="36" customHeight="1">
      <x:c r="A2091" s="19" t="str">
        <x:v>GRID44</x:v>
      </x:c>
      <x:c r="B2091" s="19" t="str">
        <x:v>GRID44_report.md</x:v>
      </x:c>
      <x:c r="C2091" s="19" t="str">
        <x:v>1. GRID44 八个预留日期家族确认</x:v>
      </x:c>
      <x:c r="D2091" s="19" t="str">
        <x:v>方法=FULL；完成=16/16</x:v>
      </x:c>
      <x:c r="E2091" s="19" t="str">
        <x:v>完成</x:v>
      </x:c>
      <x:c r="F2091" s="19" t="str">
        <x:v>16/16</x:v>
      </x:c>
      <x:c r="G2091" s="19" t="str">
        <x:v>质量/成本</x:v>
      </x:c>
      <x:c r="H2091" s="19" t="str">
        <x:v>D:/Codex/GRL研究/outputs/grid44/GRID44_report.md</x:v>
      </x:c>
    </x:row>
    <x:row r="2092" ht="36" customHeight="1">
      <x:c r="A2092" s="19" t="str">
        <x:v>GRID44</x:v>
      </x:c>
      <x:c r="B2092" s="19" t="str">
        <x:v>GRID44_report.md</x:v>
      </x:c>
      <x:c r="C2092" s="19" t="str">
        <x:v>1. GRID44 八个预留日期家族确认</x:v>
      </x:c>
      <x:c r="D2092" s="19" t="str">
        <x:v>方法=FULL；完成=16/16</x:v>
      </x:c>
      <x:c r="E2092" s="19" t="str">
        <x:v>无提前失败</x:v>
      </x:c>
      <x:c r="F2092" s="19" t="str">
        <x:v>16/16</x:v>
      </x:c>
      <x:c r="G2092" s="19" t="str">
        <x:v>质量/成本</x:v>
      </x:c>
      <x:c r="H2092" s="19" t="str">
        <x:v>D:/Codex/GRL研究/outputs/grid44/GRID44_report.md</x:v>
      </x:c>
    </x:row>
    <x:row r="2093" ht="36" customHeight="1">
      <x:c r="A2093" s="19" t="str">
        <x:v>GRID44</x:v>
      </x:c>
      <x:c r="B2093" s="19" t="str">
        <x:v>GRID44_report.md</x:v>
      </x:c>
      <x:c r="C2093" s="19" t="str">
        <x:v>1. GRID44 八个预留日期家族确认</x:v>
      </x:c>
      <x:c r="D2093" s="19" t="str">
        <x:v>方法=FULL；完成=16/16</x:v>
      </x:c>
      <x:c r="E2093" s="19" t="str">
        <x:v>质量筛查</x:v>
      </x:c>
      <x:c r="F2093" s="19" t="str">
        <x:v>16/16</x:v>
      </x:c>
      <x:c r="G2093" s="19" t="str">
        <x:v>质量/成本</x:v>
      </x:c>
      <x:c r="H2093" s="19" t="str">
        <x:v>D:/Codex/GRL研究/outputs/grid44/GRID44_report.md</x:v>
      </x:c>
    </x:row>
    <x:row r="2094" ht="36" customHeight="1">
      <x:c r="A2094" s="19" t="str">
        <x:v>GRID44</x:v>
      </x:c>
      <x:c r="B2094" s="19" t="str">
        <x:v>GRID44_report.md</x:v>
      </x:c>
      <x:c r="C2094" s="19" t="str">
        <x:v>1. GRID44 八个预留日期家族确认</x:v>
      </x:c>
      <x:c r="D2094" s="19" t="str">
        <x:v>方法=FULL；完成=16/16</x:v>
      </x:c>
      <x:c r="E2094" s="19" t="str">
        <x:v>完成周最大成本差</x:v>
      </x:c>
      <x:c r="F2094" s="19" t="str">
        <x:v>0.00000%</x:v>
      </x:c>
      <x:c r="G2094" s="19" t="str">
        <x:v>质量/成本</x:v>
      </x:c>
      <x:c r="H2094" s="19" t="str">
        <x:v>D:/Codex/GRL研究/outputs/grid44/GRID44_report.md</x:v>
      </x:c>
    </x:row>
    <x:row r="2095" ht="36" customHeight="1">
      <x:c r="A2095" s="19" t="str">
        <x:v>GRID44</x:v>
      </x:c>
      <x:c r="B2095" s="19" t="str">
        <x:v>GRID44_report.md</x:v>
      </x:c>
      <x:c r="C2095" s="19" t="str">
        <x:v>1. GRID44 八个预留日期家族确认</x:v>
      </x:c>
      <x:c r="D2095" s="19" t="str">
        <x:v>方法=FULL；完成=16/16</x:v>
      </x:c>
      <x:c r="E2095" s="19" t="str">
        <x:v>对FULL宏平均控制时间减少</x:v>
      </x:c>
      <x:c r="F2095" s="19" t="str">
        <x:v>参照</x:v>
      </x:c>
      <x:c r="G2095" s="19" t="str">
        <x:v>速度/计算</x:v>
      </x:c>
      <x:c r="H2095" s="19" t="str">
        <x:v>D:/Codex/GRL研究/outputs/grid44/GRID44_report.md</x:v>
      </x:c>
    </x:row>
    <x:row r="2096" ht="36" customHeight="1">
      <x:c r="A2096" s="19" t="str">
        <x:v>GRID44</x:v>
      </x:c>
      <x:c r="B2096" s="19" t="str">
        <x:v>GRID44_report.md</x:v>
      </x:c>
      <x:c r="C2096" s="19" t="str">
        <x:v>1. GRID44 八个预留日期家族确认</x:v>
      </x:c>
      <x:c r="D2096" s="19" t="str">
        <x:v>方法=LOCAL_GNN0；完成=16/16</x:v>
      </x:c>
      <x:c r="E2096" s="19" t="str">
        <x:v>完成</x:v>
      </x:c>
      <x:c r="F2096" s="19" t="str">
        <x:v>16/16</x:v>
      </x:c>
      <x:c r="G2096" s="19" t="str">
        <x:v>质量/成本</x:v>
      </x:c>
      <x:c r="H2096" s="19" t="str">
        <x:v>D:/Codex/GRL研究/outputs/grid44/GRID44_report.md</x:v>
      </x:c>
    </x:row>
    <x:row r="2097" ht="36" customHeight="1">
      <x:c r="A2097" s="19" t="str">
        <x:v>GRID44</x:v>
      </x:c>
      <x:c r="B2097" s="19" t="str">
        <x:v>GRID44_report.md</x:v>
      </x:c>
      <x:c r="C2097" s="19" t="str">
        <x:v>1. GRID44 八个预留日期家族确认</x:v>
      </x:c>
      <x:c r="D2097" s="19" t="str">
        <x:v>方法=LOCAL_GNN0；完成=16/16</x:v>
      </x:c>
      <x:c r="E2097" s="19" t="str">
        <x:v>无提前失败</x:v>
      </x:c>
      <x:c r="F2097" s="19" t="str">
        <x:v>16/16</x:v>
      </x:c>
      <x:c r="G2097" s="19" t="str">
        <x:v>质量/成本</x:v>
      </x:c>
      <x:c r="H2097" s="19" t="str">
        <x:v>D:/Codex/GRL研究/outputs/grid44/GRID44_report.md</x:v>
      </x:c>
    </x:row>
    <x:row r="2098" ht="36" customHeight="1">
      <x:c r="A2098" s="19" t="str">
        <x:v>GRID44</x:v>
      </x:c>
      <x:c r="B2098" s="19" t="str">
        <x:v>GRID44_report.md</x:v>
      </x:c>
      <x:c r="C2098" s="19" t="str">
        <x:v>1. GRID44 八个预留日期家族确认</x:v>
      </x:c>
      <x:c r="D2098" s="19" t="str">
        <x:v>方法=LOCAL_GNN0；完成=16/16</x:v>
      </x:c>
      <x:c r="E2098" s="19" t="str">
        <x:v>质量筛查</x:v>
      </x:c>
      <x:c r="F2098" s="19" t="str">
        <x:v>14/16</x:v>
      </x:c>
      <x:c r="G2098" s="19" t="str">
        <x:v>质量/成本</x:v>
      </x:c>
      <x:c r="H2098" s="19" t="str">
        <x:v>D:/Codex/GRL研究/outputs/grid44/GRID44_report.md</x:v>
      </x:c>
    </x:row>
    <x:row r="2099" ht="36" customHeight="1">
      <x:c r="A2099" s="19" t="str">
        <x:v>GRID44</x:v>
      </x:c>
      <x:c r="B2099" s="19" t="str">
        <x:v>GRID44_report.md</x:v>
      </x:c>
      <x:c r="C2099" s="19" t="str">
        <x:v>1. GRID44 八个预留日期家族确认</x:v>
      </x:c>
      <x:c r="D2099" s="19" t="str">
        <x:v>方法=LOCAL_GNN0；完成=16/16</x:v>
      </x:c>
      <x:c r="E2099" s="19" t="str">
        <x:v>完成周最大成本差</x:v>
      </x:c>
      <x:c r="F2099" s="19" t="str">
        <x:v>0.88509%</x:v>
      </x:c>
      <x:c r="G2099" s="19" t="str">
        <x:v>质量/成本</x:v>
      </x:c>
      <x:c r="H2099" s="19" t="str">
        <x:v>D:/Codex/GRL研究/outputs/grid44/GRID44_report.md</x:v>
      </x:c>
    </x:row>
    <x:row r="2100" ht="36" customHeight="1">
      <x:c r="A2100" s="19" t="str">
        <x:v>GRID44</x:v>
      </x:c>
      <x:c r="B2100" s="19" t="str">
        <x:v>GRID44_report.md</x:v>
      </x:c>
      <x:c r="C2100" s="19" t="str">
        <x:v>1. GRID44 八个预留日期家族确认</x:v>
      </x:c>
      <x:c r="D2100" s="19" t="str">
        <x:v>方法=LOCAL_GNN0；完成=16/16</x:v>
      </x:c>
      <x:c r="E2100" s="19" t="str">
        <x:v>对FULL宏平均控制时间减少</x:v>
      </x:c>
      <x:c r="F2100" s="19" t="str">
        <x:v>14.982%</x:v>
      </x:c>
      <x:c r="G2100" s="19" t="str">
        <x:v>速度/计算</x:v>
      </x:c>
      <x:c r="H2100" s="19" t="str">
        <x:v>D:/Codex/GRL研究/outputs/grid44/GRID44_report.md</x:v>
      </x:c>
    </x:row>
    <x:row r="2101" ht="36" customHeight="1">
      <x:c r="A2101" s="19" t="str">
        <x:v>GRID44</x:v>
      </x:c>
      <x:c r="B2101" s="19" t="str">
        <x:v>GRID44_report.md</x:v>
      </x:c>
      <x:c r="C2101" s="19" t="str">
        <x:v>1. GRID44 八个预留日期家族确认</x:v>
      </x:c>
      <x:c r="D2101" s="19" t="str">
        <x:v>方法=LOCAL_GNN1；完成=16/16</x:v>
      </x:c>
      <x:c r="E2101" s="19" t="str">
        <x:v>完成</x:v>
      </x:c>
      <x:c r="F2101" s="19" t="str">
        <x:v>16/16</x:v>
      </x:c>
      <x:c r="G2101" s="19" t="str">
        <x:v>质量/成本</x:v>
      </x:c>
      <x:c r="H2101" s="19" t="str">
        <x:v>D:/Codex/GRL研究/outputs/grid44/GRID44_report.md</x:v>
      </x:c>
    </x:row>
    <x:row r="2102" ht="36" customHeight="1">
      <x:c r="A2102" s="19" t="str">
        <x:v>GRID44</x:v>
      </x:c>
      <x:c r="B2102" s="19" t="str">
        <x:v>GRID44_report.md</x:v>
      </x:c>
      <x:c r="C2102" s="19" t="str">
        <x:v>1. GRID44 八个预留日期家族确认</x:v>
      </x:c>
      <x:c r="D2102" s="19" t="str">
        <x:v>方法=LOCAL_GNN1；完成=16/16</x:v>
      </x:c>
      <x:c r="E2102" s="19" t="str">
        <x:v>无提前失败</x:v>
      </x:c>
      <x:c r="F2102" s="19" t="str">
        <x:v>16/16</x:v>
      </x:c>
      <x:c r="G2102" s="19" t="str">
        <x:v>质量/成本</x:v>
      </x:c>
      <x:c r="H2102" s="19" t="str">
        <x:v>D:/Codex/GRL研究/outputs/grid44/GRID44_report.md</x:v>
      </x:c>
    </x:row>
    <x:row r="2103" ht="36" customHeight="1">
      <x:c r="A2103" s="19" t="str">
        <x:v>GRID44</x:v>
      </x:c>
      <x:c r="B2103" s="19" t="str">
        <x:v>GRID44_report.md</x:v>
      </x:c>
      <x:c r="C2103" s="19" t="str">
        <x:v>1. GRID44 八个预留日期家族确认</x:v>
      </x:c>
      <x:c r="D2103" s="19" t="str">
        <x:v>方法=LOCAL_GNN1；完成=16/16</x:v>
      </x:c>
      <x:c r="E2103" s="19" t="str">
        <x:v>质量筛查</x:v>
      </x:c>
      <x:c r="F2103" s="19" t="str">
        <x:v>14/16</x:v>
      </x:c>
      <x:c r="G2103" s="19" t="str">
        <x:v>质量/成本</x:v>
      </x:c>
      <x:c r="H2103" s="19" t="str">
        <x:v>D:/Codex/GRL研究/outputs/grid44/GRID44_report.md</x:v>
      </x:c>
    </x:row>
    <x:row r="2104" ht="36" customHeight="1">
      <x:c r="A2104" s="19" t="str">
        <x:v>GRID44</x:v>
      </x:c>
      <x:c r="B2104" s="19" t="str">
        <x:v>GRID44_report.md</x:v>
      </x:c>
      <x:c r="C2104" s="19" t="str">
        <x:v>1. GRID44 八个预留日期家族确认</x:v>
      </x:c>
      <x:c r="D2104" s="19" t="str">
        <x:v>方法=LOCAL_GNN1；完成=16/16</x:v>
      </x:c>
      <x:c r="E2104" s="19" t="str">
        <x:v>完成周最大成本差</x:v>
      </x:c>
      <x:c r="F2104" s="19" t="str">
        <x:v>0.88509%</x:v>
      </x:c>
      <x:c r="G2104" s="19" t="str">
        <x:v>质量/成本</x:v>
      </x:c>
      <x:c r="H2104" s="19" t="str">
        <x:v>D:/Codex/GRL研究/outputs/grid44/GRID44_report.md</x:v>
      </x:c>
    </x:row>
    <x:row r="2105" ht="36" customHeight="1">
      <x:c r="A2105" s="19" t="str">
        <x:v>GRID44</x:v>
      </x:c>
      <x:c r="B2105" s="19" t="str">
        <x:v>GRID44_report.md</x:v>
      </x:c>
      <x:c r="C2105" s="19" t="str">
        <x:v>1. GRID44 八个预留日期家族确认</x:v>
      </x:c>
      <x:c r="D2105" s="19" t="str">
        <x:v>方法=LOCAL_GNN1；完成=16/16</x:v>
      </x:c>
      <x:c r="E2105" s="19" t="str">
        <x:v>对FULL宏平均控制时间减少</x:v>
      </x:c>
      <x:c r="F2105" s="19" t="str">
        <x:v>14.265%</x:v>
      </x:c>
      <x:c r="G2105" s="19" t="str">
        <x:v>速度/计算</x:v>
      </x:c>
      <x:c r="H2105" s="19" t="str">
        <x:v>D:/Codex/GRL研究/outputs/grid44/GRID44_report.md</x:v>
      </x:c>
    </x:row>
    <x:row r="2106" ht="36" customHeight="1">
      <x:c r="A2106" s="19" t="str">
        <x:v>GRID44</x:v>
      </x:c>
      <x:c r="B2106" s="19" t="str">
        <x:v>GRID44_report.md</x:v>
      </x:c>
      <x:c r="C2106" s="19" t="str">
        <x:v>1. GRID44 八个预留日期家族确认</x:v>
      </x:c>
      <x:c r="D2106" s="19" t="str">
        <x:v>方法=SOFTGNN0；完成=16/16</x:v>
      </x:c>
      <x:c r="E2106" s="19" t="str">
        <x:v>完成</x:v>
      </x:c>
      <x:c r="F2106" s="19" t="str">
        <x:v>16/16</x:v>
      </x:c>
      <x:c r="G2106" s="19" t="str">
        <x:v>质量/成本</x:v>
      </x:c>
      <x:c r="H2106" s="19" t="str">
        <x:v>D:/Codex/GRL研究/outputs/grid44/GRID44_report.md</x:v>
      </x:c>
    </x:row>
    <x:row r="2107" ht="36" customHeight="1">
      <x:c r="A2107" s="19" t="str">
        <x:v>GRID44</x:v>
      </x:c>
      <x:c r="B2107" s="19" t="str">
        <x:v>GRID44_report.md</x:v>
      </x:c>
      <x:c r="C2107" s="19" t="str">
        <x:v>1. GRID44 八个预留日期家族确认</x:v>
      </x:c>
      <x:c r="D2107" s="19" t="str">
        <x:v>方法=SOFTGNN0；完成=16/16</x:v>
      </x:c>
      <x:c r="E2107" s="19" t="str">
        <x:v>无提前失败</x:v>
      </x:c>
      <x:c r="F2107" s="19" t="str">
        <x:v>16/16</x:v>
      </x:c>
      <x:c r="G2107" s="19" t="str">
        <x:v>质量/成本</x:v>
      </x:c>
      <x:c r="H2107" s="19" t="str">
        <x:v>D:/Codex/GRL研究/outputs/grid44/GRID44_report.md</x:v>
      </x:c>
    </x:row>
    <x:row r="2108" ht="36" customHeight="1">
      <x:c r="A2108" s="19" t="str">
        <x:v>GRID44</x:v>
      </x:c>
      <x:c r="B2108" s="19" t="str">
        <x:v>GRID44_report.md</x:v>
      </x:c>
      <x:c r="C2108" s="19" t="str">
        <x:v>1. GRID44 八个预留日期家族确认</x:v>
      </x:c>
      <x:c r="D2108" s="19" t="str">
        <x:v>方法=SOFTGNN0；完成=16/16</x:v>
      </x:c>
      <x:c r="E2108" s="19" t="str">
        <x:v>质量筛查</x:v>
      </x:c>
      <x:c r="F2108" s="19" t="str">
        <x:v>14/16</x:v>
      </x:c>
      <x:c r="G2108" s="19" t="str">
        <x:v>质量/成本</x:v>
      </x:c>
      <x:c r="H2108" s="19" t="str">
        <x:v>D:/Codex/GRL研究/outputs/grid44/GRID44_report.md</x:v>
      </x:c>
    </x:row>
    <x:row r="2109" ht="36" customHeight="1">
      <x:c r="A2109" s="19" t="str">
        <x:v>GRID44</x:v>
      </x:c>
      <x:c r="B2109" s="19" t="str">
        <x:v>GRID44_report.md</x:v>
      </x:c>
      <x:c r="C2109" s="19" t="str">
        <x:v>1. GRID44 八个预留日期家族确认</x:v>
      </x:c>
      <x:c r="D2109" s="19" t="str">
        <x:v>方法=SOFTGNN0；完成=16/16</x:v>
      </x:c>
      <x:c r="E2109" s="19" t="str">
        <x:v>完成周最大成本差</x:v>
      </x:c>
      <x:c r="F2109" s="19" t="str">
        <x:v>2.46195%</x:v>
      </x:c>
      <x:c r="G2109" s="19" t="str">
        <x:v>质量/成本</x:v>
      </x:c>
      <x:c r="H2109" s="19" t="str">
        <x:v>D:/Codex/GRL研究/outputs/grid44/GRID44_report.md</x:v>
      </x:c>
    </x:row>
    <x:row r="2110" ht="36" customHeight="1">
      <x:c r="A2110" s="19" t="str">
        <x:v>GRID44</x:v>
      </x:c>
      <x:c r="B2110" s="19" t="str">
        <x:v>GRID44_report.md</x:v>
      </x:c>
      <x:c r="C2110" s="19" t="str">
        <x:v>1. GRID44 八个预留日期家族确认</x:v>
      </x:c>
      <x:c r="D2110" s="19" t="str">
        <x:v>方法=SOFTGNN0；完成=16/16</x:v>
      </x:c>
      <x:c r="E2110" s="19" t="str">
        <x:v>对FULL宏平均控制时间减少</x:v>
      </x:c>
      <x:c r="F2110" s="19" t="str">
        <x:v>15.431%</x:v>
      </x:c>
      <x:c r="G2110" s="19" t="str">
        <x:v>速度/计算</x:v>
      </x:c>
      <x:c r="H2110" s="19" t="str">
        <x:v>D:/Codex/GRL研究/outputs/grid44/GRID44_report.md</x:v>
      </x:c>
    </x:row>
    <x:row r="2111" ht="36" customHeight="1">
      <x:c r="A2111" s="19" t="str">
        <x:v>GRID44</x:v>
      </x:c>
      <x:c r="B2111" s="19" t="str">
        <x:v>GRID44_report.md</x:v>
      </x:c>
      <x:c r="C2111" s="19" t="str">
        <x:v>1. GRID44 八个预留日期家族确认</x:v>
      </x:c>
      <x:c r="D2111" s="19" t="str">
        <x:v>方法=SOFTGNN1；完成=16/16</x:v>
      </x:c>
      <x:c r="E2111" s="19" t="str">
        <x:v>完成</x:v>
      </x:c>
      <x:c r="F2111" s="19" t="str">
        <x:v>16/16</x:v>
      </x:c>
      <x:c r="G2111" s="19" t="str">
        <x:v>质量/成本</x:v>
      </x:c>
      <x:c r="H2111" s="19" t="str">
        <x:v>D:/Codex/GRL研究/outputs/grid44/GRID44_report.md</x:v>
      </x:c>
    </x:row>
    <x:row r="2112" ht="36" customHeight="1">
      <x:c r="A2112" s="19" t="str">
        <x:v>GRID44</x:v>
      </x:c>
      <x:c r="B2112" s="19" t="str">
        <x:v>GRID44_report.md</x:v>
      </x:c>
      <x:c r="C2112" s="19" t="str">
        <x:v>1. GRID44 八个预留日期家族确认</x:v>
      </x:c>
      <x:c r="D2112" s="19" t="str">
        <x:v>方法=SOFTGNN1；完成=16/16</x:v>
      </x:c>
      <x:c r="E2112" s="19" t="str">
        <x:v>无提前失败</x:v>
      </x:c>
      <x:c r="F2112" s="19" t="str">
        <x:v>16/16</x:v>
      </x:c>
      <x:c r="G2112" s="19" t="str">
        <x:v>质量/成本</x:v>
      </x:c>
      <x:c r="H2112" s="19" t="str">
        <x:v>D:/Codex/GRL研究/outputs/grid44/GRID44_report.md</x:v>
      </x:c>
    </x:row>
    <x:row r="2113" ht="36" customHeight="1">
      <x:c r="A2113" s="19" t="str">
        <x:v>GRID44</x:v>
      </x:c>
      <x:c r="B2113" s="19" t="str">
        <x:v>GRID44_report.md</x:v>
      </x:c>
      <x:c r="C2113" s="19" t="str">
        <x:v>1. GRID44 八个预留日期家族确认</x:v>
      </x:c>
      <x:c r="D2113" s="19" t="str">
        <x:v>方法=SOFTGNN1；完成=16/16</x:v>
      </x:c>
      <x:c r="E2113" s="19" t="str">
        <x:v>质量筛查</x:v>
      </x:c>
      <x:c r="F2113" s="19" t="str">
        <x:v>12/16</x:v>
      </x:c>
      <x:c r="G2113" s="19" t="str">
        <x:v>质量/成本</x:v>
      </x:c>
      <x:c r="H2113" s="19" t="str">
        <x:v>D:/Codex/GRL研究/outputs/grid44/GRID44_report.md</x:v>
      </x:c>
    </x:row>
    <x:row r="2114" ht="36" customHeight="1">
      <x:c r="A2114" s="19" t="str">
        <x:v>GRID44</x:v>
      </x:c>
      <x:c r="B2114" s="19" t="str">
        <x:v>GRID44_report.md</x:v>
      </x:c>
      <x:c r="C2114" s="19" t="str">
        <x:v>1. GRID44 八个预留日期家族确认</x:v>
      </x:c>
      <x:c r="D2114" s="19" t="str">
        <x:v>方法=SOFTGNN1；完成=16/16</x:v>
      </x:c>
      <x:c r="E2114" s="19" t="str">
        <x:v>完成周最大成本差</x:v>
      </x:c>
      <x:c r="F2114" s="19" t="str">
        <x:v>2.46195%</x:v>
      </x:c>
      <x:c r="G2114" s="19" t="str">
        <x:v>质量/成本</x:v>
      </x:c>
      <x:c r="H2114" s="19" t="str">
        <x:v>D:/Codex/GRL研究/outputs/grid44/GRID44_report.md</x:v>
      </x:c>
    </x:row>
    <x:row r="2115" ht="36" customHeight="1">
      <x:c r="A2115" s="19" t="str">
        <x:v>GRID44</x:v>
      </x:c>
      <x:c r="B2115" s="19" t="str">
        <x:v>GRID44_report.md</x:v>
      </x:c>
      <x:c r="C2115" s="19" t="str">
        <x:v>1. GRID44 八个预留日期家族确认</x:v>
      </x:c>
      <x:c r="D2115" s="19" t="str">
        <x:v>方法=SOFTGNN1；完成=16/16</x:v>
      </x:c>
      <x:c r="E2115" s="19" t="str">
        <x:v>对FULL宏平均控制时间减少</x:v>
      </x:c>
      <x:c r="F2115" s="19" t="str">
        <x:v>12.014%</x:v>
      </x:c>
      <x:c r="G2115" s="19" t="str">
        <x:v>速度/计算</x:v>
      </x:c>
      <x:c r="H2115" s="19" t="str">
        <x:v>D:/Codex/GRL研究/outputs/grid44/GRID44_report.md</x:v>
      </x:c>
    </x:row>
    <x:row r="2116" ht="36" customHeight="1">
      <x:c r="A2116" s="19" t="str">
        <x:v>GRID44</x:v>
      </x:c>
      <x:c r="B2116" s="19" t="str">
        <x:v>GRID44_report.md</x:v>
      </x:c>
      <x:c r="C2116" s="19" t="str">
        <x:v>1. GRID44 八个预留日期家族确认</x:v>
      </x:c>
      <x:c r="D2116" s="19" t="str">
        <x:v>方法=LOCAL_PPO；完成=16/16</x:v>
      </x:c>
      <x:c r="E2116" s="19" t="str">
        <x:v>完成</x:v>
      </x:c>
      <x:c r="F2116" s="19" t="str">
        <x:v>16/16</x:v>
      </x:c>
      <x:c r="G2116" s="19" t="str">
        <x:v>质量/成本</x:v>
      </x:c>
      <x:c r="H2116" s="19" t="str">
        <x:v>D:/Codex/GRL研究/outputs/grid44/GRID44_report.md</x:v>
      </x:c>
    </x:row>
    <x:row r="2117" ht="36" customHeight="1">
      <x:c r="A2117" s="19" t="str">
        <x:v>GRID44</x:v>
      </x:c>
      <x:c r="B2117" s="19" t="str">
        <x:v>GRID44_report.md</x:v>
      </x:c>
      <x:c r="C2117" s="19" t="str">
        <x:v>1. GRID44 八个预留日期家族确认</x:v>
      </x:c>
      <x:c r="D2117" s="19" t="str">
        <x:v>方法=LOCAL_PPO；完成=16/16</x:v>
      </x:c>
      <x:c r="E2117" s="19" t="str">
        <x:v>无提前失败</x:v>
      </x:c>
      <x:c r="F2117" s="19" t="str">
        <x:v>16/16</x:v>
      </x:c>
      <x:c r="G2117" s="19" t="str">
        <x:v>质量/成本</x:v>
      </x:c>
      <x:c r="H2117" s="19" t="str">
        <x:v>D:/Codex/GRL研究/outputs/grid44/GRID44_report.md</x:v>
      </x:c>
    </x:row>
    <x:row r="2118" ht="36" customHeight="1">
      <x:c r="A2118" s="19" t="str">
        <x:v>GRID44</x:v>
      </x:c>
      <x:c r="B2118" s="19" t="str">
        <x:v>GRID44_report.md</x:v>
      </x:c>
      <x:c r="C2118" s="19" t="str">
        <x:v>1. GRID44 八个预留日期家族确认</x:v>
      </x:c>
      <x:c r="D2118" s="19" t="str">
        <x:v>方法=LOCAL_PPO；完成=16/16</x:v>
      </x:c>
      <x:c r="E2118" s="19" t="str">
        <x:v>质量筛查</x:v>
      </x:c>
      <x:c r="F2118" s="19" t="str">
        <x:v>14/16</x:v>
      </x:c>
      <x:c r="G2118" s="19" t="str">
        <x:v>质量/成本</x:v>
      </x:c>
      <x:c r="H2118" s="19" t="str">
        <x:v>D:/Codex/GRL研究/outputs/grid44/GRID44_report.md</x:v>
      </x:c>
    </x:row>
    <x:row r="2119" ht="36" customHeight="1">
      <x:c r="A2119" s="19" t="str">
        <x:v>GRID44</x:v>
      </x:c>
      <x:c r="B2119" s="19" t="str">
        <x:v>GRID44_report.md</x:v>
      </x:c>
      <x:c r="C2119" s="19" t="str">
        <x:v>1. GRID44 八个预留日期家族确认</x:v>
      </x:c>
      <x:c r="D2119" s="19" t="str">
        <x:v>方法=LOCAL_PPO；完成=16/16</x:v>
      </x:c>
      <x:c r="E2119" s="19" t="str">
        <x:v>完成周最大成本差</x:v>
      </x:c>
      <x:c r="F2119" s="19" t="str">
        <x:v>0.88668%</x:v>
      </x:c>
      <x:c r="G2119" s="19" t="str">
        <x:v>质量/成本</x:v>
      </x:c>
      <x:c r="H2119" s="19" t="str">
        <x:v>D:/Codex/GRL研究/outputs/grid44/GRID44_report.md</x:v>
      </x:c>
    </x:row>
    <x:row r="2120" ht="36" customHeight="1">
      <x:c r="A2120" s="19" t="str">
        <x:v>GRID44</x:v>
      </x:c>
      <x:c r="B2120" s="19" t="str">
        <x:v>GRID44_report.md</x:v>
      </x:c>
      <x:c r="C2120" s="19" t="str">
        <x:v>1. GRID44 八个预留日期家族确认</x:v>
      </x:c>
      <x:c r="D2120" s="19" t="str">
        <x:v>方法=LOCAL_PPO；完成=16/16</x:v>
      </x:c>
      <x:c r="E2120" s="19" t="str">
        <x:v>对FULL宏平均控制时间减少</x:v>
      </x:c>
      <x:c r="F2120" s="19" t="str">
        <x:v>11.911%</x:v>
      </x:c>
      <x:c r="G2120" s="19" t="str">
        <x:v>速度/计算</x:v>
      </x:c>
      <x:c r="H2120" s="19" t="str">
        <x:v>D:/Codex/GRL研究/outputs/grid44/GRID44_report.md</x:v>
      </x:c>
    </x:row>
    <x:row r="2121" ht="36" customHeight="1">
      <x:c r="A2121" s="19" t="str">
        <x:v>GRID44</x:v>
      </x:c>
      <x:c r="B2121" s="19" t="str">
        <x:v>GRID44_report.md</x:v>
      </x:c>
      <x:c r="C2121" s="19" t="str">
        <x:v>2. GRID44 八个预留日期家族确认</x:v>
      </x:c>
      <x:c r="D2121" s="19" t="str">
        <x:v>方法=LOCAL_GNN0；对照=FULL</x:v>
      </x:c>
      <x:c r="E2121" s="19" t="str">
        <x:v>对照</x:v>
      </x:c>
      <x:c r="F2121" s="19" t="str">
        <x:v>FULL</x:v>
      </x:c>
      <x:c r="G2121" s="19" t="str">
        <x:v>其他/配置</x:v>
      </x:c>
      <x:c r="H2121" s="19" t="str">
        <x:v>D:/Codex/GRL研究/outputs/grid44/GRID44_report.md</x:v>
      </x:c>
    </x:row>
    <x:row r="2122" ht="36" customHeight="1">
      <x:c r="A2122" s="19" t="str">
        <x:v>GRID44</x:v>
      </x:c>
      <x:c r="B2122" s="19" t="str">
        <x:v>GRID44_report.md</x:v>
      </x:c>
      <x:c r="C2122" s="19" t="str">
        <x:v>2. GRID44 八个预留日期家族确认</x:v>
      </x:c>
      <x:c r="D2122" s="19" t="str">
        <x:v>方法=LOCAL_GNN0；对照=FULL</x:v>
      </x:c>
      <x:c r="E2122" s="19" t="str">
        <x:v>可比家族</x:v>
      </x:c>
      <x:c r="F2122" s="19" t="str">
        <x:v>8</x:v>
      </x:c>
      <x:c r="G2122" s="19" t="str">
        <x:v>其他/配置</x:v>
      </x:c>
      <x:c r="H2122" s="19" t="str">
        <x:v>D:/Codex/GRL研究/outputs/grid44/GRID44_report.md</x:v>
      </x:c>
    </x:row>
    <x:row r="2123" ht="36" customHeight="1">
      <x:c r="A2123" s="19" t="str">
        <x:v>GRID44</x:v>
      </x:c>
      <x:c r="B2123" s="19" t="str">
        <x:v>GRID44_report.md</x:v>
      </x:c>
      <x:c r="C2123" s="19" t="str">
        <x:v>2. GRID44 八个预留日期家族确认</x:v>
      </x:c>
      <x:c r="D2123" s="19" t="str">
        <x:v>方法=LOCAL_GNN0；对照=FULL</x:v>
      </x:c>
      <x:c r="E2123" s="19" t="str">
        <x:v>宏平均提速</x:v>
      </x:c>
      <x:c r="F2123" s="19" t="str">
        <x:v>14.982%</x:v>
      </x:c>
      <x:c r="G2123" s="19" t="str">
        <x:v>速度/计算</x:v>
      </x:c>
      <x:c r="H2123" s="19" t="str">
        <x:v>D:/Codex/GRL研究/outputs/grid44/GRID44_report.md</x:v>
      </x:c>
    </x:row>
    <x:row r="2124" ht="36" customHeight="1">
      <x:c r="A2124" s="19" t="str">
        <x:v>GRID44</x:v>
      </x:c>
      <x:c r="B2124" s="19" t="str">
        <x:v>GRID44_report.md</x:v>
      </x:c>
      <x:c r="C2124" s="19" t="str">
        <x:v>2. GRID44 八个预留日期家族确认</x:v>
      </x:c>
      <x:c r="D2124" s="19" t="str">
        <x:v>方法=LOCAL_GNN0；对照=FULL</x:v>
      </x:c>
      <x:c r="E2124" s="19" t="str">
        <x:v>家族bootstrap95%</x:v>
      </x:c>
      <x:c r="F2124" s="19" t="str">
        <x:v>[11.443%, 18.360%]</x:v>
      </x:c>
      <x:c r="G2124" s="19" t="str">
        <x:v>速度/计算</x:v>
      </x:c>
      <x:c r="H2124" s="19" t="str">
        <x:v>D:/Codex/GRL研究/outputs/grid44/GRID44_report.md</x:v>
      </x:c>
    </x:row>
    <x:row r="2125" ht="36" customHeight="1">
      <x:c r="A2125" s="19" t="str">
        <x:v>GRID44</x:v>
      </x:c>
      <x:c r="B2125" s="19" t="str">
        <x:v>GRID44_report.md</x:v>
      </x:c>
      <x:c r="C2125" s="19" t="str">
        <x:v>2. GRID44 八个预留日期家族确认</x:v>
      </x:c>
      <x:c r="D2125" s="19" t="str">
        <x:v>方法=LOCAL_GNN0；对照=FULL</x:v>
      </x:c>
      <x:c r="E2125" s="19" t="str">
        <x:v>时间正向家族</x:v>
      </x:c>
      <x:c r="F2125" s="19" t="str">
        <x:v>8</x:v>
      </x:c>
      <x:c r="G2125" s="19" t="str">
        <x:v>速度/计算</x:v>
      </x:c>
      <x:c r="H2125" s="19" t="str">
        <x:v>D:/Codex/GRL研究/outputs/grid44/GRID44_report.md</x:v>
      </x:c>
    </x:row>
    <x:row r="2126" ht="36" customHeight="1">
      <x:c r="A2126" s="19" t="str">
        <x:v>GRID44</x:v>
      </x:c>
      <x:c r="B2126" s="19" t="str">
        <x:v>GRID44_report.md</x:v>
      </x:c>
      <x:c r="C2126" s="19" t="str">
        <x:v>2. GRID44 八个预留日期家族确认</x:v>
      </x:c>
      <x:c r="D2126" s="19" t="str">
        <x:v>方法=LOCAL_GNN1；对照=FULL</x:v>
      </x:c>
      <x:c r="E2126" s="19" t="str">
        <x:v>对照</x:v>
      </x:c>
      <x:c r="F2126" s="19" t="str">
        <x:v>FULL</x:v>
      </x:c>
      <x:c r="G2126" s="19" t="str">
        <x:v>其他/配置</x:v>
      </x:c>
      <x:c r="H2126" s="19" t="str">
        <x:v>D:/Codex/GRL研究/outputs/grid44/GRID44_report.md</x:v>
      </x:c>
    </x:row>
    <x:row r="2127" ht="36" customHeight="1">
      <x:c r="A2127" s="19" t="str">
        <x:v>GRID44</x:v>
      </x:c>
      <x:c r="B2127" s="19" t="str">
        <x:v>GRID44_report.md</x:v>
      </x:c>
      <x:c r="C2127" s="19" t="str">
        <x:v>2. GRID44 八个预留日期家族确认</x:v>
      </x:c>
      <x:c r="D2127" s="19" t="str">
        <x:v>方法=LOCAL_GNN1；对照=FULL</x:v>
      </x:c>
      <x:c r="E2127" s="19" t="str">
        <x:v>可比家族</x:v>
      </x:c>
      <x:c r="F2127" s="19" t="str">
        <x:v>8</x:v>
      </x:c>
      <x:c r="G2127" s="19" t="str">
        <x:v>其他/配置</x:v>
      </x:c>
      <x:c r="H2127" s="19" t="str">
        <x:v>D:/Codex/GRL研究/outputs/grid44/GRID44_report.md</x:v>
      </x:c>
    </x:row>
    <x:row r="2128" ht="36" customHeight="1">
      <x:c r="A2128" s="19" t="str">
        <x:v>GRID44</x:v>
      </x:c>
      <x:c r="B2128" s="19" t="str">
        <x:v>GRID44_report.md</x:v>
      </x:c>
      <x:c r="C2128" s="19" t="str">
        <x:v>2. GRID44 八个预留日期家族确认</x:v>
      </x:c>
      <x:c r="D2128" s="19" t="str">
        <x:v>方法=LOCAL_GNN1；对照=FULL</x:v>
      </x:c>
      <x:c r="E2128" s="19" t="str">
        <x:v>宏平均提速</x:v>
      </x:c>
      <x:c r="F2128" s="19" t="str">
        <x:v>14.265%</x:v>
      </x:c>
      <x:c r="G2128" s="19" t="str">
        <x:v>速度/计算</x:v>
      </x:c>
      <x:c r="H2128" s="19" t="str">
        <x:v>D:/Codex/GRL研究/outputs/grid44/GRID44_report.md</x:v>
      </x:c>
    </x:row>
    <x:row r="2129" ht="36" customHeight="1">
      <x:c r="A2129" s="19" t="str">
        <x:v>GRID44</x:v>
      </x:c>
      <x:c r="B2129" s="19" t="str">
        <x:v>GRID44_report.md</x:v>
      </x:c>
      <x:c r="C2129" s="19" t="str">
        <x:v>2. GRID44 八个预留日期家族确认</x:v>
      </x:c>
      <x:c r="D2129" s="19" t="str">
        <x:v>方法=LOCAL_GNN1；对照=FULL</x:v>
      </x:c>
      <x:c r="E2129" s="19" t="str">
        <x:v>家族bootstrap95%</x:v>
      </x:c>
      <x:c r="F2129" s="19" t="str">
        <x:v>[9.769%, 18.586%]</x:v>
      </x:c>
      <x:c r="G2129" s="19" t="str">
        <x:v>速度/计算</x:v>
      </x:c>
      <x:c r="H2129" s="19" t="str">
        <x:v>D:/Codex/GRL研究/outputs/grid44/GRID44_report.md</x:v>
      </x:c>
    </x:row>
    <x:row r="2130" ht="36" customHeight="1">
      <x:c r="A2130" s="19" t="str">
        <x:v>GRID44</x:v>
      </x:c>
      <x:c r="B2130" s="19" t="str">
        <x:v>GRID44_report.md</x:v>
      </x:c>
      <x:c r="C2130" s="19" t="str">
        <x:v>2. GRID44 八个预留日期家族确认</x:v>
      </x:c>
      <x:c r="D2130" s="19" t="str">
        <x:v>方法=LOCAL_GNN1；对照=FULL</x:v>
      </x:c>
      <x:c r="E2130" s="19" t="str">
        <x:v>时间正向家族</x:v>
      </x:c>
      <x:c r="F2130" s="19" t="str">
        <x:v>8</x:v>
      </x:c>
      <x:c r="G2130" s="19" t="str">
        <x:v>速度/计算</x:v>
      </x:c>
      <x:c r="H2130" s="19" t="str">
        <x:v>D:/Codex/GRL研究/outputs/grid44/GRID44_report.md</x:v>
      </x:c>
    </x:row>
    <x:row r="2131" ht="36" customHeight="1">
      <x:c r="A2131" s="19" t="str">
        <x:v>GRID44</x:v>
      </x:c>
      <x:c r="B2131" s="19" t="str">
        <x:v>GRID44_report.md</x:v>
      </x:c>
      <x:c r="C2131" s="19" t="str">
        <x:v>2. GRID44 八个预留日期家族确认</x:v>
      </x:c>
      <x:c r="D2131" s="19" t="str">
        <x:v>方法=SOFTGNN0；对照=FULL</x:v>
      </x:c>
      <x:c r="E2131" s="19" t="str">
        <x:v>对照</x:v>
      </x:c>
      <x:c r="F2131" s="19" t="str">
        <x:v>FULL</x:v>
      </x:c>
      <x:c r="G2131" s="19" t="str">
        <x:v>其他/配置</x:v>
      </x:c>
      <x:c r="H2131" s="19" t="str">
        <x:v>D:/Codex/GRL研究/outputs/grid44/GRID44_report.md</x:v>
      </x:c>
    </x:row>
    <x:row r="2132" ht="36" customHeight="1">
      <x:c r="A2132" s="19" t="str">
        <x:v>GRID44</x:v>
      </x:c>
      <x:c r="B2132" s="19" t="str">
        <x:v>GRID44_report.md</x:v>
      </x:c>
      <x:c r="C2132" s="19" t="str">
        <x:v>2. GRID44 八个预留日期家族确认</x:v>
      </x:c>
      <x:c r="D2132" s="19" t="str">
        <x:v>方法=SOFTGNN0；对照=FULL</x:v>
      </x:c>
      <x:c r="E2132" s="19" t="str">
        <x:v>可比家族</x:v>
      </x:c>
      <x:c r="F2132" s="19" t="str">
        <x:v>8</x:v>
      </x:c>
      <x:c r="G2132" s="19" t="str">
        <x:v>其他/配置</x:v>
      </x:c>
      <x:c r="H2132" s="19" t="str">
        <x:v>D:/Codex/GRL研究/outputs/grid44/GRID44_report.md</x:v>
      </x:c>
    </x:row>
    <x:row r="2133" ht="36" customHeight="1">
      <x:c r="A2133" s="19" t="str">
        <x:v>GRID44</x:v>
      </x:c>
      <x:c r="B2133" s="19" t="str">
        <x:v>GRID44_report.md</x:v>
      </x:c>
      <x:c r="C2133" s="19" t="str">
        <x:v>2. GRID44 八个预留日期家族确认</x:v>
      </x:c>
      <x:c r="D2133" s="19" t="str">
        <x:v>方法=SOFTGNN0；对照=FULL</x:v>
      </x:c>
      <x:c r="E2133" s="19" t="str">
        <x:v>宏平均提速</x:v>
      </x:c>
      <x:c r="F2133" s="19" t="str">
        <x:v>15.431%</x:v>
      </x:c>
      <x:c r="G2133" s="19" t="str">
        <x:v>速度/计算</x:v>
      </x:c>
      <x:c r="H2133" s="19" t="str">
        <x:v>D:/Codex/GRL研究/outputs/grid44/GRID44_report.md</x:v>
      </x:c>
    </x:row>
    <x:row r="2134" ht="36" customHeight="1">
      <x:c r="A2134" s="19" t="str">
        <x:v>GRID44</x:v>
      </x:c>
      <x:c r="B2134" s="19" t="str">
        <x:v>GRID44_report.md</x:v>
      </x:c>
      <x:c r="C2134" s="19" t="str">
        <x:v>2. GRID44 八个预留日期家族确认</x:v>
      </x:c>
      <x:c r="D2134" s="19" t="str">
        <x:v>方法=SOFTGNN0；对照=FULL</x:v>
      </x:c>
      <x:c r="E2134" s="19" t="str">
        <x:v>家族bootstrap95%</x:v>
      </x:c>
      <x:c r="F2134" s="19" t="str">
        <x:v>[8.709%, 22.457%]</x:v>
      </x:c>
      <x:c r="G2134" s="19" t="str">
        <x:v>速度/计算</x:v>
      </x:c>
      <x:c r="H2134" s="19" t="str">
        <x:v>D:/Codex/GRL研究/outputs/grid44/GRID44_report.md</x:v>
      </x:c>
    </x:row>
    <x:row r="2135" ht="36" customHeight="1">
      <x:c r="A2135" s="19" t="str">
        <x:v>GRID44</x:v>
      </x:c>
      <x:c r="B2135" s="19" t="str">
        <x:v>GRID44_report.md</x:v>
      </x:c>
      <x:c r="C2135" s="19" t="str">
        <x:v>2. GRID44 八个预留日期家族确认</x:v>
      </x:c>
      <x:c r="D2135" s="19" t="str">
        <x:v>方法=SOFTGNN0；对照=FULL</x:v>
      </x:c>
      <x:c r="E2135" s="19" t="str">
        <x:v>时间正向家族</x:v>
      </x:c>
      <x:c r="F2135" s="19" t="str">
        <x:v>8</x:v>
      </x:c>
      <x:c r="G2135" s="19" t="str">
        <x:v>速度/计算</x:v>
      </x:c>
      <x:c r="H2135" s="19" t="str">
        <x:v>D:/Codex/GRL研究/outputs/grid44/GRID44_report.md</x:v>
      </x:c>
    </x:row>
    <x:row r="2136" ht="36" customHeight="1">
      <x:c r="A2136" s="19" t="str">
        <x:v>GRID44</x:v>
      </x:c>
      <x:c r="B2136" s="19" t="str">
        <x:v>GRID44_report.md</x:v>
      </x:c>
      <x:c r="C2136" s="19" t="str">
        <x:v>2. GRID44 八个预留日期家族确认</x:v>
      </x:c>
      <x:c r="D2136" s="19" t="str">
        <x:v>方法=SOFTGNN1；对照=FULL</x:v>
      </x:c>
      <x:c r="E2136" s="19" t="str">
        <x:v>对照</x:v>
      </x:c>
      <x:c r="F2136" s="19" t="str">
        <x:v>FULL</x:v>
      </x:c>
      <x:c r="G2136" s="19" t="str">
        <x:v>其他/配置</x:v>
      </x:c>
      <x:c r="H2136" s="19" t="str">
        <x:v>D:/Codex/GRL研究/outputs/grid44/GRID44_report.md</x:v>
      </x:c>
    </x:row>
    <x:row r="2137" ht="36" customHeight="1">
      <x:c r="A2137" s="19" t="str">
        <x:v>GRID44</x:v>
      </x:c>
      <x:c r="B2137" s="19" t="str">
        <x:v>GRID44_report.md</x:v>
      </x:c>
      <x:c r="C2137" s="19" t="str">
        <x:v>2. GRID44 八个预留日期家族确认</x:v>
      </x:c>
      <x:c r="D2137" s="19" t="str">
        <x:v>方法=SOFTGNN1；对照=FULL</x:v>
      </x:c>
      <x:c r="E2137" s="19" t="str">
        <x:v>可比家族</x:v>
      </x:c>
      <x:c r="F2137" s="19" t="str">
        <x:v>8</x:v>
      </x:c>
      <x:c r="G2137" s="19" t="str">
        <x:v>其他/配置</x:v>
      </x:c>
      <x:c r="H2137" s="19" t="str">
        <x:v>D:/Codex/GRL研究/outputs/grid44/GRID44_report.md</x:v>
      </x:c>
    </x:row>
    <x:row r="2138" ht="36" customHeight="1">
      <x:c r="A2138" s="19" t="str">
        <x:v>GRID44</x:v>
      </x:c>
      <x:c r="B2138" s="19" t="str">
        <x:v>GRID44_report.md</x:v>
      </x:c>
      <x:c r="C2138" s="19" t="str">
        <x:v>2. GRID44 八个预留日期家族确认</x:v>
      </x:c>
      <x:c r="D2138" s="19" t="str">
        <x:v>方法=SOFTGNN1；对照=FULL</x:v>
      </x:c>
      <x:c r="E2138" s="19" t="str">
        <x:v>宏平均提速</x:v>
      </x:c>
      <x:c r="F2138" s="19" t="str">
        <x:v>12.014%</x:v>
      </x:c>
      <x:c r="G2138" s="19" t="str">
        <x:v>速度/计算</x:v>
      </x:c>
      <x:c r="H2138" s="19" t="str">
        <x:v>D:/Codex/GRL研究/outputs/grid44/GRID44_report.md</x:v>
      </x:c>
    </x:row>
    <x:row r="2139" ht="36" customHeight="1">
      <x:c r="A2139" s="19" t="str">
        <x:v>GRID44</x:v>
      </x:c>
      <x:c r="B2139" s="19" t="str">
        <x:v>GRID44_report.md</x:v>
      </x:c>
      <x:c r="C2139" s="19" t="str">
        <x:v>2. GRID44 八个预留日期家族确认</x:v>
      </x:c>
      <x:c r="D2139" s="19" t="str">
        <x:v>方法=SOFTGNN1；对照=FULL</x:v>
      </x:c>
      <x:c r="E2139" s="19" t="str">
        <x:v>家族bootstrap95%</x:v>
      </x:c>
      <x:c r="F2139" s="19" t="str">
        <x:v>[6.344%, 17.975%]</x:v>
      </x:c>
      <x:c r="G2139" s="19" t="str">
        <x:v>速度/计算</x:v>
      </x:c>
      <x:c r="H2139" s="19" t="str">
        <x:v>D:/Codex/GRL研究/outputs/grid44/GRID44_report.md</x:v>
      </x:c>
    </x:row>
    <x:row r="2140" ht="36" customHeight="1">
      <x:c r="A2140" s="19" t="str">
        <x:v>GRID44</x:v>
      </x:c>
      <x:c r="B2140" s="19" t="str">
        <x:v>GRID44_report.md</x:v>
      </x:c>
      <x:c r="C2140" s="19" t="str">
        <x:v>2. GRID44 八个预留日期家族确认</x:v>
      </x:c>
      <x:c r="D2140" s="19" t="str">
        <x:v>方法=SOFTGNN1；对照=FULL</x:v>
      </x:c>
      <x:c r="E2140" s="19" t="str">
        <x:v>时间正向家族</x:v>
      </x:c>
      <x:c r="F2140" s="19" t="str">
        <x:v>8</x:v>
      </x:c>
      <x:c r="G2140" s="19" t="str">
        <x:v>速度/计算</x:v>
      </x:c>
      <x:c r="H2140" s="19" t="str">
        <x:v>D:/Codex/GRL研究/outputs/grid44/GRID44_report.md</x:v>
      </x:c>
    </x:row>
    <x:row r="2141" ht="36" customHeight="1">
      <x:c r="A2141" s="19" t="str">
        <x:v>GRID44</x:v>
      </x:c>
      <x:c r="B2141" s="19" t="str">
        <x:v>GRID44_report.md</x:v>
      </x:c>
      <x:c r="C2141" s="19" t="str">
        <x:v>2. GRID44 八个预留日期家族确认</x:v>
      </x:c>
      <x:c r="D2141" s="19" t="str">
        <x:v>方法=LOCAL_PPO；对照=FULL</x:v>
      </x:c>
      <x:c r="E2141" s="19" t="str">
        <x:v>对照</x:v>
      </x:c>
      <x:c r="F2141" s="19" t="str">
        <x:v>FULL</x:v>
      </x:c>
      <x:c r="G2141" s="19" t="str">
        <x:v>其他/配置</x:v>
      </x:c>
      <x:c r="H2141" s="19" t="str">
        <x:v>D:/Codex/GRL研究/outputs/grid44/GRID44_report.md</x:v>
      </x:c>
    </x:row>
    <x:row r="2142" ht="36" customHeight="1">
      <x:c r="A2142" s="19" t="str">
        <x:v>GRID44</x:v>
      </x:c>
      <x:c r="B2142" s="19" t="str">
        <x:v>GRID44_report.md</x:v>
      </x:c>
      <x:c r="C2142" s="19" t="str">
        <x:v>2. GRID44 八个预留日期家族确认</x:v>
      </x:c>
      <x:c r="D2142" s="19" t="str">
        <x:v>方法=LOCAL_PPO；对照=FULL</x:v>
      </x:c>
      <x:c r="E2142" s="19" t="str">
        <x:v>可比家族</x:v>
      </x:c>
      <x:c r="F2142" s="19" t="str">
        <x:v>8</x:v>
      </x:c>
      <x:c r="G2142" s="19" t="str">
        <x:v>其他/配置</x:v>
      </x:c>
      <x:c r="H2142" s="19" t="str">
        <x:v>D:/Codex/GRL研究/outputs/grid44/GRID44_report.md</x:v>
      </x:c>
    </x:row>
    <x:row r="2143" ht="36" customHeight="1">
      <x:c r="A2143" s="19" t="str">
        <x:v>GRID44</x:v>
      </x:c>
      <x:c r="B2143" s="19" t="str">
        <x:v>GRID44_report.md</x:v>
      </x:c>
      <x:c r="C2143" s="19" t="str">
        <x:v>2. GRID44 八个预留日期家族确认</x:v>
      </x:c>
      <x:c r="D2143" s="19" t="str">
        <x:v>方法=LOCAL_PPO；对照=FULL</x:v>
      </x:c>
      <x:c r="E2143" s="19" t="str">
        <x:v>宏平均提速</x:v>
      </x:c>
      <x:c r="F2143" s="19" t="str">
        <x:v>11.911%</x:v>
      </x:c>
      <x:c r="G2143" s="19" t="str">
        <x:v>速度/计算</x:v>
      </x:c>
      <x:c r="H2143" s="19" t="str">
        <x:v>D:/Codex/GRL研究/outputs/grid44/GRID44_report.md</x:v>
      </x:c>
    </x:row>
    <x:row r="2144" ht="36" customHeight="1">
      <x:c r="A2144" s="19" t="str">
        <x:v>GRID44</x:v>
      </x:c>
      <x:c r="B2144" s="19" t="str">
        <x:v>GRID44_report.md</x:v>
      </x:c>
      <x:c r="C2144" s="19" t="str">
        <x:v>2. GRID44 八个预留日期家族确认</x:v>
      </x:c>
      <x:c r="D2144" s="19" t="str">
        <x:v>方法=LOCAL_PPO；对照=FULL</x:v>
      </x:c>
      <x:c r="E2144" s="19" t="str">
        <x:v>家族bootstrap95%</x:v>
      </x:c>
      <x:c r="F2144" s="19" t="str">
        <x:v>[8.331%, 15.668%]</x:v>
      </x:c>
      <x:c r="G2144" s="19" t="str">
        <x:v>速度/计算</x:v>
      </x:c>
      <x:c r="H2144" s="19" t="str">
        <x:v>D:/Codex/GRL研究/outputs/grid44/GRID44_report.md</x:v>
      </x:c>
    </x:row>
    <x:row r="2145" ht="36" customHeight="1">
      <x:c r="A2145" s="19" t="str">
        <x:v>GRID44</x:v>
      </x:c>
      <x:c r="B2145" s="19" t="str">
        <x:v>GRID44_report.md</x:v>
      </x:c>
      <x:c r="C2145" s="19" t="str">
        <x:v>2. GRID44 八个预留日期家族确认</x:v>
      </x:c>
      <x:c r="D2145" s="19" t="str">
        <x:v>方法=LOCAL_PPO；对照=FULL</x:v>
      </x:c>
      <x:c r="E2145" s="19" t="str">
        <x:v>时间正向家族</x:v>
      </x:c>
      <x:c r="F2145" s="19" t="str">
        <x:v>8</x:v>
      </x:c>
      <x:c r="G2145" s="19" t="str">
        <x:v>速度/计算</x:v>
      </x:c>
      <x:c r="H2145" s="19" t="str">
        <x:v>D:/Codex/GRL研究/outputs/grid44/GRID44_report.md</x:v>
      </x:c>
    </x:row>
    <x:row r="2146" ht="36" customHeight="1">
      <x:c r="A2146" s="19" t="str">
        <x:v>GRID44</x:v>
      </x:c>
      <x:c r="B2146" s="19" t="str">
        <x:v>GRID44_report.md</x:v>
      </x:c>
      <x:c r="C2146" s="19" t="str">
        <x:v>2. GRID44 八个预留日期家族确认</x:v>
      </x:c>
      <x:c r="D2146" s="19" t="str">
        <x:v>方法=LOCAL_GNN0；对照=LOCAL_PPO</x:v>
      </x:c>
      <x:c r="E2146" s="19" t="str">
        <x:v>对照</x:v>
      </x:c>
      <x:c r="F2146" s="19" t="str">
        <x:v>LOCAL_PPO</x:v>
      </x:c>
      <x:c r="G2146" s="19" t="str">
        <x:v>其他/配置</x:v>
      </x:c>
      <x:c r="H2146" s="19" t="str">
        <x:v>D:/Codex/GRL研究/outputs/grid44/GRID44_report.md</x:v>
      </x:c>
    </x:row>
    <x:row r="2147" ht="36" customHeight="1">
      <x:c r="A2147" s="19" t="str">
        <x:v>GRID44</x:v>
      </x:c>
      <x:c r="B2147" s="19" t="str">
        <x:v>GRID44_report.md</x:v>
      </x:c>
      <x:c r="C2147" s="19" t="str">
        <x:v>2. GRID44 八个预留日期家族确认</x:v>
      </x:c>
      <x:c r="D2147" s="19" t="str">
        <x:v>方法=LOCAL_GNN0；对照=LOCAL_PPO</x:v>
      </x:c>
      <x:c r="E2147" s="19" t="str">
        <x:v>可比家族</x:v>
      </x:c>
      <x:c r="F2147" s="19" t="str">
        <x:v>8</x:v>
      </x:c>
      <x:c r="G2147" s="19" t="str">
        <x:v>其他/配置</x:v>
      </x:c>
      <x:c r="H2147" s="19" t="str">
        <x:v>D:/Codex/GRL研究/outputs/grid44/GRID44_report.md</x:v>
      </x:c>
    </x:row>
    <x:row r="2148" ht="36" customHeight="1">
      <x:c r="A2148" s="19" t="str">
        <x:v>GRID44</x:v>
      </x:c>
      <x:c r="B2148" s="19" t="str">
        <x:v>GRID44_report.md</x:v>
      </x:c>
      <x:c r="C2148" s="19" t="str">
        <x:v>2. GRID44 八个预留日期家族确认</x:v>
      </x:c>
      <x:c r="D2148" s="19" t="str">
        <x:v>方法=LOCAL_GNN0；对照=LOCAL_PPO</x:v>
      </x:c>
      <x:c r="E2148" s="19" t="str">
        <x:v>宏平均提速</x:v>
      </x:c>
      <x:c r="F2148" s="19" t="str">
        <x:v>3.211%</x:v>
      </x:c>
      <x:c r="G2148" s="19" t="str">
        <x:v>速度/计算</x:v>
      </x:c>
      <x:c r="H2148" s="19" t="str">
        <x:v>D:/Codex/GRL研究/outputs/grid44/GRID44_report.md</x:v>
      </x:c>
    </x:row>
    <x:row r="2149" ht="36" customHeight="1">
      <x:c r="A2149" s="19" t="str">
        <x:v>GRID44</x:v>
      </x:c>
      <x:c r="B2149" s="19" t="str">
        <x:v>GRID44_report.md</x:v>
      </x:c>
      <x:c r="C2149" s="19" t="str">
        <x:v>2. GRID44 八个预留日期家族确认</x:v>
      </x:c>
      <x:c r="D2149" s="19" t="str">
        <x:v>方法=LOCAL_GNN0；对照=LOCAL_PPO</x:v>
      </x:c>
      <x:c r="E2149" s="19" t="str">
        <x:v>家族bootstrap95%</x:v>
      </x:c>
      <x:c r="F2149" s="19" t="str">
        <x:v>[0.954%, 6.076%]</x:v>
      </x:c>
      <x:c r="G2149" s="19" t="str">
        <x:v>速度/计算</x:v>
      </x:c>
      <x:c r="H2149" s="19" t="str">
        <x:v>D:/Codex/GRL研究/outputs/grid44/GRID44_report.md</x:v>
      </x:c>
    </x:row>
    <x:row r="2150" ht="36" customHeight="1">
      <x:c r="A2150" s="19" t="str">
        <x:v>GRID44</x:v>
      </x:c>
      <x:c r="B2150" s="19" t="str">
        <x:v>GRID44_report.md</x:v>
      </x:c>
      <x:c r="C2150" s="19" t="str">
        <x:v>2. GRID44 八个预留日期家族确认</x:v>
      </x:c>
      <x:c r="D2150" s="19" t="str">
        <x:v>方法=LOCAL_GNN0；对照=LOCAL_PPO</x:v>
      </x:c>
      <x:c r="E2150" s="19" t="str">
        <x:v>时间正向家族</x:v>
      </x:c>
      <x:c r="F2150" s="19" t="str">
        <x:v>7</x:v>
      </x:c>
      <x:c r="G2150" s="19" t="str">
        <x:v>速度/计算</x:v>
      </x:c>
      <x:c r="H2150" s="19" t="str">
        <x:v>D:/Codex/GRL研究/outputs/grid44/GRID44_report.md</x:v>
      </x:c>
    </x:row>
    <x:row r="2151" ht="36" customHeight="1">
      <x:c r="A2151" s="19" t="str">
        <x:v>GRID44</x:v>
      </x:c>
      <x:c r="B2151" s="19" t="str">
        <x:v>GRID44_report.md</x:v>
      </x:c>
      <x:c r="C2151" s="19" t="str">
        <x:v>2. GRID44 八个预留日期家族确认</x:v>
      </x:c>
      <x:c r="D2151" s="19" t="str">
        <x:v>方法=LOCAL_GNN0；对照=SOFTGNN0</x:v>
      </x:c>
      <x:c r="E2151" s="19" t="str">
        <x:v>对照</x:v>
      </x:c>
      <x:c r="F2151" s="19" t="str">
        <x:v>SOFTGNN0</x:v>
      </x:c>
      <x:c r="G2151" s="19" t="str">
        <x:v>其他/配置</x:v>
      </x:c>
      <x:c r="H2151" s="19" t="str">
        <x:v>D:/Codex/GRL研究/outputs/grid44/GRID44_report.md</x:v>
      </x:c>
    </x:row>
    <x:row r="2152" ht="36" customHeight="1">
      <x:c r="A2152" s="19" t="str">
        <x:v>GRID44</x:v>
      </x:c>
      <x:c r="B2152" s="19" t="str">
        <x:v>GRID44_report.md</x:v>
      </x:c>
      <x:c r="C2152" s="19" t="str">
        <x:v>2. GRID44 八个预留日期家族确认</x:v>
      </x:c>
      <x:c r="D2152" s="19" t="str">
        <x:v>方法=LOCAL_GNN0；对照=SOFTGNN0</x:v>
      </x:c>
      <x:c r="E2152" s="19" t="str">
        <x:v>可比家族</x:v>
      </x:c>
      <x:c r="F2152" s="19" t="str">
        <x:v>8</x:v>
      </x:c>
      <x:c r="G2152" s="19" t="str">
        <x:v>其他/配置</x:v>
      </x:c>
      <x:c r="H2152" s="19" t="str">
        <x:v>D:/Codex/GRL研究/outputs/grid44/GRID44_report.md</x:v>
      </x:c>
    </x:row>
    <x:row r="2153" ht="36" customHeight="1">
      <x:c r="A2153" s="19" t="str">
        <x:v>GRID44</x:v>
      </x:c>
      <x:c r="B2153" s="19" t="str">
        <x:v>GRID44_report.md</x:v>
      </x:c>
      <x:c r="C2153" s="19" t="str">
        <x:v>2. GRID44 八个预留日期家族确认</x:v>
      </x:c>
      <x:c r="D2153" s="19" t="str">
        <x:v>方法=LOCAL_GNN0；对照=SOFTGNN0</x:v>
      </x:c>
      <x:c r="E2153" s="19" t="str">
        <x:v>宏平均提速</x:v>
      </x:c>
      <x:c r="F2153" s="19" t="str">
        <x:v>-1.424%</x:v>
      </x:c>
      <x:c r="G2153" s="19" t="str">
        <x:v>速度/计算</x:v>
      </x:c>
      <x:c r="H2153" s="19" t="str">
        <x:v>D:/Codex/GRL研究/outputs/grid44/GRID44_report.md</x:v>
      </x:c>
    </x:row>
    <x:row r="2154" ht="36" customHeight="1">
      <x:c r="A2154" s="19" t="str">
        <x:v>GRID44</x:v>
      </x:c>
      <x:c r="B2154" s="19" t="str">
        <x:v>GRID44_report.md</x:v>
      </x:c>
      <x:c r="C2154" s="19" t="str">
        <x:v>2. GRID44 八个预留日期家族确认</x:v>
      </x:c>
      <x:c r="D2154" s="19" t="str">
        <x:v>方法=LOCAL_GNN0；对照=SOFTGNN0</x:v>
      </x:c>
      <x:c r="E2154" s="19" t="str">
        <x:v>家族bootstrap95%</x:v>
      </x:c>
      <x:c r="F2154" s="19" t="str">
        <x:v>[-7.497%, 3.298%]</x:v>
      </x:c>
      <x:c r="G2154" s="19" t="str">
        <x:v>速度/计算</x:v>
      </x:c>
      <x:c r="H2154" s="19" t="str">
        <x:v>D:/Codex/GRL研究/outputs/grid44/GRID44_report.md</x:v>
      </x:c>
    </x:row>
    <x:row r="2155" ht="36" customHeight="1">
      <x:c r="A2155" s="19" t="str">
        <x:v>GRID44</x:v>
      </x:c>
      <x:c r="B2155" s="19" t="str">
        <x:v>GRID44_report.md</x:v>
      </x:c>
      <x:c r="C2155" s="19" t="str">
        <x:v>2. GRID44 八个预留日期家族确认</x:v>
      </x:c>
      <x:c r="D2155" s="19" t="str">
        <x:v>方法=LOCAL_GNN0；对照=SOFTGNN0</x:v>
      </x:c>
      <x:c r="E2155" s="19" t="str">
        <x:v>时间正向家族</x:v>
      </x:c>
      <x:c r="F2155" s="19" t="str">
        <x:v>4</x:v>
      </x:c>
      <x:c r="G2155" s="19" t="str">
        <x:v>速度/计算</x:v>
      </x:c>
      <x:c r="H2155" s="19" t="str">
        <x:v>D:/Codex/GRL研究/outputs/grid44/GRID44_report.md</x:v>
      </x:c>
    </x:row>
    <x:row r="2156" ht="36" customHeight="1">
      <x:c r="A2156" s="19" t="str">
        <x:v>GRID44</x:v>
      </x:c>
      <x:c r="B2156" s="19" t="str">
        <x:v>GRID44_report.md</x:v>
      </x:c>
      <x:c r="C2156" s="19" t="str">
        <x:v>2. GRID44 八个预留日期家族确认</x:v>
      </x:c>
      <x:c r="D2156" s="19" t="str">
        <x:v>方法=LOCAL_GNN0；对照=SOFTGNN1</x:v>
      </x:c>
      <x:c r="E2156" s="19" t="str">
        <x:v>对照</x:v>
      </x:c>
      <x:c r="F2156" s="19" t="str">
        <x:v>SOFTGNN1</x:v>
      </x:c>
      <x:c r="G2156" s="19" t="str">
        <x:v>其他/配置</x:v>
      </x:c>
      <x:c r="H2156" s="19" t="str">
        <x:v>D:/Codex/GRL研究/outputs/grid44/GRID44_report.md</x:v>
      </x:c>
    </x:row>
    <x:row r="2157" ht="36" customHeight="1">
      <x:c r="A2157" s="19" t="str">
        <x:v>GRID44</x:v>
      </x:c>
      <x:c r="B2157" s="19" t="str">
        <x:v>GRID44_report.md</x:v>
      </x:c>
      <x:c r="C2157" s="19" t="str">
        <x:v>2. GRID44 八个预留日期家族确认</x:v>
      </x:c>
      <x:c r="D2157" s="19" t="str">
        <x:v>方法=LOCAL_GNN0；对照=SOFTGNN1</x:v>
      </x:c>
      <x:c r="E2157" s="19" t="str">
        <x:v>可比家族</x:v>
      </x:c>
      <x:c r="F2157" s="19" t="str">
        <x:v>8</x:v>
      </x:c>
      <x:c r="G2157" s="19" t="str">
        <x:v>其他/配置</x:v>
      </x:c>
      <x:c r="H2157" s="19" t="str">
        <x:v>D:/Codex/GRL研究/outputs/grid44/GRID44_report.md</x:v>
      </x:c>
    </x:row>
    <x:row r="2158" ht="36" customHeight="1">
      <x:c r="A2158" s="19" t="str">
        <x:v>GRID44</x:v>
      </x:c>
      <x:c r="B2158" s="19" t="str">
        <x:v>GRID44_report.md</x:v>
      </x:c>
      <x:c r="C2158" s="19" t="str">
        <x:v>2. GRID44 八个预留日期家族确认</x:v>
      </x:c>
      <x:c r="D2158" s="19" t="str">
        <x:v>方法=LOCAL_GNN0；对照=SOFTGNN1</x:v>
      </x:c>
      <x:c r="E2158" s="19" t="str">
        <x:v>宏平均提速</x:v>
      </x:c>
      <x:c r="F2158" s="19" t="str">
        <x:v>2.930%</x:v>
      </x:c>
      <x:c r="G2158" s="19" t="str">
        <x:v>速度/计算</x:v>
      </x:c>
      <x:c r="H2158" s="19" t="str">
        <x:v>D:/Codex/GRL研究/outputs/grid44/GRID44_report.md</x:v>
      </x:c>
    </x:row>
    <x:row r="2159" ht="36" customHeight="1">
      <x:c r="A2159" s="19" t="str">
        <x:v>GRID44</x:v>
      </x:c>
      <x:c r="B2159" s="19" t="str">
        <x:v>GRID44_report.md</x:v>
      </x:c>
      <x:c r="C2159" s="19" t="str">
        <x:v>2. GRID44 八个预留日期家族确认</x:v>
      </x:c>
      <x:c r="D2159" s="19" t="str">
        <x:v>方法=LOCAL_GNN0；对照=SOFTGNN1</x:v>
      </x:c>
      <x:c r="E2159" s="19" t="str">
        <x:v>家族bootstrap95%</x:v>
      </x:c>
      <x:c r="F2159" s="19" t="str">
        <x:v>[-0.130%, 6.035%]</x:v>
      </x:c>
      <x:c r="G2159" s="19" t="str">
        <x:v>速度/计算</x:v>
      </x:c>
      <x:c r="H2159" s="19" t="str">
        <x:v>D:/Codex/GRL研究/outputs/grid44/GRID44_report.md</x:v>
      </x:c>
    </x:row>
    <x:row r="2160" ht="36" customHeight="1">
      <x:c r="A2160" s="19" t="str">
        <x:v>GRID44</x:v>
      </x:c>
      <x:c r="B2160" s="19" t="str">
        <x:v>GRID44_report.md</x:v>
      </x:c>
      <x:c r="C2160" s="19" t="str">
        <x:v>2. GRID44 八个预留日期家族确认</x:v>
      </x:c>
      <x:c r="D2160" s="19" t="str">
        <x:v>方法=LOCAL_GNN0；对照=SOFTGNN1</x:v>
      </x:c>
      <x:c r="E2160" s="19" t="str">
        <x:v>时间正向家族</x:v>
      </x:c>
      <x:c r="F2160" s="19" t="str">
        <x:v>6</x:v>
      </x:c>
      <x:c r="G2160" s="19" t="str">
        <x:v>速度/计算</x:v>
      </x:c>
      <x:c r="H2160" s="19" t="str">
        <x:v>D:/Codex/GRL研究/outputs/grid44/GRID44_report.md</x:v>
      </x:c>
    </x:row>
    <x:row r="2161" ht="36" customHeight="1">
      <x:c r="A2161" s="19" t="str">
        <x:v>GRID44</x:v>
      </x:c>
      <x:c r="B2161" s="19" t="str">
        <x:v>GRID44_report.md</x:v>
      </x:c>
      <x:c r="C2161" s="19" t="str">
        <x:v>2. GRID44 八个预留日期家族确认</x:v>
      </x:c>
      <x:c r="D2161" s="19" t="str">
        <x:v>方法=LOCAL_GNN1；对照=LOCAL_PPO</x:v>
      </x:c>
      <x:c r="E2161" s="19" t="str">
        <x:v>对照</x:v>
      </x:c>
      <x:c r="F2161" s="19" t="str">
        <x:v>LOCAL_PPO</x:v>
      </x:c>
      <x:c r="G2161" s="19" t="str">
        <x:v>其他/配置</x:v>
      </x:c>
      <x:c r="H2161" s="19" t="str">
        <x:v>D:/Codex/GRL研究/outputs/grid44/GRID44_report.md</x:v>
      </x:c>
    </x:row>
    <x:row r="2162" ht="36" customHeight="1">
      <x:c r="A2162" s="19" t="str">
        <x:v>GRID44</x:v>
      </x:c>
      <x:c r="B2162" s="19" t="str">
        <x:v>GRID44_report.md</x:v>
      </x:c>
      <x:c r="C2162" s="19" t="str">
        <x:v>2. GRID44 八个预留日期家族确认</x:v>
      </x:c>
      <x:c r="D2162" s="19" t="str">
        <x:v>方法=LOCAL_GNN1；对照=LOCAL_PPO</x:v>
      </x:c>
      <x:c r="E2162" s="19" t="str">
        <x:v>可比家族</x:v>
      </x:c>
      <x:c r="F2162" s="19" t="str">
        <x:v>8</x:v>
      </x:c>
      <x:c r="G2162" s="19" t="str">
        <x:v>其他/配置</x:v>
      </x:c>
      <x:c r="H2162" s="19" t="str">
        <x:v>D:/Codex/GRL研究/outputs/grid44/GRID44_report.md</x:v>
      </x:c>
    </x:row>
    <x:row r="2163" ht="36" customHeight="1">
      <x:c r="A2163" s="19" t="str">
        <x:v>GRID44</x:v>
      </x:c>
      <x:c r="B2163" s="19" t="str">
        <x:v>GRID44_report.md</x:v>
      </x:c>
      <x:c r="C2163" s="19" t="str">
        <x:v>2. GRID44 八个预留日期家族确认</x:v>
      </x:c>
      <x:c r="D2163" s="19" t="str">
        <x:v>方法=LOCAL_GNN1；对照=LOCAL_PPO</x:v>
      </x:c>
      <x:c r="E2163" s="19" t="str">
        <x:v>宏平均提速</x:v>
      </x:c>
      <x:c r="F2163" s="19" t="str">
        <x:v>2.481%</x:v>
      </x:c>
      <x:c r="G2163" s="19" t="str">
        <x:v>速度/计算</x:v>
      </x:c>
      <x:c r="H2163" s="19" t="str">
        <x:v>D:/Codex/GRL研究/outputs/grid44/GRID44_report.md</x:v>
      </x:c>
    </x:row>
    <x:row r="2164" ht="36" customHeight="1">
      <x:c r="A2164" s="19" t="str">
        <x:v>GRID44</x:v>
      </x:c>
      <x:c r="B2164" s="19" t="str">
        <x:v>GRID44_report.md</x:v>
      </x:c>
      <x:c r="C2164" s="19" t="str">
        <x:v>2. GRID44 八个预留日期家族确认</x:v>
      </x:c>
      <x:c r="D2164" s="19" t="str">
        <x:v>方法=LOCAL_GNN1；对照=LOCAL_PPO</x:v>
      </x:c>
      <x:c r="E2164" s="19" t="str">
        <x:v>家族bootstrap95%</x:v>
      </x:c>
      <x:c r="F2164" s="19" t="str">
        <x:v>[-0.546%, 5.722%]</x:v>
      </x:c>
      <x:c r="G2164" s="19" t="str">
        <x:v>速度/计算</x:v>
      </x:c>
      <x:c r="H2164" s="19" t="str">
        <x:v>D:/Codex/GRL研究/outputs/grid44/GRID44_report.md</x:v>
      </x:c>
    </x:row>
    <x:row r="2165" ht="36" customHeight="1">
      <x:c r="A2165" s="19" t="str">
        <x:v>GRID44</x:v>
      </x:c>
      <x:c r="B2165" s="19" t="str">
        <x:v>GRID44_report.md</x:v>
      </x:c>
      <x:c r="C2165" s="19" t="str">
        <x:v>2. GRID44 八个预留日期家族确认</x:v>
      </x:c>
      <x:c r="D2165" s="19" t="str">
        <x:v>方法=LOCAL_GNN1；对照=LOCAL_PPO</x:v>
      </x:c>
      <x:c r="E2165" s="19" t="str">
        <x:v>时间正向家族</x:v>
      </x:c>
      <x:c r="F2165" s="19" t="str">
        <x:v>6</x:v>
      </x:c>
      <x:c r="G2165" s="19" t="str">
        <x:v>速度/计算</x:v>
      </x:c>
      <x:c r="H2165" s="19" t="str">
        <x:v>D:/Codex/GRL研究/outputs/grid44/GRID44_report.md</x:v>
      </x:c>
    </x:row>
    <x:row r="2166" ht="36" customHeight="1">
      <x:c r="A2166" s="19" t="str">
        <x:v>GRID44</x:v>
      </x:c>
      <x:c r="B2166" s="19" t="str">
        <x:v>GRID44_report.md</x:v>
      </x:c>
      <x:c r="C2166" s="19" t="str">
        <x:v>2. GRID44 八个预留日期家族确认</x:v>
      </x:c>
      <x:c r="D2166" s="19" t="str">
        <x:v>方法=LOCAL_GNN1；对照=SOFTGNN0</x:v>
      </x:c>
      <x:c r="E2166" s="19" t="str">
        <x:v>对照</x:v>
      </x:c>
      <x:c r="F2166" s="19" t="str">
        <x:v>SOFTGNN0</x:v>
      </x:c>
      <x:c r="G2166" s="19" t="str">
        <x:v>其他/配置</x:v>
      </x:c>
      <x:c r="H2166" s="19" t="str">
        <x:v>D:/Codex/GRL研究/outputs/grid44/GRID44_report.md</x:v>
      </x:c>
    </x:row>
    <x:row r="2167" ht="36" customHeight="1">
      <x:c r="A2167" s="19" t="str">
        <x:v>GRID44</x:v>
      </x:c>
      <x:c r="B2167" s="19" t="str">
        <x:v>GRID44_report.md</x:v>
      </x:c>
      <x:c r="C2167" s="19" t="str">
        <x:v>2. GRID44 八个预留日期家族确认</x:v>
      </x:c>
      <x:c r="D2167" s="19" t="str">
        <x:v>方法=LOCAL_GNN1；对照=SOFTGNN0</x:v>
      </x:c>
      <x:c r="E2167" s="19" t="str">
        <x:v>可比家族</x:v>
      </x:c>
      <x:c r="F2167" s="19" t="str">
        <x:v>8</x:v>
      </x:c>
      <x:c r="G2167" s="19" t="str">
        <x:v>其他/配置</x:v>
      </x:c>
      <x:c r="H2167" s="19" t="str">
        <x:v>D:/Codex/GRL研究/outputs/grid44/GRID44_report.md</x:v>
      </x:c>
    </x:row>
    <x:row r="2168" ht="36" customHeight="1">
      <x:c r="A2168" s="19" t="str">
        <x:v>GRID44</x:v>
      </x:c>
      <x:c r="B2168" s="19" t="str">
        <x:v>GRID44_report.md</x:v>
      </x:c>
      <x:c r="C2168" s="19" t="str">
        <x:v>2. GRID44 八个预留日期家族确认</x:v>
      </x:c>
      <x:c r="D2168" s="19" t="str">
        <x:v>方法=LOCAL_GNN1；对照=SOFTGNN0</x:v>
      </x:c>
      <x:c r="E2168" s="19" t="str">
        <x:v>宏平均提速</x:v>
      </x:c>
      <x:c r="F2168" s="19" t="str">
        <x:v>-2.102%</x:v>
      </x:c>
      <x:c r="G2168" s="19" t="str">
        <x:v>速度/计算</x:v>
      </x:c>
      <x:c r="H2168" s="19" t="str">
        <x:v>D:/Codex/GRL研究/outputs/grid44/GRID44_report.md</x:v>
      </x:c>
    </x:row>
    <x:row r="2169" ht="36" customHeight="1">
      <x:c r="A2169" s="19" t="str">
        <x:v>GRID44</x:v>
      </x:c>
      <x:c r="B2169" s="19" t="str">
        <x:v>GRID44_report.md</x:v>
      </x:c>
      <x:c r="C2169" s="19" t="str">
        <x:v>2. GRID44 八个预留日期家族确认</x:v>
      </x:c>
      <x:c r="D2169" s="19" t="str">
        <x:v>方法=LOCAL_GNN1；对照=SOFTGNN0</x:v>
      </x:c>
      <x:c r="E2169" s="19" t="str">
        <x:v>家族bootstrap95%</x:v>
      </x:c>
      <x:c r="F2169" s="19" t="str">
        <x:v>[-7.769%, 2.549%]</x:v>
      </x:c>
      <x:c r="G2169" s="19" t="str">
        <x:v>速度/计算</x:v>
      </x:c>
      <x:c r="H2169" s="19" t="str">
        <x:v>D:/Codex/GRL研究/outputs/grid44/GRID44_report.md</x:v>
      </x:c>
    </x:row>
    <x:row r="2170" ht="36" customHeight="1">
      <x:c r="A2170" s="19" t="str">
        <x:v>GRID44</x:v>
      </x:c>
      <x:c r="B2170" s="19" t="str">
        <x:v>GRID44_report.md</x:v>
      </x:c>
      <x:c r="C2170" s="19" t="str">
        <x:v>2. GRID44 八个预留日期家族确认</x:v>
      </x:c>
      <x:c r="D2170" s="19" t="str">
        <x:v>方法=LOCAL_GNN1；对照=SOFTGNN0</x:v>
      </x:c>
      <x:c r="E2170" s="19" t="str">
        <x:v>时间正向家族</x:v>
      </x:c>
      <x:c r="F2170" s="19" t="str">
        <x:v>3</x:v>
      </x:c>
      <x:c r="G2170" s="19" t="str">
        <x:v>速度/计算</x:v>
      </x:c>
      <x:c r="H2170" s="19" t="str">
        <x:v>D:/Codex/GRL研究/outputs/grid44/GRID44_report.md</x:v>
      </x:c>
    </x:row>
    <x:row r="2171" ht="36" customHeight="1">
      <x:c r="A2171" s="19" t="str">
        <x:v>GRID44</x:v>
      </x:c>
      <x:c r="B2171" s="19" t="str">
        <x:v>GRID44_report.md</x:v>
      </x:c>
      <x:c r="C2171" s="19" t="str">
        <x:v>2. GRID44 八个预留日期家族确认</x:v>
      </x:c>
      <x:c r="D2171" s="19" t="str">
        <x:v>方法=LOCAL_GNN1；对照=SOFTGNN1</x:v>
      </x:c>
      <x:c r="E2171" s="19" t="str">
        <x:v>对照</x:v>
      </x:c>
      <x:c r="F2171" s="19" t="str">
        <x:v>SOFTGNN1</x:v>
      </x:c>
      <x:c r="G2171" s="19" t="str">
        <x:v>其他/配置</x:v>
      </x:c>
      <x:c r="H2171" s="19" t="str">
        <x:v>D:/Codex/GRL研究/outputs/grid44/GRID44_report.md</x:v>
      </x:c>
    </x:row>
    <x:row r="2172" ht="36" customHeight="1">
      <x:c r="A2172" s="19" t="str">
        <x:v>GRID44</x:v>
      </x:c>
      <x:c r="B2172" s="19" t="str">
        <x:v>GRID44_report.md</x:v>
      </x:c>
      <x:c r="C2172" s="19" t="str">
        <x:v>2. GRID44 八个预留日期家族确认</x:v>
      </x:c>
      <x:c r="D2172" s="19" t="str">
        <x:v>方法=LOCAL_GNN1；对照=SOFTGNN1</x:v>
      </x:c>
      <x:c r="E2172" s="19" t="str">
        <x:v>可比家族</x:v>
      </x:c>
      <x:c r="F2172" s="19" t="str">
        <x:v>8</x:v>
      </x:c>
      <x:c r="G2172" s="19" t="str">
        <x:v>其他/配置</x:v>
      </x:c>
      <x:c r="H2172" s="19" t="str">
        <x:v>D:/Codex/GRL研究/outputs/grid44/GRID44_report.md</x:v>
      </x:c>
    </x:row>
    <x:row r="2173" ht="36" customHeight="1">
      <x:c r="A2173" s="19" t="str">
        <x:v>GRID44</x:v>
      </x:c>
      <x:c r="B2173" s="19" t="str">
        <x:v>GRID44_report.md</x:v>
      </x:c>
      <x:c r="C2173" s="19" t="str">
        <x:v>2. GRID44 八个预留日期家族确认</x:v>
      </x:c>
      <x:c r="D2173" s="19" t="str">
        <x:v>方法=LOCAL_GNN1；对照=SOFTGNN1</x:v>
      </x:c>
      <x:c r="E2173" s="19" t="str">
        <x:v>宏平均提速</x:v>
      </x:c>
      <x:c r="F2173" s="19" t="str">
        <x:v>2.248%</x:v>
      </x:c>
      <x:c r="G2173" s="19" t="str">
        <x:v>速度/计算</x:v>
      </x:c>
      <x:c r="H2173" s="19" t="str">
        <x:v>D:/Codex/GRL研究/outputs/grid44/GRID44_report.md</x:v>
      </x:c>
    </x:row>
    <x:row r="2174" ht="36" customHeight="1">
      <x:c r="A2174" s="19" t="str">
        <x:v>GRID44</x:v>
      </x:c>
      <x:c r="B2174" s="19" t="str">
        <x:v>GRID44_report.md</x:v>
      </x:c>
      <x:c r="C2174" s="19" t="str">
        <x:v>2. GRID44 八个预留日期家族确认</x:v>
      </x:c>
      <x:c r="D2174" s="19" t="str">
        <x:v>方法=LOCAL_GNN1；对照=SOFTGNN1</x:v>
      </x:c>
      <x:c r="E2174" s="19" t="str">
        <x:v>家族bootstrap95%</x:v>
      </x:c>
      <x:c r="F2174" s="19" t="str">
        <x:v>[-0.443%, 5.473%]</x:v>
      </x:c>
      <x:c r="G2174" s="19" t="str">
        <x:v>速度/计算</x:v>
      </x:c>
      <x:c r="H2174" s="19" t="str">
        <x:v>D:/Codex/GRL研究/outputs/grid44/GRID44_report.md</x:v>
      </x:c>
    </x:row>
    <x:row r="2175" ht="36" customHeight="1">
      <x:c r="A2175" s="19" t="str">
        <x:v>GRID44</x:v>
      </x:c>
      <x:c r="B2175" s="19" t="str">
        <x:v>GRID44_report.md</x:v>
      </x:c>
      <x:c r="C2175" s="19" t="str">
        <x:v>2. GRID44 八个预留日期家族确认</x:v>
      </x:c>
      <x:c r="D2175" s="19" t="str">
        <x:v>方法=LOCAL_GNN1；对照=SOFTGNN1</x:v>
      </x:c>
      <x:c r="E2175" s="19" t="str">
        <x:v>时间正向家族</x:v>
      </x:c>
      <x:c r="F2175" s="19" t="str">
        <x:v>5</x:v>
      </x:c>
      <x:c r="G2175" s="19" t="str">
        <x:v>速度/计算</x:v>
      </x:c>
      <x:c r="H2175" s="19" t="str">
        <x:v>D:/Codex/GRL研究/outputs/grid44/GRID44_report.md</x:v>
      </x:c>
    </x:row>
    <x:row r="2176" ht="36" customHeight="1">
      <x:c r="A2176" s="19" t="str">
        <x:v>GRID45</x:v>
      </x:c>
      <x:c r="B2176" s="19" t="str">
        <x:v>GRID45_report.md</x:v>
      </x:c>
      <x:c r="C2176" s="19" t="str">
        <x:v>1. GRID45 确认结果的独立复算与缺口定位</x:v>
      </x:c>
      <x:c r="D2176" s="19" t="str">
        <x:v>方法=FULL；平均控制提速=0.000%</x:v>
      </x:c>
      <x:c r="E2176" s="19" t="str">
        <x:v>平均控制提速</x:v>
      </x:c>
      <x:c r="F2176" s="19" t="str">
        <x:v>0.000%</x:v>
      </x:c>
      <x:c r="G2176" s="19" t="str">
        <x:v>速度/计算</x:v>
      </x:c>
      <x:c r="H2176" s="19" t="str">
        <x:v>D:/Codex/GRL研究/outputs/grid45/GRID45_report.md</x:v>
      </x:c>
    </x:row>
    <x:row r="2177" ht="36" customHeight="1">
      <x:c r="A2177" s="19" t="str">
        <x:v>GRID45</x:v>
      </x:c>
      <x:c r="B2177" s="19" t="str">
        <x:v>GRID45_report.md</x:v>
      </x:c>
      <x:c r="C2177" s="19" t="str">
        <x:v>1. GRID45 确认结果的独立复算与缺口定位</x:v>
      </x:c>
      <x:c r="D2177" s="19" t="str">
        <x:v>方法=FULL；平均控制提速=0.000%</x:v>
      </x:c>
      <x:c r="E2177" s="19" t="str">
        <x:v>平均完成周成本差</x:v>
      </x:c>
      <x:c r="F2177" s="19" t="str">
        <x:v>0.00000%</x:v>
      </x:c>
      <x:c r="G2177" s="19" t="str">
        <x:v>质量/成本</x:v>
      </x:c>
      <x:c r="H2177" s="19" t="str">
        <x:v>D:/Codex/GRL研究/outputs/grid45/GRID45_report.md</x:v>
      </x:c>
    </x:row>
    <x:row r="2178" ht="36" customHeight="1">
      <x:c r="A2178" s="19" t="str">
        <x:v>GRID45</x:v>
      </x:c>
      <x:c r="B2178" s="19" t="str">
        <x:v>GRID45_report.md</x:v>
      </x:c>
      <x:c r="C2178" s="19" t="str">
        <x:v>1. GRID45 确认结果的独立复算与缺口定位</x:v>
      </x:c>
      <x:c r="D2178" s="19" t="str">
        <x:v>方法=FULL；平均控制提速=0.000%</x:v>
      </x:c>
      <x:c r="E2178" s="19" t="str">
        <x:v>最坏成本差</x:v>
      </x:c>
      <x:c r="F2178" s="19" t="str">
        <x:v>0.00000%</x:v>
      </x:c>
      <x:c r="G2178" s="19" t="str">
        <x:v>质量/成本</x:v>
      </x:c>
      <x:c r="H2178" s="19" t="str">
        <x:v>D:/Codex/GRL研究/outputs/grid45/GRID45_report.md</x:v>
      </x:c>
    </x:row>
    <x:row r="2179" ht="36" customHeight="1">
      <x:c r="A2179" s="19" t="str">
        <x:v>GRID45</x:v>
      </x:c>
      <x:c r="B2179" s="19" t="str">
        <x:v>GRID45_report.md</x:v>
      </x:c>
      <x:c r="C2179" s="19" t="str">
        <x:v>1. GRID45 确认结果的独立复算与缺口定位</x:v>
      </x:c>
      <x:c r="D2179" s="19" t="str">
        <x:v>方法=FULL；平均控制提速=0.000%</x:v>
      </x:c>
      <x:c r="E2179" s="19" t="str">
        <x:v>质量筛查日期</x:v>
      </x:c>
      <x:c r="F2179" s="19" t="str">
        <x:v>8/8</x:v>
      </x:c>
      <x:c r="G2179" s="19" t="str">
        <x:v>质量/成本</x:v>
      </x:c>
      <x:c r="H2179" s="19" t="str">
        <x:v>D:/Codex/GRL研究/outputs/grid45/GRID45_report.md</x:v>
      </x:c>
    </x:row>
    <x:row r="2180" ht="36" customHeight="1">
      <x:c r="A2180" s="19" t="str">
        <x:v>GRID45</x:v>
      </x:c>
      <x:c r="B2180" s="19" t="str">
        <x:v>GRID45_report.md</x:v>
      </x:c>
      <x:c r="C2180" s="19" t="str">
        <x:v>1. GRID45 确认结果的独立复算与缺口定位</x:v>
      </x:c>
      <x:c r="D2180" s="19" t="str">
        <x:v>方法=LOCAL_GNN0；平均控制提速=14.982%</x:v>
      </x:c>
      <x:c r="E2180" s="19" t="str">
        <x:v>平均控制提速</x:v>
      </x:c>
      <x:c r="F2180" s="19" t="str">
        <x:v>14.982%</x:v>
      </x:c>
      <x:c r="G2180" s="19" t="str">
        <x:v>速度/计算</x:v>
      </x:c>
      <x:c r="H2180" s="19" t="str">
        <x:v>D:/Codex/GRL研究/outputs/grid45/GRID45_report.md</x:v>
      </x:c>
    </x:row>
    <x:row r="2181" ht="36" customHeight="1">
      <x:c r="A2181" s="19" t="str">
        <x:v>GRID45</x:v>
      </x:c>
      <x:c r="B2181" s="19" t="str">
        <x:v>GRID45_report.md</x:v>
      </x:c>
      <x:c r="C2181" s="19" t="str">
        <x:v>1. GRID45 确认结果的独立复算与缺口定位</x:v>
      </x:c>
      <x:c r="D2181" s="19" t="str">
        <x:v>方法=LOCAL_GNN0；平均控制提速=14.982%</x:v>
      </x:c>
      <x:c r="E2181" s="19" t="str">
        <x:v>平均完成周成本差</x:v>
      </x:c>
      <x:c r="F2181" s="19" t="str">
        <x:v>0.07917%</x:v>
      </x:c>
      <x:c r="G2181" s="19" t="str">
        <x:v>质量/成本</x:v>
      </x:c>
      <x:c r="H2181" s="19" t="str">
        <x:v>D:/Codex/GRL研究/outputs/grid45/GRID45_report.md</x:v>
      </x:c>
    </x:row>
    <x:row r="2182" ht="36" customHeight="1">
      <x:c r="A2182" s="19" t="str">
        <x:v>GRID45</x:v>
      </x:c>
      <x:c r="B2182" s="19" t="str">
        <x:v>GRID45_report.md</x:v>
      </x:c>
      <x:c r="C2182" s="19" t="str">
        <x:v>1. GRID45 确认结果的独立复算与缺口定位</x:v>
      </x:c>
      <x:c r="D2182" s="19" t="str">
        <x:v>方法=LOCAL_GNN0；平均控制提速=14.982%</x:v>
      </x:c>
      <x:c r="E2182" s="19" t="str">
        <x:v>最坏成本差</x:v>
      </x:c>
      <x:c r="F2182" s="19" t="str">
        <x:v>0.88509%</x:v>
      </x:c>
      <x:c r="G2182" s="19" t="str">
        <x:v>质量/成本</x:v>
      </x:c>
      <x:c r="H2182" s="19" t="str">
        <x:v>D:/Codex/GRL研究/outputs/grid45/GRID45_report.md</x:v>
      </x:c>
    </x:row>
    <x:row r="2183" ht="36" customHeight="1">
      <x:c r="A2183" s="19" t="str">
        <x:v>GRID45</x:v>
      </x:c>
      <x:c r="B2183" s="19" t="str">
        <x:v>GRID45_report.md</x:v>
      </x:c>
      <x:c r="C2183" s="19" t="str">
        <x:v>1. GRID45 确认结果的独立复算与缺口定位</x:v>
      </x:c>
      <x:c r="D2183" s="19" t="str">
        <x:v>方法=LOCAL_GNN0；平均控制提速=14.982%</x:v>
      </x:c>
      <x:c r="E2183" s="19" t="str">
        <x:v>质量筛查日期</x:v>
      </x:c>
      <x:c r="F2183" s="19" t="str">
        <x:v>7/8</x:v>
      </x:c>
      <x:c r="G2183" s="19" t="str">
        <x:v>质量/成本</x:v>
      </x:c>
      <x:c r="H2183" s="19" t="str">
        <x:v>D:/Codex/GRL研究/outputs/grid45/GRID45_report.md</x:v>
      </x:c>
    </x:row>
    <x:row r="2184" ht="36" customHeight="1">
      <x:c r="A2184" s="19" t="str">
        <x:v>GRID45</x:v>
      </x:c>
      <x:c r="B2184" s="19" t="str">
        <x:v>GRID45_report.md</x:v>
      </x:c>
      <x:c r="C2184" s="19" t="str">
        <x:v>1. GRID45 确认结果的独立复算与缺口定位</x:v>
      </x:c>
      <x:c r="D2184" s="19" t="str">
        <x:v>方法=LOCAL_GNN1；平均控制提速=14.265%</x:v>
      </x:c>
      <x:c r="E2184" s="19" t="str">
        <x:v>平均控制提速</x:v>
      </x:c>
      <x:c r="F2184" s="19" t="str">
        <x:v>14.265%</x:v>
      </x:c>
      <x:c r="G2184" s="19" t="str">
        <x:v>速度/计算</x:v>
      </x:c>
      <x:c r="H2184" s="19" t="str">
        <x:v>D:/Codex/GRL研究/outputs/grid45/GRID45_report.md</x:v>
      </x:c>
    </x:row>
    <x:row r="2185" ht="36" customHeight="1">
      <x:c r="A2185" s="19" t="str">
        <x:v>GRID45</x:v>
      </x:c>
      <x:c r="B2185" s="19" t="str">
        <x:v>GRID45_report.md</x:v>
      </x:c>
      <x:c r="C2185" s="19" t="str">
        <x:v>1. GRID45 确认结果的独立复算与缺口定位</x:v>
      </x:c>
      <x:c r="D2185" s="19" t="str">
        <x:v>方法=LOCAL_GNN1；平均控制提速=14.265%</x:v>
      </x:c>
      <x:c r="E2185" s="19" t="str">
        <x:v>平均完成周成本差</x:v>
      </x:c>
      <x:c r="F2185" s="19" t="str">
        <x:v>0.07825%</x:v>
      </x:c>
      <x:c r="G2185" s="19" t="str">
        <x:v>质量/成本</x:v>
      </x:c>
      <x:c r="H2185" s="19" t="str">
        <x:v>D:/Codex/GRL研究/outputs/grid45/GRID45_report.md</x:v>
      </x:c>
    </x:row>
    <x:row r="2186" ht="36" customHeight="1">
      <x:c r="A2186" s="19" t="str">
        <x:v>GRID45</x:v>
      </x:c>
      <x:c r="B2186" s="19" t="str">
        <x:v>GRID45_report.md</x:v>
      </x:c>
      <x:c r="C2186" s="19" t="str">
        <x:v>1. GRID45 确认结果的独立复算与缺口定位</x:v>
      </x:c>
      <x:c r="D2186" s="19" t="str">
        <x:v>方法=LOCAL_GNN1；平均控制提速=14.265%</x:v>
      </x:c>
      <x:c r="E2186" s="19" t="str">
        <x:v>最坏成本差</x:v>
      </x:c>
      <x:c r="F2186" s="19" t="str">
        <x:v>0.88509%</x:v>
      </x:c>
      <x:c r="G2186" s="19" t="str">
        <x:v>质量/成本</x:v>
      </x:c>
      <x:c r="H2186" s="19" t="str">
        <x:v>D:/Codex/GRL研究/outputs/grid45/GRID45_report.md</x:v>
      </x:c>
    </x:row>
    <x:row r="2187" ht="36" customHeight="1">
      <x:c r="A2187" s="19" t="str">
        <x:v>GRID45</x:v>
      </x:c>
      <x:c r="B2187" s="19" t="str">
        <x:v>GRID45_report.md</x:v>
      </x:c>
      <x:c r="C2187" s="19" t="str">
        <x:v>1. GRID45 确认结果的独立复算与缺口定位</x:v>
      </x:c>
      <x:c r="D2187" s="19" t="str">
        <x:v>方法=LOCAL_GNN1；平均控制提速=14.265%</x:v>
      </x:c>
      <x:c r="E2187" s="19" t="str">
        <x:v>质量筛查日期</x:v>
      </x:c>
      <x:c r="F2187" s="19" t="str">
        <x:v>7/8</x:v>
      </x:c>
      <x:c r="G2187" s="19" t="str">
        <x:v>质量/成本</x:v>
      </x:c>
      <x:c r="H2187" s="19" t="str">
        <x:v>D:/Codex/GRL研究/outputs/grid45/GRID45_report.md</x:v>
      </x:c>
    </x:row>
    <x:row r="2188" ht="36" customHeight="1">
      <x:c r="A2188" s="19" t="str">
        <x:v>GRID45</x:v>
      </x:c>
      <x:c r="B2188" s="19" t="str">
        <x:v>GRID45_report.md</x:v>
      </x:c>
      <x:c r="C2188" s="19" t="str">
        <x:v>1. GRID45 确认结果的独立复算与缺口定位</x:v>
      </x:c>
      <x:c r="D2188" s="19" t="str">
        <x:v>方法=SOFTGNN0；平均控制提速=15.431%</x:v>
      </x:c>
      <x:c r="E2188" s="19" t="str">
        <x:v>平均控制提速</x:v>
      </x:c>
      <x:c r="F2188" s="19" t="str">
        <x:v>15.431%</x:v>
      </x:c>
      <x:c r="G2188" s="19" t="str">
        <x:v>速度/计算</x:v>
      </x:c>
      <x:c r="H2188" s="19" t="str">
        <x:v>D:/Codex/GRL研究/outputs/grid45/GRID45_report.md</x:v>
      </x:c>
    </x:row>
    <x:row r="2189" ht="36" customHeight="1">
      <x:c r="A2189" s="19" t="str">
        <x:v>GRID45</x:v>
      </x:c>
      <x:c r="B2189" s="19" t="str">
        <x:v>GRID45_report.md</x:v>
      </x:c>
      <x:c r="C2189" s="19" t="str">
        <x:v>1. GRID45 确认结果的独立复算与缺口定位</x:v>
      </x:c>
      <x:c r="D2189" s="19" t="str">
        <x:v>方法=SOFTGNN0；平均控制提速=15.431%</x:v>
      </x:c>
      <x:c r="E2189" s="19" t="str">
        <x:v>平均完成周成本差</x:v>
      </x:c>
      <x:c r="F2189" s="19" t="str">
        <x:v>-0.29962%</x:v>
      </x:c>
      <x:c r="G2189" s="19" t="str">
        <x:v>质量/成本</x:v>
      </x:c>
      <x:c r="H2189" s="19" t="str">
        <x:v>D:/Codex/GRL研究/outputs/grid45/GRID45_report.md</x:v>
      </x:c>
    </x:row>
    <x:row r="2190" ht="36" customHeight="1">
      <x:c r="A2190" s="19" t="str">
        <x:v>GRID45</x:v>
      </x:c>
      <x:c r="B2190" s="19" t="str">
        <x:v>GRID45_report.md</x:v>
      </x:c>
      <x:c r="C2190" s="19" t="str">
        <x:v>1. GRID45 确认结果的独立复算与缺口定位</x:v>
      </x:c>
      <x:c r="D2190" s="19" t="str">
        <x:v>方法=SOFTGNN0；平均控制提速=15.431%</x:v>
      </x:c>
      <x:c r="E2190" s="19" t="str">
        <x:v>最坏成本差</x:v>
      </x:c>
      <x:c r="F2190" s="19" t="str">
        <x:v>2.46195%</x:v>
      </x:c>
      <x:c r="G2190" s="19" t="str">
        <x:v>质量/成本</x:v>
      </x:c>
      <x:c r="H2190" s="19" t="str">
        <x:v>D:/Codex/GRL研究/outputs/grid45/GRID45_report.md</x:v>
      </x:c>
    </x:row>
    <x:row r="2191" ht="36" customHeight="1">
      <x:c r="A2191" s="19" t="str">
        <x:v>GRID45</x:v>
      </x:c>
      <x:c r="B2191" s="19" t="str">
        <x:v>GRID45_report.md</x:v>
      </x:c>
      <x:c r="C2191" s="19" t="str">
        <x:v>1. GRID45 确认结果的独立复算与缺口定位</x:v>
      </x:c>
      <x:c r="D2191" s="19" t="str">
        <x:v>方法=SOFTGNN0；平均控制提速=15.431%</x:v>
      </x:c>
      <x:c r="E2191" s="19" t="str">
        <x:v>质量筛查日期</x:v>
      </x:c>
      <x:c r="F2191" s="19" t="str">
        <x:v>7/8</x:v>
      </x:c>
      <x:c r="G2191" s="19" t="str">
        <x:v>质量/成本</x:v>
      </x:c>
      <x:c r="H2191" s="19" t="str">
        <x:v>D:/Codex/GRL研究/outputs/grid45/GRID45_report.md</x:v>
      </x:c>
    </x:row>
    <x:row r="2192" ht="36" customHeight="1">
      <x:c r="A2192" s="19" t="str">
        <x:v>GRID45</x:v>
      </x:c>
      <x:c r="B2192" s="19" t="str">
        <x:v>GRID45_report.md</x:v>
      </x:c>
      <x:c r="C2192" s="19" t="str">
        <x:v>1. GRID45 确认结果的独立复算与缺口定位</x:v>
      </x:c>
      <x:c r="D2192" s="19" t="str">
        <x:v>方法=SOFTGNN1；平均控制提速=12.014%</x:v>
      </x:c>
      <x:c r="E2192" s="19" t="str">
        <x:v>平均控制提速</x:v>
      </x:c>
      <x:c r="F2192" s="19" t="str">
        <x:v>12.014%</x:v>
      </x:c>
      <x:c r="G2192" s="19" t="str">
        <x:v>速度/计算</x:v>
      </x:c>
      <x:c r="H2192" s="19" t="str">
        <x:v>D:/Codex/GRL研究/outputs/grid45/GRID45_report.md</x:v>
      </x:c>
    </x:row>
    <x:row r="2193" ht="36" customHeight="1">
      <x:c r="A2193" s="19" t="str">
        <x:v>GRID45</x:v>
      </x:c>
      <x:c r="B2193" s="19" t="str">
        <x:v>GRID45_report.md</x:v>
      </x:c>
      <x:c r="C2193" s="19" t="str">
        <x:v>1. GRID45 确认结果的独立复算与缺口定位</x:v>
      </x:c>
      <x:c r="D2193" s="19" t="str">
        <x:v>方法=SOFTGNN1；平均控制提速=12.014%</x:v>
      </x:c>
      <x:c r="E2193" s="19" t="str">
        <x:v>平均完成周成本差</x:v>
      </x:c>
      <x:c r="F2193" s="19" t="str">
        <x:v>0.40329%</x:v>
      </x:c>
      <x:c r="G2193" s="19" t="str">
        <x:v>质量/成本</x:v>
      </x:c>
      <x:c r="H2193" s="19" t="str">
        <x:v>D:/Codex/GRL研究/outputs/grid45/GRID45_report.md</x:v>
      </x:c>
    </x:row>
    <x:row r="2194" ht="36" customHeight="1">
      <x:c r="A2194" s="19" t="str">
        <x:v>GRID45</x:v>
      </x:c>
      <x:c r="B2194" s="19" t="str">
        <x:v>GRID45_report.md</x:v>
      </x:c>
      <x:c r="C2194" s="19" t="str">
        <x:v>1. GRID45 确认结果的独立复算与缺口定位</x:v>
      </x:c>
      <x:c r="D2194" s="19" t="str">
        <x:v>方法=SOFTGNN1；平均控制提速=12.014%</x:v>
      </x:c>
      <x:c r="E2194" s="19" t="str">
        <x:v>最坏成本差</x:v>
      </x:c>
      <x:c r="F2194" s="19" t="str">
        <x:v>2.46195%</x:v>
      </x:c>
      <x:c r="G2194" s="19" t="str">
        <x:v>质量/成本</x:v>
      </x:c>
      <x:c r="H2194" s="19" t="str">
        <x:v>D:/Codex/GRL研究/outputs/grid45/GRID45_report.md</x:v>
      </x:c>
    </x:row>
    <x:row r="2195" ht="36" customHeight="1">
      <x:c r="A2195" s="19" t="str">
        <x:v>GRID45</x:v>
      </x:c>
      <x:c r="B2195" s="19" t="str">
        <x:v>GRID45_report.md</x:v>
      </x:c>
      <x:c r="C2195" s="19" t="str">
        <x:v>1. GRID45 确认结果的独立复算与缺口定位</x:v>
      </x:c>
      <x:c r="D2195" s="19" t="str">
        <x:v>方法=SOFTGNN1；平均控制提速=12.014%</x:v>
      </x:c>
      <x:c r="E2195" s="19" t="str">
        <x:v>质量筛查日期</x:v>
      </x:c>
      <x:c r="F2195" s="19" t="str">
        <x:v>6/8</x:v>
      </x:c>
      <x:c r="G2195" s="19" t="str">
        <x:v>质量/成本</x:v>
      </x:c>
      <x:c r="H2195" s="19" t="str">
        <x:v>D:/Codex/GRL研究/outputs/grid45/GRID45_report.md</x:v>
      </x:c>
    </x:row>
    <x:row r="2196" ht="36" customHeight="1">
      <x:c r="A2196" s="19" t="str">
        <x:v>GRID45</x:v>
      </x:c>
      <x:c r="B2196" s="19" t="str">
        <x:v>GRID45_report.md</x:v>
      </x:c>
      <x:c r="C2196" s="19" t="str">
        <x:v>1. GRID45 确认结果的独立复算与缺口定位</x:v>
      </x:c>
      <x:c r="D2196" s="19" t="str">
        <x:v>方法=LOCAL_PPO；平均控制提速=11.911%</x:v>
      </x:c>
      <x:c r="E2196" s="19" t="str">
        <x:v>平均控制提速</x:v>
      </x:c>
      <x:c r="F2196" s="19" t="str">
        <x:v>11.911%</x:v>
      </x:c>
      <x:c r="G2196" s="19" t="str">
        <x:v>速度/计算</x:v>
      </x:c>
      <x:c r="H2196" s="19" t="str">
        <x:v>D:/Codex/GRL研究/outputs/grid45/GRID45_report.md</x:v>
      </x:c>
    </x:row>
    <x:row r="2197" ht="36" customHeight="1">
      <x:c r="A2197" s="19" t="str">
        <x:v>GRID45</x:v>
      </x:c>
      <x:c r="B2197" s="19" t="str">
        <x:v>GRID45_report.md</x:v>
      </x:c>
      <x:c r="C2197" s="19" t="str">
        <x:v>1. GRID45 确认结果的独立复算与缺口定位</x:v>
      </x:c>
      <x:c r="D2197" s="19" t="str">
        <x:v>方法=LOCAL_PPO；平均控制提速=11.911%</x:v>
      </x:c>
      <x:c r="E2197" s="19" t="str">
        <x:v>平均完成周成本差</x:v>
      </x:c>
      <x:c r="F2197" s="19" t="str">
        <x:v>0.11445%</x:v>
      </x:c>
      <x:c r="G2197" s="19" t="str">
        <x:v>质量/成本</x:v>
      </x:c>
      <x:c r="H2197" s="19" t="str">
        <x:v>D:/Codex/GRL研究/outputs/grid45/GRID45_report.md</x:v>
      </x:c>
    </x:row>
    <x:row r="2198" ht="36" customHeight="1">
      <x:c r="A2198" s="19" t="str">
        <x:v>GRID45</x:v>
      </x:c>
      <x:c r="B2198" s="19" t="str">
        <x:v>GRID45_report.md</x:v>
      </x:c>
      <x:c r="C2198" s="19" t="str">
        <x:v>1. GRID45 确认结果的独立复算与缺口定位</x:v>
      </x:c>
      <x:c r="D2198" s="19" t="str">
        <x:v>方法=LOCAL_PPO；平均控制提速=11.911%</x:v>
      </x:c>
      <x:c r="E2198" s="19" t="str">
        <x:v>最坏成本差</x:v>
      </x:c>
      <x:c r="F2198" s="19" t="str">
        <x:v>0.88668%</x:v>
      </x:c>
      <x:c r="G2198" s="19" t="str">
        <x:v>质量/成本</x:v>
      </x:c>
      <x:c r="H2198" s="19" t="str">
        <x:v>D:/Codex/GRL研究/outputs/grid45/GRID45_report.md</x:v>
      </x:c>
    </x:row>
    <x:row r="2199" ht="36" customHeight="1">
      <x:c r="A2199" s="19" t="str">
        <x:v>GRID45</x:v>
      </x:c>
      <x:c r="B2199" s="19" t="str">
        <x:v>GRID45_report.md</x:v>
      </x:c>
      <x:c r="C2199" s="19" t="str">
        <x:v>1. GRID45 确认结果的独立复算与缺口定位</x:v>
      </x:c>
      <x:c r="D2199" s="19" t="str">
        <x:v>方法=LOCAL_PPO；平均控制提速=11.911%</x:v>
      </x:c>
      <x:c r="E2199" s="19" t="str">
        <x:v>质量筛查日期</x:v>
      </x:c>
      <x:c r="F2199" s="19" t="str">
        <x:v>7/8</x:v>
      </x:c>
      <x:c r="G2199" s="19" t="str">
        <x:v>质量/成本</x:v>
      </x:c>
      <x:c r="H2199" s="19" t="str">
        <x:v>D:/Codex/GRL研究/outputs/grid45/GRID45_report.md</x:v>
      </x:c>
    </x:row>
    <x:row r="2200" ht="36" customHeight="1">
      <x:c r="A2200" s="19" t="str">
        <x:v>GRID46</x:v>
      </x:c>
      <x:c r="B2200" s="19" t="str">
        <x:v>GRID46_report.md</x:v>
      </x:c>
      <x:c r="C2200" s="19" t="str">
        <x:v>1. GRID46 既有作者阈值的共同回补诊断</x:v>
      </x:c>
      <x:c r="D2200" s="19" t="str">
        <x:v>排序器=GNN0；原查询=7358</x:v>
      </x:c>
      <x:c r="E2200" s="19" t="str">
        <x:v>原查询</x:v>
      </x:c>
      <x:c r="F2200" s="19" t="str">
        <x:v>7358</x:v>
      </x:c>
      <x:c r="G2200" s="19" t="str">
        <x:v>速度/计算</x:v>
      </x:c>
      <x:c r="H2200" s="19" t="str">
        <x:v>D:/Codex/GRL研究/outputs/grid46/GRID46_report.md</x:v>
      </x:c>
    </x:row>
    <x:row r="2201" ht="36" customHeight="1">
      <x:c r="A2201" s="19" t="str">
        <x:v>GRID46</x:v>
      </x:c>
      <x:c r="B2201" s="19" t="str">
        <x:v>GRID46_report.md</x:v>
      </x:c>
      <x:c r="C2201" s="19" t="str">
        <x:v>1. GRID46 既有作者阈值的共同回补诊断</x:v>
      </x:c>
      <x:c r="D2201" s="19" t="str">
        <x:v>排序器=GNN0；原查询=7358</x:v>
      </x:c>
      <x:c r="E2201" s="19" t="str">
        <x:v>保护后查询</x:v>
      </x:c>
      <x:c r="F2201" s="19" t="str">
        <x:v>14893</x:v>
      </x:c>
      <x:c r="G2201" s="19" t="str">
        <x:v>速度/计算</x:v>
      </x:c>
      <x:c r="H2201" s="19" t="str">
        <x:v>D:/Codex/GRL研究/outputs/grid46/GRID46_report.md</x:v>
      </x:c>
    </x:row>
    <x:row r="2202" ht="36" customHeight="1">
      <x:c r="A2202" s="19" t="str">
        <x:v>GRID46</x:v>
      </x:c>
      <x:c r="B2202" s="19" t="str">
        <x:v>GRID46_report.md</x:v>
      </x:c>
      <x:c r="C2202" s="19" t="str">
        <x:v>1. GRID46 既有作者阈值的共同回补诊断</x:v>
      </x:c>
      <x:c r="D2202" s="19" t="str">
        <x:v>排序器=GNN0；原查询=7358</x:v>
      </x:c>
      <x:c r="E2202" s="19" t="str">
        <x:v>同FULL选择</x:v>
      </x:c>
      <x:c r="F2202" s="19" t="str">
        <x:v>26/26</x:v>
      </x:c>
      <x:c r="G2202" s="19" t="str">
        <x:v>质量/成本</x:v>
      </x:c>
      <x:c r="H2202" s="19" t="str">
        <x:v>D:/Codex/GRL研究/outputs/grid46/GRID46_report.md</x:v>
      </x:c>
    </x:row>
    <x:row r="2203" ht="36" customHeight="1">
      <x:c r="A2203" s="19" t="str">
        <x:v>GRID46</x:v>
      </x:c>
      <x:c r="B2203" s="19" t="str">
        <x:v>GRID46_report.md</x:v>
      </x:c>
      <x:c r="C2203" s="19" t="str">
        <x:v>1. GRID46 既有作者阈值的共同回补诊断</x:v>
      </x:c>
      <x:c r="D2203" s="19" t="str">
        <x:v>排序器=GNN0；原查询=7358</x:v>
      </x:c>
      <x:c r="E2203" s="19" t="str">
        <x:v>找回开发1733</x:v>
      </x:c>
      <x:c r="F2203" s="19" t="str">
        <x:v>True</x:v>
      </x:c>
      <x:c r="G2203" s="19" t="str">
        <x:v>其他/配置</x:v>
      </x:c>
      <x:c r="H2203" s="19" t="str">
        <x:v>D:/Codex/GRL研究/outputs/grid46/GRID46_report.md</x:v>
      </x:c>
    </x:row>
    <x:row r="2204" ht="36" customHeight="1">
      <x:c r="A2204" s="19" t="str">
        <x:v>GRID46</x:v>
      </x:c>
      <x:c r="B2204" s="19" t="str">
        <x:v>GRID46_report.md</x:v>
      </x:c>
      <x:c r="C2204" s="19" t="str">
        <x:v>1. GRID46 既有作者阈值的共同回补诊断</x:v>
      </x:c>
      <x:c r="D2204" s="19" t="str">
        <x:v>排序器=GNN1；原查询=7530</x:v>
      </x:c>
      <x:c r="E2204" s="19" t="str">
        <x:v>原查询</x:v>
      </x:c>
      <x:c r="F2204" s="19" t="str">
        <x:v>7530</x:v>
      </x:c>
      <x:c r="G2204" s="19" t="str">
        <x:v>速度/计算</x:v>
      </x:c>
      <x:c r="H2204" s="19" t="str">
        <x:v>D:/Codex/GRL研究/outputs/grid46/GRID46_report.md</x:v>
      </x:c>
    </x:row>
    <x:row r="2205" ht="36" customHeight="1">
      <x:c r="A2205" s="19" t="str">
        <x:v>GRID46</x:v>
      </x:c>
      <x:c r="B2205" s="19" t="str">
        <x:v>GRID46_report.md</x:v>
      </x:c>
      <x:c r="C2205" s="19" t="str">
        <x:v>1. GRID46 既有作者阈值的共同回补诊断</x:v>
      </x:c>
      <x:c r="D2205" s="19" t="str">
        <x:v>排序器=GNN1；原查询=7530</x:v>
      </x:c>
      <x:c r="E2205" s="19" t="str">
        <x:v>保护后查询</x:v>
      </x:c>
      <x:c r="F2205" s="19" t="str">
        <x:v>14893</x:v>
      </x:c>
      <x:c r="G2205" s="19" t="str">
        <x:v>速度/计算</x:v>
      </x:c>
      <x:c r="H2205" s="19" t="str">
        <x:v>D:/Codex/GRL研究/outputs/grid46/GRID46_report.md</x:v>
      </x:c>
    </x:row>
    <x:row r="2206" ht="36" customHeight="1">
      <x:c r="A2206" s="19" t="str">
        <x:v>GRID46</x:v>
      </x:c>
      <x:c r="B2206" s="19" t="str">
        <x:v>GRID46_report.md</x:v>
      </x:c>
      <x:c r="C2206" s="19" t="str">
        <x:v>1. GRID46 既有作者阈值的共同回补诊断</x:v>
      </x:c>
      <x:c r="D2206" s="19" t="str">
        <x:v>排序器=GNN1；原查询=7530</x:v>
      </x:c>
      <x:c r="E2206" s="19" t="str">
        <x:v>同FULL选择</x:v>
      </x:c>
      <x:c r="F2206" s="19" t="str">
        <x:v>26/26</x:v>
      </x:c>
      <x:c r="G2206" s="19" t="str">
        <x:v>质量/成本</x:v>
      </x:c>
      <x:c r="H2206" s="19" t="str">
        <x:v>D:/Codex/GRL研究/outputs/grid46/GRID46_report.md</x:v>
      </x:c>
    </x:row>
    <x:row r="2207" ht="36" customHeight="1">
      <x:c r="A2207" s="19" t="str">
        <x:v>GRID46</x:v>
      </x:c>
      <x:c r="B2207" s="19" t="str">
        <x:v>GRID46_report.md</x:v>
      </x:c>
      <x:c r="C2207" s="19" t="str">
        <x:v>1. GRID46 既有作者阈值的共同回补诊断</x:v>
      </x:c>
      <x:c r="D2207" s="19" t="str">
        <x:v>排序器=GNN1；原查询=7530</x:v>
      </x:c>
      <x:c r="E2207" s="19" t="str">
        <x:v>找回开发1733</x:v>
      </x:c>
      <x:c r="F2207" s="19" t="str">
        <x:v>True</x:v>
      </x:c>
      <x:c r="G2207" s="19" t="str">
        <x:v>其他/配置</x:v>
      </x:c>
      <x:c r="H2207" s="19" t="str">
        <x:v>D:/Codex/GRL研究/outputs/grid46/GRID46_report.md</x:v>
      </x:c>
    </x:row>
    <x:row r="2208" ht="36" customHeight="1">
      <x:c r="A2208" s="19" t="str">
        <x:v>GRID46</x:v>
      </x:c>
      <x:c r="B2208" s="19" t="str">
        <x:v>GRID46_report.md</x:v>
      </x:c>
      <x:c r="C2208" s="19" t="str">
        <x:v>1. GRID46 既有作者阈值的共同回补诊断</x:v>
      </x:c>
      <x:c r="D2208" s="19" t="str">
        <x:v>排序器=PPO；原查询=7823</x:v>
      </x:c>
      <x:c r="E2208" s="19" t="str">
        <x:v>原查询</x:v>
      </x:c>
      <x:c r="F2208" s="19" t="str">
        <x:v>7823</x:v>
      </x:c>
      <x:c r="G2208" s="19" t="str">
        <x:v>速度/计算</x:v>
      </x:c>
      <x:c r="H2208" s="19" t="str">
        <x:v>D:/Codex/GRL研究/outputs/grid46/GRID46_report.md</x:v>
      </x:c>
    </x:row>
    <x:row r="2209" ht="36" customHeight="1">
      <x:c r="A2209" s="19" t="str">
        <x:v>GRID46</x:v>
      </x:c>
      <x:c r="B2209" s="19" t="str">
        <x:v>GRID46_report.md</x:v>
      </x:c>
      <x:c r="C2209" s="19" t="str">
        <x:v>1. GRID46 既有作者阈值的共同回补诊断</x:v>
      </x:c>
      <x:c r="D2209" s="19" t="str">
        <x:v>排序器=PPO；原查询=7823</x:v>
      </x:c>
      <x:c r="E2209" s="19" t="str">
        <x:v>保护后查询</x:v>
      </x:c>
      <x:c r="F2209" s="19" t="str">
        <x:v>14893</x:v>
      </x:c>
      <x:c r="G2209" s="19" t="str">
        <x:v>速度/计算</x:v>
      </x:c>
      <x:c r="H2209" s="19" t="str">
        <x:v>D:/Codex/GRL研究/outputs/grid46/GRID46_report.md</x:v>
      </x:c>
    </x:row>
    <x:row r="2210" ht="36" customHeight="1">
      <x:c r="A2210" s="19" t="str">
        <x:v>GRID46</x:v>
      </x:c>
      <x:c r="B2210" s="19" t="str">
        <x:v>GRID46_report.md</x:v>
      </x:c>
      <x:c r="C2210" s="19" t="str">
        <x:v>1. GRID46 既有作者阈值的共同回补诊断</x:v>
      </x:c>
      <x:c r="D2210" s="19" t="str">
        <x:v>排序器=PPO；原查询=7823</x:v>
      </x:c>
      <x:c r="E2210" s="19" t="str">
        <x:v>同FULL选择</x:v>
      </x:c>
      <x:c r="F2210" s="19" t="str">
        <x:v>26/26</x:v>
      </x:c>
      <x:c r="G2210" s="19" t="str">
        <x:v>质量/成本</x:v>
      </x:c>
      <x:c r="H2210" s="19" t="str">
        <x:v>D:/Codex/GRL研究/outputs/grid46/GRID46_report.md</x:v>
      </x:c>
    </x:row>
    <x:row r="2211" ht="36" customHeight="1">
      <x:c r="A2211" s="19" t="str">
        <x:v>GRID46</x:v>
      </x:c>
      <x:c r="B2211" s="19" t="str">
        <x:v>GRID46_report.md</x:v>
      </x:c>
      <x:c r="C2211" s="19" t="str">
        <x:v>1. GRID46 既有作者阈值的共同回补诊断</x:v>
      </x:c>
      <x:c r="D2211" s="19" t="str">
        <x:v>排序器=PPO；原查询=7823</x:v>
      </x:c>
      <x:c r="E2211" s="19" t="str">
        <x:v>找回开发1733</x:v>
      </x:c>
      <x:c r="F2211" s="19" t="str">
        <x:v>True</x:v>
      </x:c>
      <x:c r="G2211" s="19" t="str">
        <x:v>其他/配置</x:v>
      </x:c>
      <x:c r="H2211" s="19" t="str">
        <x:v>D:/Codex/GRL研究/outputs/grid46/GRID46_report.md</x:v>
      </x:c>
    </x:row>
    <x:row r="2212" ht="36" customHeight="1">
      <x:c r="A2212" s="19" t="str">
        <x:v>GRID46</x:v>
      </x:c>
      <x:c r="B2212" s="19" t="str">
        <x:v>GRID46_report.md</x:v>
      </x:c>
      <x:c r="C2212" s="19" t="str">
        <x:v>1. GRID46 既有作者阈值的共同回补诊断</x:v>
      </x:c>
      <x:c r="D2212" s="19" t="str">
        <x:v>排序器=SOFTGNN0；原查询=8064</x:v>
      </x:c>
      <x:c r="E2212" s="19" t="str">
        <x:v>原查询</x:v>
      </x:c>
      <x:c r="F2212" s="19" t="str">
        <x:v>8064</x:v>
      </x:c>
      <x:c r="G2212" s="19" t="str">
        <x:v>速度/计算</x:v>
      </x:c>
      <x:c r="H2212" s="19" t="str">
        <x:v>D:/Codex/GRL研究/outputs/grid46/GRID46_report.md</x:v>
      </x:c>
    </x:row>
    <x:row r="2213" ht="36" customHeight="1">
      <x:c r="A2213" s="19" t="str">
        <x:v>GRID46</x:v>
      </x:c>
      <x:c r="B2213" s="19" t="str">
        <x:v>GRID46_report.md</x:v>
      </x:c>
      <x:c r="C2213" s="19" t="str">
        <x:v>1. GRID46 既有作者阈值的共同回补诊断</x:v>
      </x:c>
      <x:c r="D2213" s="19" t="str">
        <x:v>排序器=SOFTGNN0；原查询=8064</x:v>
      </x:c>
      <x:c r="E2213" s="19" t="str">
        <x:v>保护后查询</x:v>
      </x:c>
      <x:c r="F2213" s="19" t="str">
        <x:v>15251</x:v>
      </x:c>
      <x:c r="G2213" s="19" t="str">
        <x:v>速度/计算</x:v>
      </x:c>
      <x:c r="H2213" s="19" t="str">
        <x:v>D:/Codex/GRL研究/outputs/grid46/GRID46_report.md</x:v>
      </x:c>
    </x:row>
    <x:row r="2214" ht="36" customHeight="1">
      <x:c r="A2214" s="19" t="str">
        <x:v>GRID46</x:v>
      </x:c>
      <x:c r="B2214" s="19" t="str">
        <x:v>GRID46_report.md</x:v>
      </x:c>
      <x:c r="C2214" s="19" t="str">
        <x:v>1. GRID46 既有作者阈值的共同回补诊断</x:v>
      </x:c>
      <x:c r="D2214" s="19" t="str">
        <x:v>排序器=SOFTGNN0；原查询=8064</x:v>
      </x:c>
      <x:c r="E2214" s="19" t="str">
        <x:v>同FULL选择</x:v>
      </x:c>
      <x:c r="F2214" s="19" t="str">
        <x:v>24/26</x:v>
      </x:c>
      <x:c r="G2214" s="19" t="str">
        <x:v>质量/成本</x:v>
      </x:c>
      <x:c r="H2214" s="19" t="str">
        <x:v>D:/Codex/GRL研究/outputs/grid46/GRID46_report.md</x:v>
      </x:c>
    </x:row>
    <x:row r="2215" ht="36" customHeight="1">
      <x:c r="A2215" s="19" t="str">
        <x:v>GRID46</x:v>
      </x:c>
      <x:c r="B2215" s="19" t="str">
        <x:v>GRID46_report.md</x:v>
      </x:c>
      <x:c r="C2215" s="19" t="str">
        <x:v>1. GRID46 既有作者阈值的共同回补诊断</x:v>
      </x:c>
      <x:c r="D2215" s="19" t="str">
        <x:v>排序器=SOFTGNN0；原查询=8064</x:v>
      </x:c>
      <x:c r="E2215" s="19" t="str">
        <x:v>找回开发1733</x:v>
      </x:c>
      <x:c r="F2215" s="19" t="str">
        <x:v>True</x:v>
      </x:c>
      <x:c r="G2215" s="19" t="str">
        <x:v>其他/配置</x:v>
      </x:c>
      <x:c r="H2215" s="19" t="str">
        <x:v>D:/Codex/GRL研究/outputs/grid46/GRID46_report.md</x:v>
      </x:c>
    </x:row>
    <x:row r="2216" ht="36" customHeight="1">
      <x:c r="A2216" s="19" t="str">
        <x:v>GRID46</x:v>
      </x:c>
      <x:c r="B2216" s="19" t="str">
        <x:v>GRID46_report.md</x:v>
      </x:c>
      <x:c r="C2216" s="19" t="str">
        <x:v>1. GRID46 既有作者阈值的共同回补诊断</x:v>
      </x:c>
      <x:c r="D2216" s="19" t="str">
        <x:v>排序器=SOFTGNN1；原查询=8004</x:v>
      </x:c>
      <x:c r="E2216" s="19" t="str">
        <x:v>原查询</x:v>
      </x:c>
      <x:c r="F2216" s="19" t="str">
        <x:v>8004</x:v>
      </x:c>
      <x:c r="G2216" s="19" t="str">
        <x:v>速度/计算</x:v>
      </x:c>
      <x:c r="H2216" s="19" t="str">
        <x:v>D:/Codex/GRL研究/outputs/grid46/GRID46_report.md</x:v>
      </x:c>
    </x:row>
    <x:row r="2217" ht="36" customHeight="1">
      <x:c r="A2217" s="19" t="str">
        <x:v>GRID46</x:v>
      </x:c>
      <x:c r="B2217" s="19" t="str">
        <x:v>GRID46_report.md</x:v>
      </x:c>
      <x:c r="C2217" s="19" t="str">
        <x:v>1. GRID46 既有作者阈值的共同回补诊断</x:v>
      </x:c>
      <x:c r="D2217" s="19" t="str">
        <x:v>排序器=SOFTGNN1；原查询=8004</x:v>
      </x:c>
      <x:c r="E2217" s="19" t="str">
        <x:v>保护后查询</x:v>
      </x:c>
      <x:c r="F2217" s="19" t="str">
        <x:v>15201</x:v>
      </x:c>
      <x:c r="G2217" s="19" t="str">
        <x:v>速度/计算</x:v>
      </x:c>
      <x:c r="H2217" s="19" t="str">
        <x:v>D:/Codex/GRL研究/outputs/grid46/GRID46_report.md</x:v>
      </x:c>
    </x:row>
    <x:row r="2218" ht="36" customHeight="1">
      <x:c r="A2218" s="19" t="str">
        <x:v>GRID46</x:v>
      </x:c>
      <x:c r="B2218" s="19" t="str">
        <x:v>GRID46_report.md</x:v>
      </x:c>
      <x:c r="C2218" s="19" t="str">
        <x:v>1. GRID46 既有作者阈值的共同回补诊断</x:v>
      </x:c>
      <x:c r="D2218" s="19" t="str">
        <x:v>排序器=SOFTGNN1；原查询=8004</x:v>
      </x:c>
      <x:c r="E2218" s="19" t="str">
        <x:v>同FULL选择</x:v>
      </x:c>
      <x:c r="F2218" s="19" t="str">
        <x:v>24/26</x:v>
      </x:c>
      <x:c r="G2218" s="19" t="str">
        <x:v>质量/成本</x:v>
      </x:c>
      <x:c r="H2218" s="19" t="str">
        <x:v>D:/Codex/GRL研究/outputs/grid46/GRID46_report.md</x:v>
      </x:c>
    </x:row>
    <x:row r="2219" ht="36" customHeight="1">
      <x:c r="A2219" s="19" t="str">
        <x:v>GRID46</x:v>
      </x:c>
      <x:c r="B2219" s="19" t="str">
        <x:v>GRID46_report.md</x:v>
      </x:c>
      <x:c r="C2219" s="19" t="str">
        <x:v>1. GRID46 既有作者阈值的共同回补诊断</x:v>
      </x:c>
      <x:c r="D2219" s="19" t="str">
        <x:v>排序器=SOFTGNN1；原查询=8004</x:v>
      </x:c>
      <x:c r="E2219" s="19" t="str">
        <x:v>找回开发1733</x:v>
      </x:c>
      <x:c r="F2219" s="19" t="str">
        <x:v>True</x:v>
      </x:c>
      <x:c r="G2219" s="19" t="str">
        <x:v>其他/配置</x:v>
      </x:c>
      <x:c r="H2219" s="19" t="str">
        <x:v>D:/Codex/GRL研究/outputs/grid46/GRID46_report.md</x:v>
      </x:c>
    </x:row>
    <x:row r="2220" ht="36" customHeight="1">
      <x:c r="A2220" s="19" t="str">
        <x:v>GRID47</x:v>
      </x:c>
      <x:c r="B2220" s="19" t="str">
        <x:v>GRID47_report.md</x:v>
      </x:c>
      <x:c r="C2220" s="19" t="str">
        <x:v>1. GRID47 既有作者阈值回补的质量与速度</x:v>
      </x:c>
      <x:c r="D2220" s="19" t="str">
        <x:v>方法=FULL；控制秒总计=321.672</x:v>
      </x:c>
      <x:c r="E2220" s="19" t="str">
        <x:v>控制秒总计</x:v>
      </x:c>
      <x:c r="F2220" s="19" t="str">
        <x:v>321.672</x:v>
      </x:c>
      <x:c r="G2220" s="19" t="str">
        <x:v>速度/计算</x:v>
      </x:c>
      <x:c r="H2220" s="19" t="str">
        <x:v>D:/Codex/GRL研究/outputs/grid47/GRID47_report.md</x:v>
      </x:c>
    </x:row>
    <x:row r="2221" ht="36" customHeight="1">
      <x:c r="A2221" s="19" t="str">
        <x:v>GRID47</x:v>
      </x:c>
      <x:c r="B2221" s="19" t="str">
        <x:v>GRID47_report.md</x:v>
      </x:c>
      <x:c r="C2221" s="19" t="str">
        <x:v>1. GRID47 既有作者阈值回补的质量与速度</x:v>
      </x:c>
      <x:c r="D2221" s="19" t="str">
        <x:v>方法=FULL；控制秒总计=321.672</x:v>
      </x:c>
      <x:c r="E2221" s="19" t="str">
        <x:v>查询</x:v>
      </x:c>
      <x:c r="F2221" s="19" t="str">
        <x:v>22597</x:v>
      </x:c>
      <x:c r="G2221" s="19" t="str">
        <x:v>速度/计算</x:v>
      </x:c>
      <x:c r="H2221" s="19" t="str">
        <x:v>D:/Codex/GRL研究/outputs/grid47/GRID47_report.md</x:v>
      </x:c>
    </x:row>
    <x:row r="2222" ht="36" customHeight="1">
      <x:c r="A2222" s="19" t="str">
        <x:v>GRID47</x:v>
      </x:c>
      <x:c r="B2222" s="19" t="str">
        <x:v>GRID47_report.md</x:v>
      </x:c>
      <x:c r="C2222" s="19" t="str">
        <x:v>1. GRID47 既有作者阈值回补的质量与速度</x:v>
      </x:c>
      <x:c r="D2222" s="19" t="str">
        <x:v>方法=FULL；控制秒总计=321.672</x:v>
      </x:c>
      <x:c r="E2222" s="19" t="str">
        <x:v>质量筛查通过</x:v>
      </x:c>
      <x:c r="F2222" s="19" t="str">
        <x:v>4/4</x:v>
      </x:c>
      <x:c r="G2222" s="19" t="str">
        <x:v>质量/成本</x:v>
      </x:c>
      <x:c r="H2222" s="19" t="str">
        <x:v>D:/Codex/GRL研究/outputs/grid47/GRID47_report.md</x:v>
      </x:c>
    </x:row>
    <x:row r="2223" ht="36" customHeight="1">
      <x:c r="A2223" s="19" t="str">
        <x:v>GRID47</x:v>
      </x:c>
      <x:c r="B2223" s="19" t="str">
        <x:v>GRID47_report.md</x:v>
      </x:c>
      <x:c r="C2223" s="19" t="str">
        <x:v>1. GRID47 既有作者阈值回补的质量与速度</x:v>
      </x:c>
      <x:c r="D2223" s="19" t="str">
        <x:v>方法=FULL；控制秒总计=321.672</x:v>
      </x:c>
      <x:c r="E2223" s="19" t="str">
        <x:v>完成</x:v>
      </x:c>
      <x:c r="F2223" s="19" t="str">
        <x:v>3/4</x:v>
      </x:c>
      <x:c r="G2223" s="19" t="str">
        <x:v>质量/成本</x:v>
      </x:c>
      <x:c r="H2223" s="19" t="str">
        <x:v>D:/Codex/GRL研究/outputs/grid47/GRID47_report.md</x:v>
      </x:c>
    </x:row>
    <x:row r="2224" ht="36" customHeight="1">
      <x:c r="A2224" s="19" t="str">
        <x:v>GRID47</x:v>
      </x:c>
      <x:c r="B2224" s="19" t="str">
        <x:v>GRID47_report.md</x:v>
      </x:c>
      <x:c r="C2224" s="19" t="str">
        <x:v>1. GRID47 既有作者阈值回补的质量与速度</x:v>
      </x:c>
      <x:c r="D2224" s="19" t="str">
        <x:v>方法=FULL；控制秒总计=321.672</x:v>
      </x:c>
      <x:c r="E2224" s="19" t="str">
        <x:v>最大可比成本差</x:v>
      </x:c>
      <x:c r="F2224" s="19" t="str">
        <x:v>0.00000%</x:v>
      </x:c>
      <x:c r="G2224" s="19" t="str">
        <x:v>质量/成本</x:v>
      </x:c>
      <x:c r="H2224" s="19" t="str">
        <x:v>D:/Codex/GRL研究/outputs/grid47/GRID47_report.md</x:v>
      </x:c>
    </x:row>
    <x:row r="2225" ht="36" customHeight="1">
      <x:c r="A2225" s="19" t="str">
        <x:v>GRID47</x:v>
      </x:c>
      <x:c r="B2225" s="19" t="str">
        <x:v>GRID47_report.md</x:v>
      </x:c>
      <x:c r="C2225" s="19" t="str">
        <x:v>1. GRID47 既有作者阈值回补的质量与速度</x:v>
      </x:c>
      <x:c r="D2225" s="19" t="str">
        <x:v>方法=LOCAL_GNN0；控制秒总计=310.548</x:v>
      </x:c>
      <x:c r="E2225" s="19" t="str">
        <x:v>控制秒总计</x:v>
      </x:c>
      <x:c r="F2225" s="19" t="str">
        <x:v>310.548</x:v>
      </x:c>
      <x:c r="G2225" s="19" t="str">
        <x:v>速度/计算</x:v>
      </x:c>
      <x:c r="H2225" s="19" t="str">
        <x:v>D:/Codex/GRL研究/outputs/grid47/GRID47_report.md</x:v>
      </x:c>
    </x:row>
    <x:row r="2226" ht="36" customHeight="1">
      <x:c r="A2226" s="19" t="str">
        <x:v>GRID47</x:v>
      </x:c>
      <x:c r="B2226" s="19" t="str">
        <x:v>GRID47_report.md</x:v>
      </x:c>
      <x:c r="C2226" s="19" t="str">
        <x:v>1. GRID47 既有作者阈值回补的质量与速度</x:v>
      </x:c>
      <x:c r="D2226" s="19" t="str">
        <x:v>方法=LOCAL_GNN0；控制秒总计=310.548</x:v>
      </x:c>
      <x:c r="E2226" s="19" t="str">
        <x:v>查询</x:v>
      </x:c>
      <x:c r="F2226" s="19" t="str">
        <x:v>14893</x:v>
      </x:c>
      <x:c r="G2226" s="19" t="str">
        <x:v>速度/计算</x:v>
      </x:c>
      <x:c r="H2226" s="19" t="str">
        <x:v>D:/Codex/GRL研究/outputs/grid47/GRID47_report.md</x:v>
      </x:c>
    </x:row>
    <x:row r="2227" ht="36" customHeight="1">
      <x:c r="A2227" s="19" t="str">
        <x:v>GRID47</x:v>
      </x:c>
      <x:c r="B2227" s="19" t="str">
        <x:v>GRID47_report.md</x:v>
      </x:c>
      <x:c r="C2227" s="19" t="str">
        <x:v>1. GRID47 既有作者阈值回补的质量与速度</x:v>
      </x:c>
      <x:c r="D2227" s="19" t="str">
        <x:v>方法=LOCAL_GNN0；控制秒总计=310.548</x:v>
      </x:c>
      <x:c r="E2227" s="19" t="str">
        <x:v>质量筛查通过</x:v>
      </x:c>
      <x:c r="F2227" s="19" t="str">
        <x:v>4/4</x:v>
      </x:c>
      <x:c r="G2227" s="19" t="str">
        <x:v>质量/成本</x:v>
      </x:c>
      <x:c r="H2227" s="19" t="str">
        <x:v>D:/Codex/GRL研究/outputs/grid47/GRID47_report.md</x:v>
      </x:c>
    </x:row>
    <x:row r="2228" ht="36" customHeight="1">
      <x:c r="A2228" s="19" t="str">
        <x:v>GRID47</x:v>
      </x:c>
      <x:c r="B2228" s="19" t="str">
        <x:v>GRID47_report.md</x:v>
      </x:c>
      <x:c r="C2228" s="19" t="str">
        <x:v>1. GRID47 既有作者阈值回补的质量与速度</x:v>
      </x:c>
      <x:c r="D2228" s="19" t="str">
        <x:v>方法=LOCAL_GNN0；控制秒总计=310.548</x:v>
      </x:c>
      <x:c r="E2228" s="19" t="str">
        <x:v>完成</x:v>
      </x:c>
      <x:c r="F2228" s="19" t="str">
        <x:v>3/4</x:v>
      </x:c>
      <x:c r="G2228" s="19" t="str">
        <x:v>质量/成本</x:v>
      </x:c>
      <x:c r="H2228" s="19" t="str">
        <x:v>D:/Codex/GRL研究/outputs/grid47/GRID47_report.md</x:v>
      </x:c>
    </x:row>
    <x:row r="2229" ht="36" customHeight="1">
      <x:c r="A2229" s="19" t="str">
        <x:v>GRID47</x:v>
      </x:c>
      <x:c r="B2229" s="19" t="str">
        <x:v>GRID47_report.md</x:v>
      </x:c>
      <x:c r="C2229" s="19" t="str">
        <x:v>1. GRID47 既有作者阈值回补的质量与速度</x:v>
      </x:c>
      <x:c r="D2229" s="19" t="str">
        <x:v>方法=LOCAL_GNN0；控制秒总计=310.548</x:v>
      </x:c>
      <x:c r="E2229" s="19" t="str">
        <x:v>最大可比成本差</x:v>
      </x:c>
      <x:c r="F2229" s="19" t="str">
        <x:v>0.00000%</x:v>
      </x:c>
      <x:c r="G2229" s="19" t="str">
        <x:v>质量/成本</x:v>
      </x:c>
      <x:c r="H2229" s="19" t="str">
        <x:v>D:/Codex/GRL研究/outputs/grid47/GRID47_report.md</x:v>
      </x:c>
    </x:row>
    <x:row r="2230" ht="36" customHeight="1">
      <x:c r="A2230" s="19" t="str">
        <x:v>GRID47</x:v>
      </x:c>
      <x:c r="B2230" s="19" t="str">
        <x:v>GRID47_report.md</x:v>
      </x:c>
      <x:c r="C2230" s="19" t="str">
        <x:v>1. GRID47 既有作者阈值回补的质量与速度</x:v>
      </x:c>
      <x:c r="D2230" s="19" t="str">
        <x:v>方法=LOCAL_GNN1；控制秒总计=310.316</x:v>
      </x:c>
      <x:c r="E2230" s="19" t="str">
        <x:v>控制秒总计</x:v>
      </x:c>
      <x:c r="F2230" s="19" t="str">
        <x:v>310.316</x:v>
      </x:c>
      <x:c r="G2230" s="19" t="str">
        <x:v>速度/计算</x:v>
      </x:c>
      <x:c r="H2230" s="19" t="str">
        <x:v>D:/Codex/GRL研究/outputs/grid47/GRID47_report.md</x:v>
      </x:c>
    </x:row>
    <x:row r="2231" ht="36" customHeight="1">
      <x:c r="A2231" s="19" t="str">
        <x:v>GRID47</x:v>
      </x:c>
      <x:c r="B2231" s="19" t="str">
        <x:v>GRID47_report.md</x:v>
      </x:c>
      <x:c r="C2231" s="19" t="str">
        <x:v>1. GRID47 既有作者阈值回补的质量与速度</x:v>
      </x:c>
      <x:c r="D2231" s="19" t="str">
        <x:v>方法=LOCAL_GNN1；控制秒总计=310.316</x:v>
      </x:c>
      <x:c r="E2231" s="19" t="str">
        <x:v>查询</x:v>
      </x:c>
      <x:c r="F2231" s="19" t="str">
        <x:v>14893</x:v>
      </x:c>
      <x:c r="G2231" s="19" t="str">
        <x:v>速度/计算</x:v>
      </x:c>
      <x:c r="H2231" s="19" t="str">
        <x:v>D:/Codex/GRL研究/outputs/grid47/GRID47_report.md</x:v>
      </x:c>
    </x:row>
    <x:row r="2232" ht="36" customHeight="1">
      <x:c r="A2232" s="19" t="str">
        <x:v>GRID47</x:v>
      </x:c>
      <x:c r="B2232" s="19" t="str">
        <x:v>GRID47_report.md</x:v>
      </x:c>
      <x:c r="C2232" s="19" t="str">
        <x:v>1. GRID47 既有作者阈值回补的质量与速度</x:v>
      </x:c>
      <x:c r="D2232" s="19" t="str">
        <x:v>方法=LOCAL_GNN1；控制秒总计=310.316</x:v>
      </x:c>
      <x:c r="E2232" s="19" t="str">
        <x:v>质量筛查通过</x:v>
      </x:c>
      <x:c r="F2232" s="19" t="str">
        <x:v>4/4</x:v>
      </x:c>
      <x:c r="G2232" s="19" t="str">
        <x:v>质量/成本</x:v>
      </x:c>
      <x:c r="H2232" s="19" t="str">
        <x:v>D:/Codex/GRL研究/outputs/grid47/GRID47_report.md</x:v>
      </x:c>
    </x:row>
    <x:row r="2233" ht="36" customHeight="1">
      <x:c r="A2233" s="19" t="str">
        <x:v>GRID47</x:v>
      </x:c>
      <x:c r="B2233" s="19" t="str">
        <x:v>GRID47_report.md</x:v>
      </x:c>
      <x:c r="C2233" s="19" t="str">
        <x:v>1. GRID47 既有作者阈值回补的质量与速度</x:v>
      </x:c>
      <x:c r="D2233" s="19" t="str">
        <x:v>方法=LOCAL_GNN1；控制秒总计=310.316</x:v>
      </x:c>
      <x:c r="E2233" s="19" t="str">
        <x:v>完成</x:v>
      </x:c>
      <x:c r="F2233" s="19" t="str">
        <x:v>3/4</x:v>
      </x:c>
      <x:c r="G2233" s="19" t="str">
        <x:v>质量/成本</x:v>
      </x:c>
      <x:c r="H2233" s="19" t="str">
        <x:v>D:/Codex/GRL研究/outputs/grid47/GRID47_report.md</x:v>
      </x:c>
    </x:row>
    <x:row r="2234" ht="36" customHeight="1">
      <x:c r="A2234" s="19" t="str">
        <x:v>GRID47</x:v>
      </x:c>
      <x:c r="B2234" s="19" t="str">
        <x:v>GRID47_report.md</x:v>
      </x:c>
      <x:c r="C2234" s="19" t="str">
        <x:v>1. GRID47 既有作者阈值回补的质量与速度</x:v>
      </x:c>
      <x:c r="D2234" s="19" t="str">
        <x:v>方法=LOCAL_GNN1；控制秒总计=310.316</x:v>
      </x:c>
      <x:c r="E2234" s="19" t="str">
        <x:v>最大可比成本差</x:v>
      </x:c>
      <x:c r="F2234" s="19" t="str">
        <x:v>0.00000%</x:v>
      </x:c>
      <x:c r="G2234" s="19" t="str">
        <x:v>质量/成本</x:v>
      </x:c>
      <x:c r="H2234" s="19" t="str">
        <x:v>D:/Codex/GRL研究/outputs/grid47/GRID47_report.md</x:v>
      </x:c>
    </x:row>
    <x:row r="2235" ht="36" customHeight="1">
      <x:c r="A2235" s="19" t="str">
        <x:v>GRID47</x:v>
      </x:c>
      <x:c r="B2235" s="19" t="str">
        <x:v>GRID47_report.md</x:v>
      </x:c>
      <x:c r="C2235" s="19" t="str">
        <x:v>1. GRID47 既有作者阈值回补的质量与速度</x:v>
      </x:c>
      <x:c r="D2235" s="19" t="str">
        <x:v>方法=SOFTGNN0；控制秒总计=301.067</x:v>
      </x:c>
      <x:c r="E2235" s="19" t="str">
        <x:v>控制秒总计</x:v>
      </x:c>
      <x:c r="F2235" s="19" t="str">
        <x:v>301.067</x:v>
      </x:c>
      <x:c r="G2235" s="19" t="str">
        <x:v>速度/计算</x:v>
      </x:c>
      <x:c r="H2235" s="19" t="str">
        <x:v>D:/Codex/GRL研究/outputs/grid47/GRID47_report.md</x:v>
      </x:c>
    </x:row>
    <x:row r="2236" ht="36" customHeight="1">
      <x:c r="A2236" s="19" t="str">
        <x:v>GRID47</x:v>
      </x:c>
      <x:c r="B2236" s="19" t="str">
        <x:v>GRID47_report.md</x:v>
      </x:c>
      <x:c r="C2236" s="19" t="str">
        <x:v>1. GRID47 既有作者阈值回补的质量与速度</x:v>
      </x:c>
      <x:c r="D2236" s="19" t="str">
        <x:v>方法=SOFTGNN0；控制秒总计=301.067</x:v>
      </x:c>
      <x:c r="E2236" s="19" t="str">
        <x:v>查询</x:v>
      </x:c>
      <x:c r="F2236" s="19" t="str">
        <x:v>15251</x:v>
      </x:c>
      <x:c r="G2236" s="19" t="str">
        <x:v>速度/计算</x:v>
      </x:c>
      <x:c r="H2236" s="19" t="str">
        <x:v>D:/Codex/GRL研究/outputs/grid47/GRID47_report.md</x:v>
      </x:c>
    </x:row>
    <x:row r="2237" ht="36" customHeight="1">
      <x:c r="A2237" s="19" t="str">
        <x:v>GRID47</x:v>
      </x:c>
      <x:c r="B2237" s="19" t="str">
        <x:v>GRID47_report.md</x:v>
      </x:c>
      <x:c r="C2237" s="19" t="str">
        <x:v>1. GRID47 既有作者阈值回补的质量与速度</x:v>
      </x:c>
      <x:c r="D2237" s="19" t="str">
        <x:v>方法=SOFTGNN0；控制秒总计=301.067</x:v>
      </x:c>
      <x:c r="E2237" s="19" t="str">
        <x:v>质量筛查通过</x:v>
      </x:c>
      <x:c r="F2237" s="19" t="str">
        <x:v>3/4</x:v>
      </x:c>
      <x:c r="G2237" s="19" t="str">
        <x:v>质量/成本</x:v>
      </x:c>
      <x:c r="H2237" s="19" t="str">
        <x:v>D:/Codex/GRL研究/outputs/grid47/GRID47_report.md</x:v>
      </x:c>
    </x:row>
    <x:row r="2238" ht="36" customHeight="1">
      <x:c r="A2238" s="19" t="str">
        <x:v>GRID47</x:v>
      </x:c>
      <x:c r="B2238" s="19" t="str">
        <x:v>GRID47_report.md</x:v>
      </x:c>
      <x:c r="C2238" s="19" t="str">
        <x:v>1. GRID47 既有作者阈值回补的质量与速度</x:v>
      </x:c>
      <x:c r="D2238" s="19" t="str">
        <x:v>方法=SOFTGNN0；控制秒总计=301.067</x:v>
      </x:c>
      <x:c r="E2238" s="19" t="str">
        <x:v>完成</x:v>
      </x:c>
      <x:c r="F2238" s="19" t="str">
        <x:v>3/4</x:v>
      </x:c>
      <x:c r="G2238" s="19" t="str">
        <x:v>质量/成本</x:v>
      </x:c>
      <x:c r="H2238" s="19" t="str">
        <x:v>D:/Codex/GRL研究/outputs/grid47/GRID47_report.md</x:v>
      </x:c>
    </x:row>
    <x:row r="2239" ht="36" customHeight="1">
      <x:c r="A2239" s="19" t="str">
        <x:v>GRID47</x:v>
      </x:c>
      <x:c r="B2239" s="19" t="str">
        <x:v>GRID47_report.md</x:v>
      </x:c>
      <x:c r="C2239" s="19" t="str">
        <x:v>1. GRID47 既有作者阈值回补的质量与速度</x:v>
      </x:c>
      <x:c r="D2239" s="19" t="str">
        <x:v>方法=SOFTGNN0；控制秒总计=301.067</x:v>
      </x:c>
      <x:c r="E2239" s="19" t="str">
        <x:v>最大可比成本差</x:v>
      </x:c>
      <x:c r="F2239" s="19" t="str">
        <x:v>1.29005%</x:v>
      </x:c>
      <x:c r="G2239" s="19" t="str">
        <x:v>质量/成本</x:v>
      </x:c>
      <x:c r="H2239" s="19" t="str">
        <x:v>D:/Codex/GRL研究/outputs/grid47/GRID47_report.md</x:v>
      </x:c>
    </x:row>
    <x:row r="2240" ht="36" customHeight="1">
      <x:c r="A2240" s="19" t="str">
        <x:v>GRID47</x:v>
      </x:c>
      <x:c r="B2240" s="19" t="str">
        <x:v>GRID47_report.md</x:v>
      </x:c>
      <x:c r="C2240" s="19" t="str">
        <x:v>1. GRID47 既有作者阈值回补的质量与速度</x:v>
      </x:c>
      <x:c r="D2240" s="19" t="str">
        <x:v>方法=SOFTGNN1；控制秒总计=313.987</x:v>
      </x:c>
      <x:c r="E2240" s="19" t="str">
        <x:v>控制秒总计</x:v>
      </x:c>
      <x:c r="F2240" s="19" t="str">
        <x:v>313.987</x:v>
      </x:c>
      <x:c r="G2240" s="19" t="str">
        <x:v>速度/计算</x:v>
      </x:c>
      <x:c r="H2240" s="19" t="str">
        <x:v>D:/Codex/GRL研究/outputs/grid47/GRID47_report.md</x:v>
      </x:c>
    </x:row>
    <x:row r="2241" ht="36" customHeight="1">
      <x:c r="A2241" s="19" t="str">
        <x:v>GRID47</x:v>
      </x:c>
      <x:c r="B2241" s="19" t="str">
        <x:v>GRID47_report.md</x:v>
      </x:c>
      <x:c r="C2241" s="19" t="str">
        <x:v>1. GRID47 既有作者阈值回补的质量与速度</x:v>
      </x:c>
      <x:c r="D2241" s="19" t="str">
        <x:v>方法=SOFTGNN1；控制秒总计=313.987</x:v>
      </x:c>
      <x:c r="E2241" s="19" t="str">
        <x:v>查询</x:v>
      </x:c>
      <x:c r="F2241" s="19" t="str">
        <x:v>16057</x:v>
      </x:c>
      <x:c r="G2241" s="19" t="str">
        <x:v>速度/计算</x:v>
      </x:c>
      <x:c r="H2241" s="19" t="str">
        <x:v>D:/Codex/GRL研究/outputs/grid47/GRID47_report.md</x:v>
      </x:c>
    </x:row>
    <x:row r="2242" ht="36" customHeight="1">
      <x:c r="A2242" s="19" t="str">
        <x:v>GRID47</x:v>
      </x:c>
      <x:c r="B2242" s="19" t="str">
        <x:v>GRID47_report.md</x:v>
      </x:c>
      <x:c r="C2242" s="19" t="str">
        <x:v>1. GRID47 既有作者阈值回补的质量与速度</x:v>
      </x:c>
      <x:c r="D2242" s="19" t="str">
        <x:v>方法=SOFTGNN1；控制秒总计=313.987</x:v>
      </x:c>
      <x:c r="E2242" s="19" t="str">
        <x:v>质量筛查通过</x:v>
      </x:c>
      <x:c r="F2242" s="19" t="str">
        <x:v>3/4</x:v>
      </x:c>
      <x:c r="G2242" s="19" t="str">
        <x:v>质量/成本</x:v>
      </x:c>
      <x:c r="H2242" s="19" t="str">
        <x:v>D:/Codex/GRL研究/outputs/grid47/GRID47_report.md</x:v>
      </x:c>
    </x:row>
    <x:row r="2243" ht="36" customHeight="1">
      <x:c r="A2243" s="19" t="str">
        <x:v>GRID47</x:v>
      </x:c>
      <x:c r="B2243" s="19" t="str">
        <x:v>GRID47_report.md</x:v>
      </x:c>
      <x:c r="C2243" s="19" t="str">
        <x:v>1. GRID47 既有作者阈值回补的质量与速度</x:v>
      </x:c>
      <x:c r="D2243" s="19" t="str">
        <x:v>方法=SOFTGNN1；控制秒总计=313.987</x:v>
      </x:c>
      <x:c r="E2243" s="19" t="str">
        <x:v>完成</x:v>
      </x:c>
      <x:c r="F2243" s="19" t="str">
        <x:v>3/4</x:v>
      </x:c>
      <x:c r="G2243" s="19" t="str">
        <x:v>质量/成本</x:v>
      </x:c>
      <x:c r="H2243" s="19" t="str">
        <x:v>D:/Codex/GRL研究/outputs/grid47/GRID47_report.md</x:v>
      </x:c>
    </x:row>
    <x:row r="2244" ht="36" customHeight="1">
      <x:c r="A2244" s="19" t="str">
        <x:v>GRID47</x:v>
      </x:c>
      <x:c r="B2244" s="19" t="str">
        <x:v>GRID47_report.md</x:v>
      </x:c>
      <x:c r="C2244" s="19" t="str">
        <x:v>1. GRID47 既有作者阈值回补的质量与速度</x:v>
      </x:c>
      <x:c r="D2244" s="19" t="str">
        <x:v>方法=SOFTGNN1；控制秒总计=313.987</x:v>
      </x:c>
      <x:c r="E2244" s="19" t="str">
        <x:v>最大可比成本差</x:v>
      </x:c>
      <x:c r="F2244" s="19" t="str">
        <x:v>6.19453%</x:v>
      </x:c>
      <x:c r="G2244" s="19" t="str">
        <x:v>质量/成本</x:v>
      </x:c>
      <x:c r="H2244" s="19" t="str">
        <x:v>D:/Codex/GRL研究/outputs/grid47/GRID47_report.md</x:v>
      </x:c>
    </x:row>
    <x:row r="2245" ht="36" customHeight="1">
      <x:c r="A2245" s="19" t="str">
        <x:v>GRID47</x:v>
      </x:c>
      <x:c r="B2245" s="19" t="str">
        <x:v>GRID47_report.md</x:v>
      </x:c>
      <x:c r="C2245" s="19" t="str">
        <x:v>1. GRID47 既有作者阈值回补的质量与速度</x:v>
      </x:c>
      <x:c r="D2245" s="19" t="str">
        <x:v>方法=LOCAL_PPO；控制秒总计=306.968</x:v>
      </x:c>
      <x:c r="E2245" s="19" t="str">
        <x:v>控制秒总计</x:v>
      </x:c>
      <x:c r="F2245" s="19" t="str">
        <x:v>306.968</x:v>
      </x:c>
      <x:c r="G2245" s="19" t="str">
        <x:v>速度/计算</x:v>
      </x:c>
      <x:c r="H2245" s="19" t="str">
        <x:v>D:/Codex/GRL研究/outputs/grid47/GRID47_report.md</x:v>
      </x:c>
    </x:row>
    <x:row r="2246" ht="36" customHeight="1">
      <x:c r="A2246" s="19" t="str">
        <x:v>GRID47</x:v>
      </x:c>
      <x:c r="B2246" s="19" t="str">
        <x:v>GRID47_report.md</x:v>
      </x:c>
      <x:c r="C2246" s="19" t="str">
        <x:v>1. GRID47 既有作者阈值回补的质量与速度</x:v>
      </x:c>
      <x:c r="D2246" s="19" t="str">
        <x:v>方法=LOCAL_PPO；控制秒总计=306.968</x:v>
      </x:c>
      <x:c r="E2246" s="19" t="str">
        <x:v>查询</x:v>
      </x:c>
      <x:c r="F2246" s="19" t="str">
        <x:v>14893</x:v>
      </x:c>
      <x:c r="G2246" s="19" t="str">
        <x:v>速度/计算</x:v>
      </x:c>
      <x:c r="H2246" s="19" t="str">
        <x:v>D:/Codex/GRL研究/outputs/grid47/GRID47_report.md</x:v>
      </x:c>
    </x:row>
    <x:row r="2247" ht="36" customHeight="1">
      <x:c r="A2247" s="19" t="str">
        <x:v>GRID47</x:v>
      </x:c>
      <x:c r="B2247" s="19" t="str">
        <x:v>GRID47_report.md</x:v>
      </x:c>
      <x:c r="C2247" s="19" t="str">
        <x:v>1. GRID47 既有作者阈值回补的质量与速度</x:v>
      </x:c>
      <x:c r="D2247" s="19" t="str">
        <x:v>方法=LOCAL_PPO；控制秒总计=306.968</x:v>
      </x:c>
      <x:c r="E2247" s="19" t="str">
        <x:v>质量筛查通过</x:v>
      </x:c>
      <x:c r="F2247" s="19" t="str">
        <x:v>4/4</x:v>
      </x:c>
      <x:c r="G2247" s="19" t="str">
        <x:v>质量/成本</x:v>
      </x:c>
      <x:c r="H2247" s="19" t="str">
        <x:v>D:/Codex/GRL研究/outputs/grid47/GRID47_report.md</x:v>
      </x:c>
    </x:row>
    <x:row r="2248" ht="36" customHeight="1">
      <x:c r="A2248" s="19" t="str">
        <x:v>GRID47</x:v>
      </x:c>
      <x:c r="B2248" s="19" t="str">
        <x:v>GRID47_report.md</x:v>
      </x:c>
      <x:c r="C2248" s="19" t="str">
        <x:v>1. GRID47 既有作者阈值回补的质量与速度</x:v>
      </x:c>
      <x:c r="D2248" s="19" t="str">
        <x:v>方法=LOCAL_PPO；控制秒总计=306.968</x:v>
      </x:c>
      <x:c r="E2248" s="19" t="str">
        <x:v>完成</x:v>
      </x:c>
      <x:c r="F2248" s="19" t="str">
        <x:v>3/4</x:v>
      </x:c>
      <x:c r="G2248" s="19" t="str">
        <x:v>质量/成本</x:v>
      </x:c>
      <x:c r="H2248" s="19" t="str">
        <x:v>D:/Codex/GRL研究/outputs/grid47/GRID47_report.md</x:v>
      </x:c>
    </x:row>
    <x:row r="2249" ht="36" customHeight="1">
      <x:c r="A2249" s="19" t="str">
        <x:v>GRID47</x:v>
      </x:c>
      <x:c r="B2249" s="19" t="str">
        <x:v>GRID47_report.md</x:v>
      </x:c>
      <x:c r="C2249" s="19" t="str">
        <x:v>1. GRID47 既有作者阈值回补的质量与速度</x:v>
      </x:c>
      <x:c r="D2249" s="19" t="str">
        <x:v>方法=LOCAL_PPO；控制秒总计=306.968</x:v>
      </x:c>
      <x:c r="E2249" s="19" t="str">
        <x:v>最大可比成本差</x:v>
      </x:c>
      <x:c r="F2249" s="19" t="str">
        <x:v>0.00000%</x:v>
      </x:c>
      <x:c r="G2249" s="19" t="str">
        <x:v>质量/成本</x:v>
      </x:c>
      <x:c r="H2249" s="19" t="str">
        <x:v>D:/Codex/GRL研究/outputs/grid47/GRID47_report.md</x:v>
      </x:c>
    </x:row>
    <x:row r="2250" ht="36" customHeight="1">
      <x:c r="A2250" s="19" t="str">
        <x:v>GRID47</x:v>
      </x:c>
      <x:c r="B2250" s="19" t="str">
        <x:v>GRID47_report.md</x:v>
      </x:c>
      <x:c r="C2250" s="19" t="str">
        <x:v>2. GRID47 既有作者阈值回补的质量与速度</x:v>
      </x:c>
      <x:c r="D2250" s="19" t="str">
        <x:v>方法=LOCAL_GNN0；对照=FULL</x:v>
      </x:c>
      <x:c r="E2250" s="19" t="str">
        <x:v>对照</x:v>
      </x:c>
      <x:c r="F2250" s="19" t="str">
        <x:v>FULL</x:v>
      </x:c>
      <x:c r="G2250" s="19" t="str">
        <x:v>其他/配置</x:v>
      </x:c>
      <x:c r="H2250" s="19" t="str">
        <x:v>D:/Codex/GRL研究/outputs/grid47/GRID47_report.md</x:v>
      </x:c>
    </x:row>
    <x:row r="2251" ht="36" customHeight="1">
      <x:c r="A2251" s="19" t="str">
        <x:v>GRID47</x:v>
      </x:c>
      <x:c r="B2251" s="19" t="str">
        <x:v>GRID47_report.md</x:v>
      </x:c>
      <x:c r="C2251" s="19" t="str">
        <x:v>2. GRID47 既有作者阈值回补的质量与速度</x:v>
      </x:c>
      <x:c r="D2251" s="19" t="str">
        <x:v>方法=LOCAL_GNN0；对照=FULL</x:v>
      </x:c>
      <x:c r="E2251" s="19" t="str">
        <x:v>控制时间减少</x:v>
      </x:c>
      <x:c r="F2251" s="19" t="str">
        <x:v>3.458%</x:v>
      </x:c>
      <x:c r="G2251" s="19" t="str">
        <x:v>速度/计算</x:v>
      </x:c>
      <x:c r="H2251" s="19" t="str">
        <x:v>D:/Codex/GRL研究/outputs/grid47/GRID47_report.md</x:v>
      </x:c>
    </x:row>
    <x:row r="2252" ht="36" customHeight="1">
      <x:c r="A2252" s="19" t="str">
        <x:v>GRID47</x:v>
      </x:c>
      <x:c r="B2252" s="19" t="str">
        <x:v>GRID47_report.md</x:v>
      </x:c>
      <x:c r="C2252" s="19" t="str">
        <x:v>2. GRID47 既有作者阈值回补的质量与速度</x:v>
      </x:c>
      <x:c r="D2252" s="19" t="str">
        <x:v>方法=LOCAL_GNN0；对照=FULL</x:v>
      </x:c>
      <x:c r="E2252" s="19" t="str">
        <x:v>查询减少</x:v>
      </x:c>
      <x:c r="F2252" s="19" t="str">
        <x:v>34.093%</x:v>
      </x:c>
      <x:c r="G2252" s="19" t="str">
        <x:v>速度/计算</x:v>
      </x:c>
      <x:c r="H2252" s="19" t="str">
        <x:v>D:/Codex/GRL研究/outputs/grid47/GRID47_report.md</x:v>
      </x:c>
    </x:row>
    <x:row r="2253" ht="36" customHeight="1">
      <x:c r="A2253" s="19" t="str">
        <x:v>GRID47</x:v>
      </x:c>
      <x:c r="B2253" s="19" t="str">
        <x:v>GRID47_report.md</x:v>
      </x:c>
      <x:c r="C2253" s="19" t="str">
        <x:v>2. GRID47 既有作者阈值回补的质量与速度</x:v>
      </x:c>
      <x:c r="D2253" s="19" t="str">
        <x:v>方法=LOCAL_GNN0；对照=FULL</x:v>
      </x:c>
      <x:c r="E2253" s="19" t="str">
        <x:v>时间正向配对</x:v>
      </x:c>
      <x:c r="F2253" s="19" t="str">
        <x:v>4/4</x:v>
      </x:c>
      <x:c r="G2253" s="19" t="str">
        <x:v>速度/计算</x:v>
      </x:c>
      <x:c r="H2253" s="19" t="str">
        <x:v>D:/Codex/GRL研究/outputs/grid47/GRID47_report.md</x:v>
      </x:c>
    </x:row>
    <x:row r="2254" ht="36" customHeight="1">
      <x:c r="A2254" s="19" t="str">
        <x:v>GRID47</x:v>
      </x:c>
      <x:c r="B2254" s="19" t="str">
        <x:v>GRID47_report.md</x:v>
      </x:c>
      <x:c r="C2254" s="19" t="str">
        <x:v>2. GRID47 既有作者阈值回补的质量与速度</x:v>
      </x:c>
      <x:c r="D2254" s="19" t="str">
        <x:v>方法=LOCAL_GNN1；对照=FULL</x:v>
      </x:c>
      <x:c r="E2254" s="19" t="str">
        <x:v>对照</x:v>
      </x:c>
      <x:c r="F2254" s="19" t="str">
        <x:v>FULL</x:v>
      </x:c>
      <x:c r="G2254" s="19" t="str">
        <x:v>其他/配置</x:v>
      </x:c>
      <x:c r="H2254" s="19" t="str">
        <x:v>D:/Codex/GRL研究/outputs/grid47/GRID47_report.md</x:v>
      </x:c>
    </x:row>
    <x:row r="2255" ht="36" customHeight="1">
      <x:c r="A2255" s="19" t="str">
        <x:v>GRID47</x:v>
      </x:c>
      <x:c r="B2255" s="19" t="str">
        <x:v>GRID47_report.md</x:v>
      </x:c>
      <x:c r="C2255" s="19" t="str">
        <x:v>2. GRID47 既有作者阈值回补的质量与速度</x:v>
      </x:c>
      <x:c r="D2255" s="19" t="str">
        <x:v>方法=LOCAL_GNN1；对照=FULL</x:v>
      </x:c>
      <x:c r="E2255" s="19" t="str">
        <x:v>控制时间减少</x:v>
      </x:c>
      <x:c r="F2255" s="19" t="str">
        <x:v>3.530%</x:v>
      </x:c>
      <x:c r="G2255" s="19" t="str">
        <x:v>速度/计算</x:v>
      </x:c>
      <x:c r="H2255" s="19" t="str">
        <x:v>D:/Codex/GRL研究/outputs/grid47/GRID47_report.md</x:v>
      </x:c>
    </x:row>
    <x:row r="2256" ht="36" customHeight="1">
      <x:c r="A2256" s="19" t="str">
        <x:v>GRID47</x:v>
      </x:c>
      <x:c r="B2256" s="19" t="str">
        <x:v>GRID47_report.md</x:v>
      </x:c>
      <x:c r="C2256" s="19" t="str">
        <x:v>2. GRID47 既有作者阈值回补的质量与速度</x:v>
      </x:c>
      <x:c r="D2256" s="19" t="str">
        <x:v>方法=LOCAL_GNN1；对照=FULL</x:v>
      </x:c>
      <x:c r="E2256" s="19" t="str">
        <x:v>查询减少</x:v>
      </x:c>
      <x:c r="F2256" s="19" t="str">
        <x:v>34.093%</x:v>
      </x:c>
      <x:c r="G2256" s="19" t="str">
        <x:v>速度/计算</x:v>
      </x:c>
      <x:c r="H2256" s="19" t="str">
        <x:v>D:/Codex/GRL研究/outputs/grid47/GRID47_report.md</x:v>
      </x:c>
    </x:row>
    <x:row r="2257" ht="36" customHeight="1">
      <x:c r="A2257" s="19" t="str">
        <x:v>GRID47</x:v>
      </x:c>
      <x:c r="B2257" s="19" t="str">
        <x:v>GRID47_report.md</x:v>
      </x:c>
      <x:c r="C2257" s="19" t="str">
        <x:v>2. GRID47 既有作者阈值回补的质量与速度</x:v>
      </x:c>
      <x:c r="D2257" s="19" t="str">
        <x:v>方法=LOCAL_GNN1；对照=FULL</x:v>
      </x:c>
      <x:c r="E2257" s="19" t="str">
        <x:v>时间正向配对</x:v>
      </x:c>
      <x:c r="F2257" s="19" t="str">
        <x:v>3/4</x:v>
      </x:c>
      <x:c r="G2257" s="19" t="str">
        <x:v>速度/计算</x:v>
      </x:c>
      <x:c r="H2257" s="19" t="str">
        <x:v>D:/Codex/GRL研究/outputs/grid47/GRID47_report.md</x:v>
      </x:c>
    </x:row>
    <x:row r="2258" ht="36" customHeight="1">
      <x:c r="A2258" s="19" t="str">
        <x:v>GRID47</x:v>
      </x:c>
      <x:c r="B2258" s="19" t="str">
        <x:v>GRID47_report.md</x:v>
      </x:c>
      <x:c r="C2258" s="19" t="str">
        <x:v>2. GRID47 既有作者阈值回补的质量与速度</x:v>
      </x:c>
      <x:c r="D2258" s="19" t="str">
        <x:v>方法=SOFTGNN0；对照=FULL</x:v>
      </x:c>
      <x:c r="E2258" s="19" t="str">
        <x:v>对照</x:v>
      </x:c>
      <x:c r="F2258" s="19" t="str">
        <x:v>FULL</x:v>
      </x:c>
      <x:c r="G2258" s="19" t="str">
        <x:v>其他/配置</x:v>
      </x:c>
      <x:c r="H2258" s="19" t="str">
        <x:v>D:/Codex/GRL研究/outputs/grid47/GRID47_report.md</x:v>
      </x:c>
    </x:row>
    <x:row r="2259" ht="36" customHeight="1">
      <x:c r="A2259" s="19" t="str">
        <x:v>GRID47</x:v>
      </x:c>
      <x:c r="B2259" s="19" t="str">
        <x:v>GRID47_report.md</x:v>
      </x:c>
      <x:c r="C2259" s="19" t="str">
        <x:v>2. GRID47 既有作者阈值回补的质量与速度</x:v>
      </x:c>
      <x:c r="D2259" s="19" t="str">
        <x:v>方法=SOFTGNN0；对照=FULL</x:v>
      </x:c>
      <x:c r="E2259" s="19" t="str">
        <x:v>控制时间减少</x:v>
      </x:c>
      <x:c r="F2259" s="19" t="str">
        <x:v>6.406%</x:v>
      </x:c>
      <x:c r="G2259" s="19" t="str">
        <x:v>速度/计算</x:v>
      </x:c>
      <x:c r="H2259" s="19" t="str">
        <x:v>D:/Codex/GRL研究/outputs/grid47/GRID47_report.md</x:v>
      </x:c>
    </x:row>
    <x:row r="2260" ht="36" customHeight="1">
      <x:c r="A2260" s="19" t="str">
        <x:v>GRID47</x:v>
      </x:c>
      <x:c r="B2260" s="19" t="str">
        <x:v>GRID47_report.md</x:v>
      </x:c>
      <x:c r="C2260" s="19" t="str">
        <x:v>2. GRID47 既有作者阈值回补的质量与速度</x:v>
      </x:c>
      <x:c r="D2260" s="19" t="str">
        <x:v>方法=SOFTGNN0；对照=FULL</x:v>
      </x:c>
      <x:c r="E2260" s="19" t="str">
        <x:v>查询减少</x:v>
      </x:c>
      <x:c r="F2260" s="19" t="str">
        <x:v>32.509%</x:v>
      </x:c>
      <x:c r="G2260" s="19" t="str">
        <x:v>速度/计算</x:v>
      </x:c>
      <x:c r="H2260" s="19" t="str">
        <x:v>D:/Codex/GRL研究/outputs/grid47/GRID47_report.md</x:v>
      </x:c>
    </x:row>
    <x:row r="2261" ht="36" customHeight="1">
      <x:c r="A2261" s="19" t="str">
        <x:v>GRID47</x:v>
      </x:c>
      <x:c r="B2261" s="19" t="str">
        <x:v>GRID47_report.md</x:v>
      </x:c>
      <x:c r="C2261" s="19" t="str">
        <x:v>2. GRID47 既有作者阈值回补的质量与速度</x:v>
      </x:c>
      <x:c r="D2261" s="19" t="str">
        <x:v>方法=SOFTGNN0；对照=FULL</x:v>
      </x:c>
      <x:c r="E2261" s="19" t="str">
        <x:v>时间正向配对</x:v>
      </x:c>
      <x:c r="F2261" s="19" t="str">
        <x:v>4/4</x:v>
      </x:c>
      <x:c r="G2261" s="19" t="str">
        <x:v>速度/计算</x:v>
      </x:c>
      <x:c r="H2261" s="19" t="str">
        <x:v>D:/Codex/GRL研究/outputs/grid47/GRID47_report.md</x:v>
      </x:c>
    </x:row>
    <x:row r="2262" ht="36" customHeight="1">
      <x:c r="A2262" s="19" t="str">
        <x:v>GRID47</x:v>
      </x:c>
      <x:c r="B2262" s="19" t="str">
        <x:v>GRID47_report.md</x:v>
      </x:c>
      <x:c r="C2262" s="19" t="str">
        <x:v>2. GRID47 既有作者阈值回补的质量与速度</x:v>
      </x:c>
      <x:c r="D2262" s="19" t="str">
        <x:v>方法=SOFTGNN1；对照=FULL</x:v>
      </x:c>
      <x:c r="E2262" s="19" t="str">
        <x:v>对照</x:v>
      </x:c>
      <x:c r="F2262" s="19" t="str">
        <x:v>FULL</x:v>
      </x:c>
      <x:c r="G2262" s="19" t="str">
        <x:v>其他/配置</x:v>
      </x:c>
      <x:c r="H2262" s="19" t="str">
        <x:v>D:/Codex/GRL研究/outputs/grid47/GRID47_report.md</x:v>
      </x:c>
    </x:row>
    <x:row r="2263" ht="36" customHeight="1">
      <x:c r="A2263" s="19" t="str">
        <x:v>GRID47</x:v>
      </x:c>
      <x:c r="B2263" s="19" t="str">
        <x:v>GRID47_report.md</x:v>
      </x:c>
      <x:c r="C2263" s="19" t="str">
        <x:v>2. GRID47 既有作者阈值回补的质量与速度</x:v>
      </x:c>
      <x:c r="D2263" s="19" t="str">
        <x:v>方法=SOFTGNN1；对照=FULL</x:v>
      </x:c>
      <x:c r="E2263" s="19" t="str">
        <x:v>控制时间减少</x:v>
      </x:c>
      <x:c r="F2263" s="19" t="str">
        <x:v>2.389%</x:v>
      </x:c>
      <x:c r="G2263" s="19" t="str">
        <x:v>速度/计算</x:v>
      </x:c>
      <x:c r="H2263" s="19" t="str">
        <x:v>D:/Codex/GRL研究/outputs/grid47/GRID47_report.md</x:v>
      </x:c>
    </x:row>
    <x:row r="2264" ht="36" customHeight="1">
      <x:c r="A2264" s="19" t="str">
        <x:v>GRID47</x:v>
      </x:c>
      <x:c r="B2264" s="19" t="str">
        <x:v>GRID47_report.md</x:v>
      </x:c>
      <x:c r="C2264" s="19" t="str">
        <x:v>2. GRID47 既有作者阈值回补的质量与速度</x:v>
      </x:c>
      <x:c r="D2264" s="19" t="str">
        <x:v>方法=SOFTGNN1；对照=FULL</x:v>
      </x:c>
      <x:c r="E2264" s="19" t="str">
        <x:v>查询减少</x:v>
      </x:c>
      <x:c r="F2264" s="19" t="str">
        <x:v>28.942%</x:v>
      </x:c>
      <x:c r="G2264" s="19" t="str">
        <x:v>速度/计算</x:v>
      </x:c>
      <x:c r="H2264" s="19" t="str">
        <x:v>D:/Codex/GRL研究/outputs/grid47/GRID47_report.md</x:v>
      </x:c>
    </x:row>
    <x:row r="2265" ht="36" customHeight="1">
      <x:c r="A2265" s="19" t="str">
        <x:v>GRID47</x:v>
      </x:c>
      <x:c r="B2265" s="19" t="str">
        <x:v>GRID47_report.md</x:v>
      </x:c>
      <x:c r="C2265" s="19" t="str">
        <x:v>2. GRID47 既有作者阈值回补的质量与速度</x:v>
      </x:c>
      <x:c r="D2265" s="19" t="str">
        <x:v>方法=SOFTGNN1；对照=FULL</x:v>
      </x:c>
      <x:c r="E2265" s="19" t="str">
        <x:v>时间正向配对</x:v>
      </x:c>
      <x:c r="F2265" s="19" t="str">
        <x:v>3/4</x:v>
      </x:c>
      <x:c r="G2265" s="19" t="str">
        <x:v>速度/计算</x:v>
      </x:c>
      <x:c r="H2265" s="19" t="str">
        <x:v>D:/Codex/GRL研究/outputs/grid47/GRID47_report.md</x:v>
      </x:c>
    </x:row>
    <x:row r="2266" ht="36" customHeight="1">
      <x:c r="A2266" s="19" t="str">
        <x:v>GRID47</x:v>
      </x:c>
      <x:c r="B2266" s="19" t="str">
        <x:v>GRID47_report.md</x:v>
      </x:c>
      <x:c r="C2266" s="19" t="str">
        <x:v>2. GRID47 既有作者阈值回补的质量与速度</x:v>
      </x:c>
      <x:c r="D2266" s="19" t="str">
        <x:v>方法=LOCAL_GNN0；对照=SOFTGNN0</x:v>
      </x:c>
      <x:c r="E2266" s="19" t="str">
        <x:v>对照</x:v>
      </x:c>
      <x:c r="F2266" s="19" t="str">
        <x:v>SOFTGNN0</x:v>
      </x:c>
      <x:c r="G2266" s="19" t="str">
        <x:v>其他/配置</x:v>
      </x:c>
      <x:c r="H2266" s="19" t="str">
        <x:v>D:/Codex/GRL研究/outputs/grid47/GRID47_report.md</x:v>
      </x:c>
    </x:row>
    <x:row r="2267" ht="36" customHeight="1">
      <x:c r="A2267" s="19" t="str">
        <x:v>GRID47</x:v>
      </x:c>
      <x:c r="B2267" s="19" t="str">
        <x:v>GRID47_report.md</x:v>
      </x:c>
      <x:c r="C2267" s="19" t="str">
        <x:v>2. GRID47 既有作者阈值回补的质量与速度</x:v>
      </x:c>
      <x:c r="D2267" s="19" t="str">
        <x:v>方法=LOCAL_GNN0；对照=SOFTGNN0</x:v>
      </x:c>
      <x:c r="E2267" s="19" t="str">
        <x:v>控制时间减少</x:v>
      </x:c>
      <x:c r="F2267" s="19" t="str">
        <x:v>-3.149%</x:v>
      </x:c>
      <x:c r="G2267" s="19" t="str">
        <x:v>速度/计算</x:v>
      </x:c>
      <x:c r="H2267" s="19" t="str">
        <x:v>D:/Codex/GRL研究/outputs/grid47/GRID47_report.md</x:v>
      </x:c>
    </x:row>
    <x:row r="2268" ht="36" customHeight="1">
      <x:c r="A2268" s="19" t="str">
        <x:v>GRID47</x:v>
      </x:c>
      <x:c r="B2268" s="19" t="str">
        <x:v>GRID47_report.md</x:v>
      </x:c>
      <x:c r="C2268" s="19" t="str">
        <x:v>2. GRID47 既有作者阈值回补的质量与速度</x:v>
      </x:c>
      <x:c r="D2268" s="19" t="str">
        <x:v>方法=LOCAL_GNN0；对照=SOFTGNN0</x:v>
      </x:c>
      <x:c r="E2268" s="19" t="str">
        <x:v>查询减少</x:v>
      </x:c>
      <x:c r="F2268" s="19" t="str">
        <x:v>2.347%</x:v>
      </x:c>
      <x:c r="G2268" s="19" t="str">
        <x:v>速度/计算</x:v>
      </x:c>
      <x:c r="H2268" s="19" t="str">
        <x:v>D:/Codex/GRL研究/outputs/grid47/GRID47_report.md</x:v>
      </x:c>
    </x:row>
    <x:row r="2269" ht="36" customHeight="1">
      <x:c r="A2269" s="19" t="str">
        <x:v>GRID47</x:v>
      </x:c>
      <x:c r="B2269" s="19" t="str">
        <x:v>GRID47_report.md</x:v>
      </x:c>
      <x:c r="C2269" s="19" t="str">
        <x:v>2. GRID47 既有作者阈值回补的质量与速度</x:v>
      </x:c>
      <x:c r="D2269" s="19" t="str">
        <x:v>方法=LOCAL_GNN0；对照=SOFTGNN0</x:v>
      </x:c>
      <x:c r="E2269" s="19" t="str">
        <x:v>时间正向配对</x:v>
      </x:c>
      <x:c r="F2269" s="19" t="str">
        <x:v>0/4</x:v>
      </x:c>
      <x:c r="G2269" s="19" t="str">
        <x:v>速度/计算</x:v>
      </x:c>
      <x:c r="H2269" s="19" t="str">
        <x:v>D:/Codex/GRL研究/outputs/grid47/GRID47_report.md</x:v>
      </x:c>
    </x:row>
    <x:row r="2270" ht="36" customHeight="1">
      <x:c r="A2270" s="19" t="str">
        <x:v>GRID47</x:v>
      </x:c>
      <x:c r="B2270" s="19" t="str">
        <x:v>GRID47_report.md</x:v>
      </x:c>
      <x:c r="C2270" s="19" t="str">
        <x:v>2. GRID47 既有作者阈值回补的质量与速度</x:v>
      </x:c>
      <x:c r="D2270" s="19" t="str">
        <x:v>方法=LOCAL_GNN0；对照=SOFTGNN1</x:v>
      </x:c>
      <x:c r="E2270" s="19" t="str">
        <x:v>对照</x:v>
      </x:c>
      <x:c r="F2270" s="19" t="str">
        <x:v>SOFTGNN1</x:v>
      </x:c>
      <x:c r="G2270" s="19" t="str">
        <x:v>其他/配置</x:v>
      </x:c>
      <x:c r="H2270" s="19" t="str">
        <x:v>D:/Codex/GRL研究/outputs/grid47/GRID47_report.md</x:v>
      </x:c>
    </x:row>
    <x:row r="2271" ht="36" customHeight="1">
      <x:c r="A2271" s="19" t="str">
        <x:v>GRID47</x:v>
      </x:c>
      <x:c r="B2271" s="19" t="str">
        <x:v>GRID47_report.md</x:v>
      </x:c>
      <x:c r="C2271" s="19" t="str">
        <x:v>2. GRID47 既有作者阈值回补的质量与速度</x:v>
      </x:c>
      <x:c r="D2271" s="19" t="str">
        <x:v>方法=LOCAL_GNN0；对照=SOFTGNN1</x:v>
      </x:c>
      <x:c r="E2271" s="19" t="str">
        <x:v>控制时间减少</x:v>
      </x:c>
      <x:c r="F2271" s="19" t="str">
        <x:v>1.095%</x:v>
      </x:c>
      <x:c r="G2271" s="19" t="str">
        <x:v>速度/计算</x:v>
      </x:c>
      <x:c r="H2271" s="19" t="str">
        <x:v>D:/Codex/GRL研究/outputs/grid47/GRID47_report.md</x:v>
      </x:c>
    </x:row>
    <x:row r="2272" ht="36" customHeight="1">
      <x:c r="A2272" s="19" t="str">
        <x:v>GRID47</x:v>
      </x:c>
      <x:c r="B2272" s="19" t="str">
        <x:v>GRID47_report.md</x:v>
      </x:c>
      <x:c r="C2272" s="19" t="str">
        <x:v>2. GRID47 既有作者阈值回补的质量与速度</x:v>
      </x:c>
      <x:c r="D2272" s="19" t="str">
        <x:v>方法=LOCAL_GNN0；对照=SOFTGNN1</x:v>
      </x:c>
      <x:c r="E2272" s="19" t="str">
        <x:v>查询减少</x:v>
      </x:c>
      <x:c r="F2272" s="19" t="str">
        <x:v>7.249%</x:v>
      </x:c>
      <x:c r="G2272" s="19" t="str">
        <x:v>速度/计算</x:v>
      </x:c>
      <x:c r="H2272" s="19" t="str">
        <x:v>D:/Codex/GRL研究/outputs/grid47/GRID47_report.md</x:v>
      </x:c>
    </x:row>
    <x:row r="2273" ht="36" customHeight="1">
      <x:c r="A2273" s="19" t="str">
        <x:v>GRID47</x:v>
      </x:c>
      <x:c r="B2273" s="19" t="str">
        <x:v>GRID47_report.md</x:v>
      </x:c>
      <x:c r="C2273" s="19" t="str">
        <x:v>2. GRID47 既有作者阈值回补的质量与速度</x:v>
      </x:c>
      <x:c r="D2273" s="19" t="str">
        <x:v>方法=LOCAL_GNN0；对照=SOFTGNN1</x:v>
      </x:c>
      <x:c r="E2273" s="19" t="str">
        <x:v>时间正向配对</x:v>
      </x:c>
      <x:c r="F2273" s="19" t="str">
        <x:v>1/4</x:v>
      </x:c>
      <x:c r="G2273" s="19" t="str">
        <x:v>速度/计算</x:v>
      </x:c>
      <x:c r="H2273" s="19" t="str">
        <x:v>D:/Codex/GRL研究/outputs/grid47/GRID47_report.md</x:v>
      </x:c>
    </x:row>
    <x:row r="2274" ht="36" customHeight="1">
      <x:c r="A2274" s="19" t="str">
        <x:v>GRID47</x:v>
      </x:c>
      <x:c r="B2274" s="19" t="str">
        <x:v>GRID47_report.md</x:v>
      </x:c>
      <x:c r="C2274" s="19" t="str">
        <x:v>2. GRID47 既有作者阈值回补的质量与速度</x:v>
      </x:c>
      <x:c r="D2274" s="19" t="str">
        <x:v>方法=LOCAL_GNN1；对照=SOFTGNN0</x:v>
      </x:c>
      <x:c r="E2274" s="19" t="str">
        <x:v>对照</x:v>
      </x:c>
      <x:c r="F2274" s="19" t="str">
        <x:v>SOFTGNN0</x:v>
      </x:c>
      <x:c r="G2274" s="19" t="str">
        <x:v>其他/配置</x:v>
      </x:c>
      <x:c r="H2274" s="19" t="str">
        <x:v>D:/Codex/GRL研究/outputs/grid47/GRID47_report.md</x:v>
      </x:c>
    </x:row>
    <x:row r="2275" ht="36" customHeight="1">
      <x:c r="A2275" s="19" t="str">
        <x:v>GRID47</x:v>
      </x:c>
      <x:c r="B2275" s="19" t="str">
        <x:v>GRID47_report.md</x:v>
      </x:c>
      <x:c r="C2275" s="19" t="str">
        <x:v>2. GRID47 既有作者阈值回补的质量与速度</x:v>
      </x:c>
      <x:c r="D2275" s="19" t="str">
        <x:v>方法=LOCAL_GNN1；对照=SOFTGNN0</x:v>
      </x:c>
      <x:c r="E2275" s="19" t="str">
        <x:v>控制时间减少</x:v>
      </x:c>
      <x:c r="F2275" s="19" t="str">
        <x:v>-3.072%</x:v>
      </x:c>
      <x:c r="G2275" s="19" t="str">
        <x:v>速度/计算</x:v>
      </x:c>
      <x:c r="H2275" s="19" t="str">
        <x:v>D:/Codex/GRL研究/outputs/grid47/GRID47_report.md</x:v>
      </x:c>
    </x:row>
    <x:row r="2276" ht="36" customHeight="1">
      <x:c r="A2276" s="19" t="str">
        <x:v>GRID47</x:v>
      </x:c>
      <x:c r="B2276" s="19" t="str">
        <x:v>GRID47_report.md</x:v>
      </x:c>
      <x:c r="C2276" s="19" t="str">
        <x:v>2. GRID47 既有作者阈值回补的质量与速度</x:v>
      </x:c>
      <x:c r="D2276" s="19" t="str">
        <x:v>方法=LOCAL_GNN1；对照=SOFTGNN0</x:v>
      </x:c>
      <x:c r="E2276" s="19" t="str">
        <x:v>查询减少</x:v>
      </x:c>
      <x:c r="F2276" s="19" t="str">
        <x:v>2.347%</x:v>
      </x:c>
      <x:c r="G2276" s="19" t="str">
        <x:v>速度/计算</x:v>
      </x:c>
      <x:c r="H2276" s="19" t="str">
        <x:v>D:/Codex/GRL研究/outputs/grid47/GRID47_report.md</x:v>
      </x:c>
    </x:row>
    <x:row r="2277" ht="36" customHeight="1">
      <x:c r="A2277" s="19" t="str">
        <x:v>GRID47</x:v>
      </x:c>
      <x:c r="B2277" s="19" t="str">
        <x:v>GRID47_report.md</x:v>
      </x:c>
      <x:c r="C2277" s="19" t="str">
        <x:v>2. GRID47 既有作者阈值回补的质量与速度</x:v>
      </x:c>
      <x:c r="D2277" s="19" t="str">
        <x:v>方法=LOCAL_GNN1；对照=SOFTGNN0</x:v>
      </x:c>
      <x:c r="E2277" s="19" t="str">
        <x:v>时间正向配对</x:v>
      </x:c>
      <x:c r="F2277" s="19" t="str">
        <x:v>0/4</x:v>
      </x:c>
      <x:c r="G2277" s="19" t="str">
        <x:v>速度/计算</x:v>
      </x:c>
      <x:c r="H2277" s="19" t="str">
        <x:v>D:/Codex/GRL研究/outputs/grid47/GRID47_report.md</x:v>
      </x:c>
    </x:row>
    <x:row r="2278" ht="36" customHeight="1">
      <x:c r="A2278" s="19" t="str">
        <x:v>GRID47</x:v>
      </x:c>
      <x:c r="B2278" s="19" t="str">
        <x:v>GRID47_report.md</x:v>
      </x:c>
      <x:c r="C2278" s="19" t="str">
        <x:v>2. GRID47 既有作者阈值回补的质量与速度</x:v>
      </x:c>
      <x:c r="D2278" s="19" t="str">
        <x:v>方法=LOCAL_GNN1；对照=SOFTGNN1</x:v>
      </x:c>
      <x:c r="E2278" s="19" t="str">
        <x:v>对照</x:v>
      </x:c>
      <x:c r="F2278" s="19" t="str">
        <x:v>SOFTGNN1</x:v>
      </x:c>
      <x:c r="G2278" s="19" t="str">
        <x:v>其他/配置</x:v>
      </x:c>
      <x:c r="H2278" s="19" t="str">
        <x:v>D:/Codex/GRL研究/outputs/grid47/GRID47_report.md</x:v>
      </x:c>
    </x:row>
    <x:row r="2279" ht="36" customHeight="1">
      <x:c r="A2279" s="19" t="str">
        <x:v>GRID47</x:v>
      </x:c>
      <x:c r="B2279" s="19" t="str">
        <x:v>GRID47_report.md</x:v>
      </x:c>
      <x:c r="C2279" s="19" t="str">
        <x:v>2. GRID47 既有作者阈值回补的质量与速度</x:v>
      </x:c>
      <x:c r="D2279" s="19" t="str">
        <x:v>方法=LOCAL_GNN1；对照=SOFTGNN1</x:v>
      </x:c>
      <x:c r="E2279" s="19" t="str">
        <x:v>控制时间减少</x:v>
      </x:c>
      <x:c r="F2279" s="19" t="str">
        <x:v>1.169%</x:v>
      </x:c>
      <x:c r="G2279" s="19" t="str">
        <x:v>速度/计算</x:v>
      </x:c>
      <x:c r="H2279" s="19" t="str">
        <x:v>D:/Codex/GRL研究/outputs/grid47/GRID47_report.md</x:v>
      </x:c>
    </x:row>
    <x:row r="2280" ht="36" customHeight="1">
      <x:c r="A2280" s="19" t="str">
        <x:v>GRID47</x:v>
      </x:c>
      <x:c r="B2280" s="19" t="str">
        <x:v>GRID47_report.md</x:v>
      </x:c>
      <x:c r="C2280" s="19" t="str">
        <x:v>2. GRID47 既有作者阈值回补的质量与速度</x:v>
      </x:c>
      <x:c r="D2280" s="19" t="str">
        <x:v>方法=LOCAL_GNN1；对照=SOFTGNN1</x:v>
      </x:c>
      <x:c r="E2280" s="19" t="str">
        <x:v>查询减少</x:v>
      </x:c>
      <x:c r="F2280" s="19" t="str">
        <x:v>7.249%</x:v>
      </x:c>
      <x:c r="G2280" s="19" t="str">
        <x:v>速度/计算</x:v>
      </x:c>
      <x:c r="H2280" s="19" t="str">
        <x:v>D:/Codex/GRL研究/outputs/grid47/GRID47_report.md</x:v>
      </x:c>
    </x:row>
    <x:row r="2281" ht="36" customHeight="1">
      <x:c r="A2281" s="19" t="str">
        <x:v>GRID47</x:v>
      </x:c>
      <x:c r="B2281" s="19" t="str">
        <x:v>GRID47_report.md</x:v>
      </x:c>
      <x:c r="C2281" s="19" t="str">
        <x:v>2. GRID47 既有作者阈值回补的质量与速度</x:v>
      </x:c>
      <x:c r="D2281" s="19" t="str">
        <x:v>方法=LOCAL_GNN1；对照=SOFTGNN1</x:v>
      </x:c>
      <x:c r="E2281" s="19" t="str">
        <x:v>时间正向配对</x:v>
      </x:c>
      <x:c r="F2281" s="19" t="str">
        <x:v>1/4</x:v>
      </x:c>
      <x:c r="G2281" s="19" t="str">
        <x:v>速度/计算</x:v>
      </x:c>
      <x:c r="H2281" s="19" t="str">
        <x:v>D:/Codex/GRL研究/outputs/grid47/GRID47_report.md</x:v>
      </x:c>
    </x:row>
    <x:row r="2282" ht="36" customHeight="1">
      <x:c r="A2282" s="19" t="str">
        <x:v>GRID47</x:v>
      </x:c>
      <x:c r="B2282" s="19" t="str">
        <x:v>GRID47_report.md</x:v>
      </x:c>
      <x:c r="C2282" s="19" t="str">
        <x:v>2. GRID47 既有作者阈值回补的质量与速度</x:v>
      </x:c>
      <x:c r="D2282" s="19" t="str">
        <x:v>方法=LOCAL_PPO；对照=FULL</x:v>
      </x:c>
      <x:c r="E2282" s="19" t="str">
        <x:v>对照</x:v>
      </x:c>
      <x:c r="F2282" s="19" t="str">
        <x:v>FULL</x:v>
      </x:c>
      <x:c r="G2282" s="19" t="str">
        <x:v>其他/配置</x:v>
      </x:c>
      <x:c r="H2282" s="19" t="str">
        <x:v>D:/Codex/GRL研究/outputs/grid47/GRID47_report.md</x:v>
      </x:c>
    </x:row>
    <x:row r="2283" ht="36" customHeight="1">
      <x:c r="A2283" s="19" t="str">
        <x:v>GRID47</x:v>
      </x:c>
      <x:c r="B2283" s="19" t="str">
        <x:v>GRID47_report.md</x:v>
      </x:c>
      <x:c r="C2283" s="19" t="str">
        <x:v>2. GRID47 既有作者阈值回补的质量与速度</x:v>
      </x:c>
      <x:c r="D2283" s="19" t="str">
        <x:v>方法=LOCAL_PPO；对照=FULL</x:v>
      </x:c>
      <x:c r="E2283" s="19" t="str">
        <x:v>控制时间减少</x:v>
      </x:c>
      <x:c r="F2283" s="19" t="str">
        <x:v>4.571%</x:v>
      </x:c>
      <x:c r="G2283" s="19" t="str">
        <x:v>速度/计算</x:v>
      </x:c>
      <x:c r="H2283" s="19" t="str">
        <x:v>D:/Codex/GRL研究/outputs/grid47/GRID47_report.md</x:v>
      </x:c>
    </x:row>
    <x:row r="2284" ht="36" customHeight="1">
      <x:c r="A2284" s="19" t="str">
        <x:v>GRID47</x:v>
      </x:c>
      <x:c r="B2284" s="19" t="str">
        <x:v>GRID47_report.md</x:v>
      </x:c>
      <x:c r="C2284" s="19" t="str">
        <x:v>2. GRID47 既有作者阈值回补的质量与速度</x:v>
      </x:c>
      <x:c r="D2284" s="19" t="str">
        <x:v>方法=LOCAL_PPO；对照=FULL</x:v>
      </x:c>
      <x:c r="E2284" s="19" t="str">
        <x:v>查询减少</x:v>
      </x:c>
      <x:c r="F2284" s="19" t="str">
        <x:v>34.093%</x:v>
      </x:c>
      <x:c r="G2284" s="19" t="str">
        <x:v>速度/计算</x:v>
      </x:c>
      <x:c r="H2284" s="19" t="str">
        <x:v>D:/Codex/GRL研究/outputs/grid47/GRID47_report.md</x:v>
      </x:c>
    </x:row>
    <x:row r="2285" ht="36" customHeight="1">
      <x:c r="A2285" s="19" t="str">
        <x:v>GRID47</x:v>
      </x:c>
      <x:c r="B2285" s="19" t="str">
        <x:v>GRID47_report.md</x:v>
      </x:c>
      <x:c r="C2285" s="19" t="str">
        <x:v>2. GRID47 既有作者阈值回补的质量与速度</x:v>
      </x:c>
      <x:c r="D2285" s="19" t="str">
        <x:v>方法=LOCAL_PPO；对照=FULL</x:v>
      </x:c>
      <x:c r="E2285" s="19" t="str">
        <x:v>时间正向配对</x:v>
      </x:c>
      <x:c r="F2285" s="19" t="str">
        <x:v>4/4</x:v>
      </x:c>
      <x:c r="G2285" s="19" t="str">
        <x:v>速度/计算</x:v>
      </x:c>
      <x:c r="H2285" s="19" t="str">
        <x:v>D:/Codex/GRL研究/outputs/grid47/GRID47_report.md</x:v>
      </x:c>
    </x:row>
    <x:row r="2286" ht="36" customHeight="1">
      <x:c r="A2286" s="19" t="str">
        <x:v>GRID47</x:v>
      </x:c>
      <x:c r="B2286" s="19" t="str">
        <x:v>GRID47_report.md</x:v>
      </x:c>
      <x:c r="C2286" s="19" t="str">
        <x:v>2. GRID47 既有作者阈值回补的质量与速度</x:v>
      </x:c>
      <x:c r="D2286" s="19" t="str">
        <x:v>方法=LOCAL_GNN0；对照=LOCAL_PPO</x:v>
      </x:c>
      <x:c r="E2286" s="19" t="str">
        <x:v>对照</x:v>
      </x:c>
      <x:c r="F2286" s="19" t="str">
        <x:v>LOCAL_PPO</x:v>
      </x:c>
      <x:c r="G2286" s="19" t="str">
        <x:v>其他/配置</x:v>
      </x:c>
      <x:c r="H2286" s="19" t="str">
        <x:v>D:/Codex/GRL研究/outputs/grid47/GRID47_report.md</x:v>
      </x:c>
    </x:row>
    <x:row r="2287" ht="36" customHeight="1">
      <x:c r="A2287" s="19" t="str">
        <x:v>GRID47</x:v>
      </x:c>
      <x:c r="B2287" s="19" t="str">
        <x:v>GRID47_report.md</x:v>
      </x:c>
      <x:c r="C2287" s="19" t="str">
        <x:v>2. GRID47 既有作者阈值回补的质量与速度</x:v>
      </x:c>
      <x:c r="D2287" s="19" t="str">
        <x:v>方法=LOCAL_GNN0；对照=LOCAL_PPO</x:v>
      </x:c>
      <x:c r="E2287" s="19" t="str">
        <x:v>控制时间减少</x:v>
      </x:c>
      <x:c r="F2287" s="19" t="str">
        <x:v>-1.166%</x:v>
      </x:c>
      <x:c r="G2287" s="19" t="str">
        <x:v>速度/计算</x:v>
      </x:c>
      <x:c r="H2287" s="19" t="str">
        <x:v>D:/Codex/GRL研究/outputs/grid47/GRID47_report.md</x:v>
      </x:c>
    </x:row>
    <x:row r="2288" ht="36" customHeight="1">
      <x:c r="A2288" s="19" t="str">
        <x:v>GRID47</x:v>
      </x:c>
      <x:c r="B2288" s="19" t="str">
        <x:v>GRID47_report.md</x:v>
      </x:c>
      <x:c r="C2288" s="19" t="str">
        <x:v>2. GRID47 既有作者阈值回补的质量与速度</x:v>
      </x:c>
      <x:c r="D2288" s="19" t="str">
        <x:v>方法=LOCAL_GNN0；对照=LOCAL_PPO</x:v>
      </x:c>
      <x:c r="E2288" s="19" t="str">
        <x:v>查询减少</x:v>
      </x:c>
      <x:c r="F2288" s="19" t="str">
        <x:v>0.000%</x:v>
      </x:c>
      <x:c r="G2288" s="19" t="str">
        <x:v>速度/计算</x:v>
      </x:c>
      <x:c r="H2288" s="19" t="str">
        <x:v>D:/Codex/GRL研究/outputs/grid47/GRID47_report.md</x:v>
      </x:c>
    </x:row>
    <x:row r="2289" ht="36" customHeight="1">
      <x:c r="A2289" s="19" t="str">
        <x:v>GRID47</x:v>
      </x:c>
      <x:c r="B2289" s="19" t="str">
        <x:v>GRID47_report.md</x:v>
      </x:c>
      <x:c r="C2289" s="19" t="str">
        <x:v>2. GRID47 既有作者阈值回补的质量与速度</x:v>
      </x:c>
      <x:c r="D2289" s="19" t="str">
        <x:v>方法=LOCAL_GNN0；对照=LOCAL_PPO</x:v>
      </x:c>
      <x:c r="E2289" s="19" t="str">
        <x:v>时间正向配对</x:v>
      </x:c>
      <x:c r="F2289" s="19" t="str">
        <x:v>1/4</x:v>
      </x:c>
      <x:c r="G2289" s="19" t="str">
        <x:v>速度/计算</x:v>
      </x:c>
      <x:c r="H2289" s="19" t="str">
        <x:v>D:/Codex/GRL研究/outputs/grid47/GRID47_report.md</x:v>
      </x:c>
    </x:row>
    <x:row r="2290" ht="36" customHeight="1">
      <x:c r="A2290" s="19" t="str">
        <x:v>GRID47</x:v>
      </x:c>
      <x:c r="B2290" s="19" t="str">
        <x:v>GRID47_report.md</x:v>
      </x:c>
      <x:c r="C2290" s="19" t="str">
        <x:v>2. GRID47 既有作者阈值回补的质量与速度</x:v>
      </x:c>
      <x:c r="D2290" s="19" t="str">
        <x:v>方法=LOCAL_GNN1；对照=LOCAL_PPO</x:v>
      </x:c>
      <x:c r="E2290" s="19" t="str">
        <x:v>对照</x:v>
      </x:c>
      <x:c r="F2290" s="19" t="str">
        <x:v>LOCAL_PPO</x:v>
      </x:c>
      <x:c r="G2290" s="19" t="str">
        <x:v>其他/配置</x:v>
      </x:c>
      <x:c r="H2290" s="19" t="str">
        <x:v>D:/Codex/GRL研究/outputs/grid47/GRID47_report.md</x:v>
      </x:c>
    </x:row>
    <x:row r="2291" ht="36" customHeight="1">
      <x:c r="A2291" s="19" t="str">
        <x:v>GRID47</x:v>
      </x:c>
      <x:c r="B2291" s="19" t="str">
        <x:v>GRID47_report.md</x:v>
      </x:c>
      <x:c r="C2291" s="19" t="str">
        <x:v>2. GRID47 既有作者阈值回补的质量与速度</x:v>
      </x:c>
      <x:c r="D2291" s="19" t="str">
        <x:v>方法=LOCAL_GNN1；对照=LOCAL_PPO</x:v>
      </x:c>
      <x:c r="E2291" s="19" t="str">
        <x:v>控制时间减少</x:v>
      </x:c>
      <x:c r="F2291" s="19" t="str">
        <x:v>-1.091%</x:v>
      </x:c>
      <x:c r="G2291" s="19" t="str">
        <x:v>速度/计算</x:v>
      </x:c>
      <x:c r="H2291" s="19" t="str">
        <x:v>D:/Codex/GRL研究/outputs/grid47/GRID47_report.md</x:v>
      </x:c>
    </x:row>
    <x:row r="2292" ht="36" customHeight="1">
      <x:c r="A2292" s="19" t="str">
        <x:v>GRID47</x:v>
      </x:c>
      <x:c r="B2292" s="19" t="str">
        <x:v>GRID47_report.md</x:v>
      </x:c>
      <x:c r="C2292" s="19" t="str">
        <x:v>2. GRID47 既有作者阈值回补的质量与速度</x:v>
      </x:c>
      <x:c r="D2292" s="19" t="str">
        <x:v>方法=LOCAL_GNN1；对照=LOCAL_PPO</x:v>
      </x:c>
      <x:c r="E2292" s="19" t="str">
        <x:v>查询减少</x:v>
      </x:c>
      <x:c r="F2292" s="19" t="str">
        <x:v>0.000%</x:v>
      </x:c>
      <x:c r="G2292" s="19" t="str">
        <x:v>速度/计算</x:v>
      </x:c>
      <x:c r="H2292" s="19" t="str">
        <x:v>D:/Codex/GRL研究/outputs/grid47/GRID47_report.md</x:v>
      </x:c>
    </x:row>
    <x:row r="2293" ht="36" customHeight="1">
      <x:c r="A2293" s="19" t="str">
        <x:v>GRID47</x:v>
      </x:c>
      <x:c r="B2293" s="19" t="str">
        <x:v>GRID47_report.md</x:v>
      </x:c>
      <x:c r="C2293" s="19" t="str">
        <x:v>2. GRID47 既有作者阈值回补的质量与速度</x:v>
      </x:c>
      <x:c r="D2293" s="19" t="str">
        <x:v>方法=LOCAL_GNN1；对照=LOCAL_PPO</x:v>
      </x:c>
      <x:c r="E2293" s="19" t="str">
        <x:v>时间正向配对</x:v>
      </x:c>
      <x:c r="F2293" s="19" t="str">
        <x:v>2/4</x:v>
      </x:c>
      <x:c r="G2293" s="19" t="str">
        <x:v>速度/计算</x:v>
      </x:c>
      <x:c r="H2293" s="19" t="str">
        <x:v>D:/Codex/GRL研究/outputs/grid47/GRID47_report.md</x:v>
      </x:c>
    </x:row>
    <x:row r="2294" ht="36" customHeight="1">
      <x:c r="A2294" s="19" t="str">
        <x:v>GRID48</x:v>
      </x:c>
      <x:c r="B2294" s="19" t="str">
        <x:v>GRID48_report.md</x:v>
      </x:c>
      <x:c r="C2294" s="19" t="str">
        <x:v>1. GRID48 原快速结构下的一次残差评分改动</x:v>
      </x:c>
      <x:c r="D2294" s="19" t="str">
        <x:v>种子=0；原固定终点训练目标=5.79744</x:v>
      </x:c>
      <x:c r="E2294" s="19" t="str">
        <x:v>原固定终点训练目标</x:v>
      </x:c>
      <x:c r="F2294" s="19" t="str">
        <x:v>5.79744</x:v>
      </x:c>
      <x:c r="G2294" s="19" t="str">
        <x:v>其他/配置</x:v>
      </x:c>
      <x:c r="H2294" s="19" t="str">
        <x:v>D:/Codex/GRL研究/outputs/grid48/GRID48_report.md</x:v>
      </x:c>
    </x:row>
    <x:row r="2295" ht="36" customHeight="1">
      <x:c r="A2295" s="19" t="str">
        <x:v>GRID48</x:v>
      </x:c>
      <x:c r="B2295" s="19" t="str">
        <x:v>GRID48_report.md</x:v>
      </x:c>
      <x:c r="C2295" s="19" t="str">
        <x:v>1. GRID48 原快速结构下的一次残差评分改动</x:v>
      </x:c>
      <x:c r="D2295" s="19" t="str">
        <x:v>种子=0；原固定终点训练目标=5.79744</x:v>
      </x:c>
      <x:c r="E2295" s="19" t="str">
        <x:v>新固定终点训练目标</x:v>
      </x:c>
      <x:c r="F2295" s="19" t="str">
        <x:v>5.66190</x:v>
      </x:c>
      <x:c r="G2295" s="19" t="str">
        <x:v>其他/配置</x:v>
      </x:c>
      <x:c r="H2295" s="19" t="str">
        <x:v>D:/Codex/GRL研究/outputs/grid48/GRID48_report.md</x:v>
      </x:c>
    </x:row>
    <x:row r="2296" ht="36" customHeight="1">
      <x:c r="A2296" s="19" t="str">
        <x:v>GRID48</x:v>
      </x:c>
      <x:c r="B2296" s="19" t="str">
        <x:v>GRID48_report.md</x:v>
      </x:c>
      <x:c r="C2296" s="19" t="str">
        <x:v>1. GRID48 原快速结构下的一次残差评分改动</x:v>
      </x:c>
      <x:c r="D2296" s="19" t="str">
        <x:v>种子=0；原固定终点训练目标=5.79744</x:v>
      </x:c>
      <x:c r="E2296" s="19" t="str">
        <x:v>开发原查询</x:v>
      </x:c>
      <x:c r="F2296" s="19" t="str">
        <x:v>7358</x:v>
      </x:c>
      <x:c r="G2296" s="19" t="str">
        <x:v>速度/计算</x:v>
      </x:c>
      <x:c r="H2296" s="19" t="str">
        <x:v>D:/Codex/GRL研究/outputs/grid48/GRID48_report.md</x:v>
      </x:c>
    </x:row>
    <x:row r="2297" ht="36" customHeight="1">
      <x:c r="A2297" s="19" t="str">
        <x:v>GRID48</x:v>
      </x:c>
      <x:c r="B2297" s="19" t="str">
        <x:v>GRID48_report.md</x:v>
      </x:c>
      <x:c r="C2297" s="19" t="str">
        <x:v>1. GRID48 原快速结构下的一次残差评分改动</x:v>
      </x:c>
      <x:c r="D2297" s="19" t="str">
        <x:v>种子=0；原固定终点训练目标=5.79744</x:v>
      </x:c>
      <x:c r="E2297" s="19" t="str">
        <x:v>新查询</x:v>
      </x:c>
      <x:c r="F2297" s="19" t="str">
        <x:v>7385</x:v>
      </x:c>
      <x:c r="G2297" s="19" t="str">
        <x:v>速度/计算</x:v>
      </x:c>
      <x:c r="H2297" s="19" t="str">
        <x:v>D:/Codex/GRL研究/outputs/grid48/GRID48_report.md</x:v>
      </x:c>
    </x:row>
    <x:row r="2298" ht="36" customHeight="1">
      <x:c r="A2298" s="19" t="str">
        <x:v>GRID48</x:v>
      </x:c>
      <x:c r="B2298" s="19" t="str">
        <x:v>GRID48_report.md</x:v>
      </x:c>
      <x:c r="C2298" s="19" t="str">
        <x:v>1. GRID48 原快速结构下的一次残差评分改动</x:v>
      </x:c>
      <x:c r="D2298" s="19" t="str">
        <x:v>种子=0；原固定终点训练目标=5.79744</x:v>
      </x:c>
      <x:c r="E2298" s="19" t="str">
        <x:v>同FULL选择 原→新</x:v>
      </x:c>
      <x:c r="F2298" s="19" t="str">
        <x:v>24→25 /26</x:v>
      </x:c>
      <x:c r="G2298" s="19" t="str">
        <x:v>质量/成本</x:v>
      </x:c>
      <x:c r="H2298" s="19" t="str">
        <x:v>D:/Codex/GRL研究/outputs/grid48/GRID48_report.md</x:v>
      </x:c>
    </x:row>
    <x:row r="2299" ht="36" customHeight="1">
      <x:c r="A2299" s="19" t="str">
        <x:v>GRID48</x:v>
      </x:c>
      <x:c r="B2299" s="19" t="str">
        <x:v>GRID48_report.md</x:v>
      </x:c>
      <x:c r="C2299" s="19" t="str">
        <x:v>1. GRID48 原快速结构下的一次残差评分改动</x:v>
      </x:c>
      <x:c r="D2299" s="19" t="str">
        <x:v>种子=1；原固定终点训练目标=5.80153</x:v>
      </x:c>
      <x:c r="E2299" s="19" t="str">
        <x:v>原固定终点训练目标</x:v>
      </x:c>
      <x:c r="F2299" s="19" t="str">
        <x:v>5.80153</x:v>
      </x:c>
      <x:c r="G2299" s="19" t="str">
        <x:v>其他/配置</x:v>
      </x:c>
      <x:c r="H2299" s="19" t="str">
        <x:v>D:/Codex/GRL研究/outputs/grid48/GRID48_report.md</x:v>
      </x:c>
    </x:row>
    <x:row r="2300" ht="36" customHeight="1">
      <x:c r="A2300" s="19" t="str">
        <x:v>GRID48</x:v>
      </x:c>
      <x:c r="B2300" s="19" t="str">
        <x:v>GRID48_report.md</x:v>
      </x:c>
      <x:c r="C2300" s="19" t="str">
        <x:v>1. GRID48 原快速结构下的一次残差评分改动</x:v>
      </x:c>
      <x:c r="D2300" s="19" t="str">
        <x:v>种子=1；原固定终点训练目标=5.80153</x:v>
      </x:c>
      <x:c r="E2300" s="19" t="str">
        <x:v>新固定终点训练目标</x:v>
      </x:c>
      <x:c r="F2300" s="19" t="str">
        <x:v>5.63738</x:v>
      </x:c>
      <x:c r="G2300" s="19" t="str">
        <x:v>其他/配置</x:v>
      </x:c>
      <x:c r="H2300" s="19" t="str">
        <x:v>D:/Codex/GRL研究/outputs/grid48/GRID48_report.md</x:v>
      </x:c>
    </x:row>
    <x:row r="2301" ht="36" customHeight="1">
      <x:c r="A2301" s="19" t="str">
        <x:v>GRID48</x:v>
      </x:c>
      <x:c r="B2301" s="19" t="str">
        <x:v>GRID48_report.md</x:v>
      </x:c>
      <x:c r="C2301" s="19" t="str">
        <x:v>1. GRID48 原快速结构下的一次残差评分改动</x:v>
      </x:c>
      <x:c r="D2301" s="19" t="str">
        <x:v>种子=1；原固定终点训练目标=5.80153</x:v>
      </x:c>
      <x:c r="E2301" s="19" t="str">
        <x:v>开发原查询</x:v>
      </x:c>
      <x:c r="F2301" s="19" t="str">
        <x:v>7530</x:v>
      </x:c>
      <x:c r="G2301" s="19" t="str">
        <x:v>速度/计算</x:v>
      </x:c>
      <x:c r="H2301" s="19" t="str">
        <x:v>D:/Codex/GRL研究/outputs/grid48/GRID48_report.md</x:v>
      </x:c>
    </x:row>
    <x:row r="2302" ht="36" customHeight="1">
      <x:c r="A2302" s="19" t="str">
        <x:v>GRID48</x:v>
      </x:c>
      <x:c r="B2302" s="19" t="str">
        <x:v>GRID48_report.md</x:v>
      </x:c>
      <x:c r="C2302" s="19" t="str">
        <x:v>1. GRID48 原快速结构下的一次残差评分改动</x:v>
      </x:c>
      <x:c r="D2302" s="19" t="str">
        <x:v>种子=1；原固定终点训练目标=5.80153</x:v>
      </x:c>
      <x:c r="E2302" s="19" t="str">
        <x:v>新查询</x:v>
      </x:c>
      <x:c r="F2302" s="19" t="str">
        <x:v>7279</x:v>
      </x:c>
      <x:c r="G2302" s="19" t="str">
        <x:v>速度/计算</x:v>
      </x:c>
      <x:c r="H2302" s="19" t="str">
        <x:v>D:/Codex/GRL研究/outputs/grid48/GRID48_report.md</x:v>
      </x:c>
    </x:row>
    <x:row r="2303" ht="36" customHeight="1">
      <x:c r="A2303" s="19" t="str">
        <x:v>GRID48</x:v>
      </x:c>
      <x:c r="B2303" s="19" t="str">
        <x:v>GRID48_report.md</x:v>
      </x:c>
      <x:c r="C2303" s="19" t="str">
        <x:v>1. GRID48 原快速结构下的一次残差评分改动</x:v>
      </x:c>
      <x:c r="D2303" s="19" t="str">
        <x:v>种子=1；原固定终点训练目标=5.80153</x:v>
      </x:c>
      <x:c r="E2303" s="19" t="str">
        <x:v>同FULL选择 原→新</x:v>
      </x:c>
      <x:c r="F2303" s="19" t="str">
        <x:v>25→24 /26</x:v>
      </x:c>
      <x:c r="G2303" s="19" t="str">
        <x:v>质量/成本</x:v>
      </x:c>
      <x:c r="H2303" s="19" t="str">
        <x:v>D:/Codex/GRL研究/outputs/grid48/GRID48_report.md</x:v>
      </x:c>
    </x:row>
    <x:row r="2304" ht="36" customHeight="1">
      <x:c r="A2304" s="19" t="str">
        <x:v>GRID50</x:v>
      </x:c>
      <x:c r="B2304" s="19" t="str">
        <x:v>GRID50_report.md</x:v>
      </x:c>
      <x:c r="C2304" s="19" t="str">
        <x:v>1. GRID50 原快速结构下的一次残差评分改动</x:v>
      </x:c>
      <x:c r="D2304" s="19" t="str">
        <x:v>种子=0；原固定终点训练目标=5.79744</x:v>
      </x:c>
      <x:c r="E2304" s="19" t="str">
        <x:v>原固定终点训练目标</x:v>
      </x:c>
      <x:c r="F2304" s="19" t="str">
        <x:v>5.79744</x:v>
      </x:c>
      <x:c r="G2304" s="19" t="str">
        <x:v>其他/配置</x:v>
      </x:c>
      <x:c r="H2304" s="19" t="str">
        <x:v>D:/Codex/GRL研究/outputs/grid50/GRID50_report.md</x:v>
      </x:c>
    </x:row>
    <x:row r="2305" ht="36" customHeight="1">
      <x:c r="A2305" s="19" t="str">
        <x:v>GRID50</x:v>
      </x:c>
      <x:c r="B2305" s="19" t="str">
        <x:v>GRID50_report.md</x:v>
      </x:c>
      <x:c r="C2305" s="19" t="str">
        <x:v>1. GRID50 原快速结构下的一次残差评分改动</x:v>
      </x:c>
      <x:c r="D2305" s="19" t="str">
        <x:v>种子=0；原固定终点训练目标=5.79744</x:v>
      </x:c>
      <x:c r="E2305" s="19" t="str">
        <x:v>新固定终点训练目标</x:v>
      </x:c>
      <x:c r="F2305" s="19" t="str">
        <x:v>5.72329</x:v>
      </x:c>
      <x:c r="G2305" s="19" t="str">
        <x:v>其他/配置</x:v>
      </x:c>
      <x:c r="H2305" s="19" t="str">
        <x:v>D:/Codex/GRL研究/outputs/grid50/GRID50_report.md</x:v>
      </x:c>
    </x:row>
    <x:row r="2306" ht="36" customHeight="1">
      <x:c r="A2306" s="19" t="str">
        <x:v>GRID50</x:v>
      </x:c>
      <x:c r="B2306" s="19" t="str">
        <x:v>GRID50_report.md</x:v>
      </x:c>
      <x:c r="C2306" s="19" t="str">
        <x:v>1. GRID50 原快速结构下的一次残差评分改动</x:v>
      </x:c>
      <x:c r="D2306" s="19" t="str">
        <x:v>种子=0；原固定终点训练目标=5.79744</x:v>
      </x:c>
      <x:c r="E2306" s="19" t="str">
        <x:v>开发原查询</x:v>
      </x:c>
      <x:c r="F2306" s="19" t="str">
        <x:v>7358</x:v>
      </x:c>
      <x:c r="G2306" s="19" t="str">
        <x:v>速度/计算</x:v>
      </x:c>
      <x:c r="H2306" s="19" t="str">
        <x:v>D:/Codex/GRL研究/outputs/grid50/GRID50_report.md</x:v>
      </x:c>
    </x:row>
    <x:row r="2307" ht="36" customHeight="1">
      <x:c r="A2307" s="19" t="str">
        <x:v>GRID50</x:v>
      </x:c>
      <x:c r="B2307" s="19" t="str">
        <x:v>GRID50_report.md</x:v>
      </x:c>
      <x:c r="C2307" s="19" t="str">
        <x:v>1. GRID50 原快速结构下的一次残差评分改动</x:v>
      </x:c>
      <x:c r="D2307" s="19" t="str">
        <x:v>种子=0；原固定终点训练目标=5.79744</x:v>
      </x:c>
      <x:c r="E2307" s="19" t="str">
        <x:v>新查询</x:v>
      </x:c>
      <x:c r="F2307" s="19" t="str">
        <x:v>7728</x:v>
      </x:c>
      <x:c r="G2307" s="19" t="str">
        <x:v>速度/计算</x:v>
      </x:c>
      <x:c r="H2307" s="19" t="str">
        <x:v>D:/Codex/GRL研究/outputs/grid50/GRID50_report.md</x:v>
      </x:c>
    </x:row>
    <x:row r="2308" ht="36" customHeight="1">
      <x:c r="A2308" s="19" t="str">
        <x:v>GRID50</x:v>
      </x:c>
      <x:c r="B2308" s="19" t="str">
        <x:v>GRID50_report.md</x:v>
      </x:c>
      <x:c r="C2308" s="19" t="str">
        <x:v>1. GRID50 原快速结构下的一次残差评分改动</x:v>
      </x:c>
      <x:c r="D2308" s="19" t="str">
        <x:v>种子=0；原固定终点训练目标=5.79744</x:v>
      </x:c>
      <x:c r="E2308" s="19" t="str">
        <x:v>同FULL选择 原→新</x:v>
      </x:c>
      <x:c r="F2308" s="19" t="str">
        <x:v>24→25 /26</x:v>
      </x:c>
      <x:c r="G2308" s="19" t="str">
        <x:v>质量/成本</x:v>
      </x:c>
      <x:c r="H2308" s="19" t="str">
        <x:v>D:/Codex/GRL研究/outputs/grid50/GRID50_report.md</x:v>
      </x:c>
    </x:row>
    <x:row r="2309" ht="36" customHeight="1">
      <x:c r="A2309" s="19" t="str">
        <x:v>GRID50</x:v>
      </x:c>
      <x:c r="B2309" s="19" t="str">
        <x:v>GRID50_report.md</x:v>
      </x:c>
      <x:c r="C2309" s="19" t="str">
        <x:v>1. GRID50 原快速结构下的一次残差评分改动</x:v>
      </x:c>
      <x:c r="D2309" s="19" t="str">
        <x:v>种子=1；原固定终点训练目标=5.80153</x:v>
      </x:c>
      <x:c r="E2309" s="19" t="str">
        <x:v>原固定终点训练目标</x:v>
      </x:c>
      <x:c r="F2309" s="19" t="str">
        <x:v>5.80153</x:v>
      </x:c>
      <x:c r="G2309" s="19" t="str">
        <x:v>其他/配置</x:v>
      </x:c>
      <x:c r="H2309" s="19" t="str">
        <x:v>D:/Codex/GRL研究/outputs/grid50/GRID50_report.md</x:v>
      </x:c>
    </x:row>
    <x:row r="2310" ht="36" customHeight="1">
      <x:c r="A2310" s="19" t="str">
        <x:v>GRID50</x:v>
      </x:c>
      <x:c r="B2310" s="19" t="str">
        <x:v>GRID50_report.md</x:v>
      </x:c>
      <x:c r="C2310" s="19" t="str">
        <x:v>1. GRID50 原快速结构下的一次残差评分改动</x:v>
      </x:c>
      <x:c r="D2310" s="19" t="str">
        <x:v>种子=1；原固定终点训练目标=5.80153</x:v>
      </x:c>
      <x:c r="E2310" s="19" t="str">
        <x:v>新固定终点训练目标</x:v>
      </x:c>
      <x:c r="F2310" s="19" t="str">
        <x:v>5.69306</x:v>
      </x:c>
      <x:c r="G2310" s="19" t="str">
        <x:v>其他/配置</x:v>
      </x:c>
      <x:c r="H2310" s="19" t="str">
        <x:v>D:/Codex/GRL研究/outputs/grid50/GRID50_report.md</x:v>
      </x:c>
    </x:row>
    <x:row r="2311" ht="36" customHeight="1">
      <x:c r="A2311" s="19" t="str">
        <x:v>GRID50</x:v>
      </x:c>
      <x:c r="B2311" s="19" t="str">
        <x:v>GRID50_report.md</x:v>
      </x:c>
      <x:c r="C2311" s="19" t="str">
        <x:v>1. GRID50 原快速结构下的一次残差评分改动</x:v>
      </x:c>
      <x:c r="D2311" s="19" t="str">
        <x:v>种子=1；原固定终点训练目标=5.80153</x:v>
      </x:c>
      <x:c r="E2311" s="19" t="str">
        <x:v>开发原查询</x:v>
      </x:c>
      <x:c r="F2311" s="19" t="str">
        <x:v>7530</x:v>
      </x:c>
      <x:c r="G2311" s="19" t="str">
        <x:v>速度/计算</x:v>
      </x:c>
      <x:c r="H2311" s="19" t="str">
        <x:v>D:/Codex/GRL研究/outputs/grid50/GRID50_report.md</x:v>
      </x:c>
    </x:row>
    <x:row r="2312" ht="36" customHeight="1">
      <x:c r="A2312" s="19" t="str">
        <x:v>GRID50</x:v>
      </x:c>
      <x:c r="B2312" s="19" t="str">
        <x:v>GRID50_report.md</x:v>
      </x:c>
      <x:c r="C2312" s="19" t="str">
        <x:v>1. GRID50 原快速结构下的一次残差评分改动</x:v>
      </x:c>
      <x:c r="D2312" s="19" t="str">
        <x:v>种子=1；原固定终点训练目标=5.80153</x:v>
      </x:c>
      <x:c r="E2312" s="19" t="str">
        <x:v>新查询</x:v>
      </x:c>
      <x:c r="F2312" s="19" t="str">
        <x:v>7728</x:v>
      </x:c>
      <x:c r="G2312" s="19" t="str">
        <x:v>速度/计算</x:v>
      </x:c>
      <x:c r="H2312" s="19" t="str">
        <x:v>D:/Codex/GRL研究/outputs/grid50/GRID50_report.md</x:v>
      </x:c>
    </x:row>
    <x:row r="2313" ht="36" customHeight="1">
      <x:c r="A2313" s="19" t="str">
        <x:v>GRID50</x:v>
      </x:c>
      <x:c r="B2313" s="19" t="str">
        <x:v>GRID50_report.md</x:v>
      </x:c>
      <x:c r="C2313" s="19" t="str">
        <x:v>1. GRID50 原快速结构下的一次残差评分改动</x:v>
      </x:c>
      <x:c r="D2313" s="19" t="str">
        <x:v>种子=1；原固定终点训练目标=5.80153</x:v>
      </x:c>
      <x:c r="E2313" s="19" t="str">
        <x:v>同FULL选择 原→新</x:v>
      </x:c>
      <x:c r="F2313" s="19" t="str">
        <x:v>25→25 /26</x:v>
      </x:c>
      <x:c r="G2313" s="19" t="str">
        <x:v>质量/成本</x:v>
      </x:c>
      <x:c r="H2313" s="19" t="str">
        <x:v>D:/Codex/GRL研究/outputs/grid50/GRID50_report.md</x:v>
      </x:c>
    </x:row>
    <x:row r="2314" ht="36" customHeight="1">
      <x:c r="A2314" s="19" t="str">
        <x:v>GRID51</x:v>
      </x:c>
      <x:c r="B2314" s="19" t="str">
        <x:v>GRID51_report.md</x:v>
      </x:c>
      <x:c r="C2314" s="19" t="str">
        <x:v>1. GRID51 原快速控制下残差评分改动</x:v>
      </x:c>
      <x:c r="D2314" s="19" t="str">
        <x:v>方法=FULL；控制秒总计=328.615</x:v>
      </x:c>
      <x:c r="E2314" s="19" t="str">
        <x:v>控制秒总计</x:v>
      </x:c>
      <x:c r="F2314" s="19" t="str">
        <x:v>328.615</x:v>
      </x:c>
      <x:c r="G2314" s="19" t="str">
        <x:v>速度/计算</x:v>
      </x:c>
      <x:c r="H2314" s="19" t="str">
        <x:v>D:/Codex/GRL研究/outputs/grid51/GRID51_report.md</x:v>
      </x:c>
    </x:row>
    <x:row r="2315" ht="36" customHeight="1">
      <x:c r="A2315" s="19" t="str">
        <x:v>GRID51</x:v>
      </x:c>
      <x:c r="B2315" s="19" t="str">
        <x:v>GRID51_report.md</x:v>
      </x:c>
      <x:c r="C2315" s="19" t="str">
        <x:v>1. GRID51 原快速控制下残差评分改动</x:v>
      </x:c>
      <x:c r="D2315" s="19" t="str">
        <x:v>方法=FULL；控制秒总计=328.615</x:v>
      </x:c>
      <x:c r="E2315" s="19" t="str">
        <x:v>查询</x:v>
      </x:c>
      <x:c r="F2315" s="19" t="str">
        <x:v>22597</x:v>
      </x:c>
      <x:c r="G2315" s="19" t="str">
        <x:v>速度/计算</x:v>
      </x:c>
      <x:c r="H2315" s="19" t="str">
        <x:v>D:/Codex/GRL研究/outputs/grid51/GRID51_report.md</x:v>
      </x:c>
    </x:row>
    <x:row r="2316" ht="36" customHeight="1">
      <x:c r="A2316" s="19" t="str">
        <x:v>GRID51</x:v>
      </x:c>
      <x:c r="B2316" s="19" t="str">
        <x:v>GRID51_report.md</x:v>
      </x:c>
      <x:c r="C2316" s="19" t="str">
        <x:v>1. GRID51 原快速控制下残差评分改动</x:v>
      </x:c>
      <x:c r="D2316" s="19" t="str">
        <x:v>方法=FULL；控制秒总计=328.615</x:v>
      </x:c>
      <x:c r="E2316" s="19" t="str">
        <x:v>质量筛查通过</x:v>
      </x:c>
      <x:c r="F2316" s="19" t="str">
        <x:v>4/4</x:v>
      </x:c>
      <x:c r="G2316" s="19" t="str">
        <x:v>质量/成本</x:v>
      </x:c>
      <x:c r="H2316" s="19" t="str">
        <x:v>D:/Codex/GRL研究/outputs/grid51/GRID51_report.md</x:v>
      </x:c>
    </x:row>
    <x:row r="2317" ht="36" customHeight="1">
      <x:c r="A2317" s="19" t="str">
        <x:v>GRID51</x:v>
      </x:c>
      <x:c r="B2317" s="19" t="str">
        <x:v>GRID51_report.md</x:v>
      </x:c>
      <x:c r="C2317" s="19" t="str">
        <x:v>1. GRID51 原快速控制下残差评分改动</x:v>
      </x:c>
      <x:c r="D2317" s="19" t="str">
        <x:v>方法=FULL；控制秒总计=328.615</x:v>
      </x:c>
      <x:c r="E2317" s="19" t="str">
        <x:v>完成</x:v>
      </x:c>
      <x:c r="F2317" s="19" t="str">
        <x:v>3/4</x:v>
      </x:c>
      <x:c r="G2317" s="19" t="str">
        <x:v>质量/成本</x:v>
      </x:c>
      <x:c r="H2317" s="19" t="str">
        <x:v>D:/Codex/GRL研究/outputs/grid51/GRID51_report.md</x:v>
      </x:c>
    </x:row>
    <x:row r="2318" ht="36" customHeight="1">
      <x:c r="A2318" s="19" t="str">
        <x:v>GRID51</x:v>
      </x:c>
      <x:c r="B2318" s="19" t="str">
        <x:v>GRID51_report.md</x:v>
      </x:c>
      <x:c r="C2318" s="19" t="str">
        <x:v>1. GRID51 原快速控制下残差评分改动</x:v>
      </x:c>
      <x:c r="D2318" s="19" t="str">
        <x:v>方法=FULL；控制秒总计=328.615</x:v>
      </x:c>
      <x:c r="E2318" s="19" t="str">
        <x:v>最大可比成本差</x:v>
      </x:c>
      <x:c r="F2318" s="19" t="str">
        <x:v>0.00000%</x:v>
      </x:c>
      <x:c r="G2318" s="19" t="str">
        <x:v>质量/成本</x:v>
      </x:c>
      <x:c r="H2318" s="19" t="str">
        <x:v>D:/Codex/GRL研究/outputs/grid51/GRID51_report.md</x:v>
      </x:c>
    </x:row>
    <x:row r="2319" ht="36" customHeight="1">
      <x:c r="A2319" s="19" t="str">
        <x:v>GRID51</x:v>
      </x:c>
      <x:c r="B2319" s="19" t="str">
        <x:v>GRID51_report.md</x:v>
      </x:c>
      <x:c r="C2319" s="19" t="str">
        <x:v>1. GRID51 原快速控制下残差评分改动</x:v>
      </x:c>
      <x:c r="D2319" s="19" t="str">
        <x:v>方法=LOCAL_GNN0；控制秒总计=295.480</x:v>
      </x:c>
      <x:c r="E2319" s="19" t="str">
        <x:v>控制秒总计</x:v>
      </x:c>
      <x:c r="F2319" s="19" t="str">
        <x:v>295.480</x:v>
      </x:c>
      <x:c r="G2319" s="19" t="str">
        <x:v>速度/计算</x:v>
      </x:c>
      <x:c r="H2319" s="19" t="str">
        <x:v>D:/Codex/GRL研究/outputs/grid51/GRID51_report.md</x:v>
      </x:c>
    </x:row>
    <x:row r="2320" ht="36" customHeight="1">
      <x:c r="A2320" s="19" t="str">
        <x:v>GRID51</x:v>
      </x:c>
      <x:c r="B2320" s="19" t="str">
        <x:v>GRID51_report.md</x:v>
      </x:c>
      <x:c r="C2320" s="19" t="str">
        <x:v>1. GRID51 原快速控制下残差评分改动</x:v>
      </x:c>
      <x:c r="D2320" s="19" t="str">
        <x:v>方法=LOCAL_GNN0；控制秒总计=295.480</x:v>
      </x:c>
      <x:c r="E2320" s="19" t="str">
        <x:v>查询</x:v>
      </x:c>
      <x:c r="F2320" s="19" t="str">
        <x:v>7312</x:v>
      </x:c>
      <x:c r="G2320" s="19" t="str">
        <x:v>速度/计算</x:v>
      </x:c>
      <x:c r="H2320" s="19" t="str">
        <x:v>D:/Codex/GRL研究/outputs/grid51/GRID51_report.md</x:v>
      </x:c>
    </x:row>
    <x:row r="2321" ht="36" customHeight="1">
      <x:c r="A2321" s="19" t="str">
        <x:v>GRID51</x:v>
      </x:c>
      <x:c r="B2321" s="19" t="str">
        <x:v>GRID51_report.md</x:v>
      </x:c>
      <x:c r="C2321" s="19" t="str">
        <x:v>1. GRID51 原快速控制下残差评分改动</x:v>
      </x:c>
      <x:c r="D2321" s="19" t="str">
        <x:v>方法=LOCAL_GNN0；控制秒总计=295.480</x:v>
      </x:c>
      <x:c r="E2321" s="19" t="str">
        <x:v>质量筛查通过</x:v>
      </x:c>
      <x:c r="F2321" s="19" t="str">
        <x:v>4/4</x:v>
      </x:c>
      <x:c r="G2321" s="19" t="str">
        <x:v>质量/成本</x:v>
      </x:c>
      <x:c r="H2321" s="19" t="str">
        <x:v>D:/Codex/GRL研究/outputs/grid51/GRID51_report.md</x:v>
      </x:c>
    </x:row>
    <x:row r="2322" ht="36" customHeight="1">
      <x:c r="A2322" s="19" t="str">
        <x:v>GRID51</x:v>
      </x:c>
      <x:c r="B2322" s="19" t="str">
        <x:v>GRID51_report.md</x:v>
      </x:c>
      <x:c r="C2322" s="19" t="str">
        <x:v>1. GRID51 原快速控制下残差评分改动</x:v>
      </x:c>
      <x:c r="D2322" s="19" t="str">
        <x:v>方法=LOCAL_GNN0；控制秒总计=295.480</x:v>
      </x:c>
      <x:c r="E2322" s="19" t="str">
        <x:v>完成</x:v>
      </x:c>
      <x:c r="F2322" s="19" t="str">
        <x:v>3/4</x:v>
      </x:c>
      <x:c r="G2322" s="19" t="str">
        <x:v>质量/成本</x:v>
      </x:c>
      <x:c r="H2322" s="19" t="str">
        <x:v>D:/Codex/GRL研究/outputs/grid51/GRID51_report.md</x:v>
      </x:c>
    </x:row>
    <x:row r="2323" ht="36" customHeight="1">
      <x:c r="A2323" s="19" t="str">
        <x:v>GRID51</x:v>
      </x:c>
      <x:c r="B2323" s="19" t="str">
        <x:v>GRID51_report.md</x:v>
      </x:c>
      <x:c r="C2323" s="19" t="str">
        <x:v>1. GRID51 原快速控制下残差评分改动</x:v>
      </x:c>
      <x:c r="D2323" s="19" t="str">
        <x:v>方法=LOCAL_GNN0；控制秒总计=295.480</x:v>
      </x:c>
      <x:c r="E2323" s="19" t="str">
        <x:v>最大可比成本差</x:v>
      </x:c>
      <x:c r="F2323" s="19" t="str">
        <x:v>0.13612%</x:v>
      </x:c>
      <x:c r="G2323" s="19" t="str">
        <x:v>质量/成本</x:v>
      </x:c>
      <x:c r="H2323" s="19" t="str">
        <x:v>D:/Codex/GRL研究/outputs/grid51/GRID51_report.md</x:v>
      </x:c>
    </x:row>
    <x:row r="2324" ht="36" customHeight="1">
      <x:c r="A2324" s="19" t="str">
        <x:v>GRID51</x:v>
      </x:c>
      <x:c r="B2324" s="19" t="str">
        <x:v>GRID51_report.md</x:v>
      </x:c>
      <x:c r="C2324" s="19" t="str">
        <x:v>1. GRID51 原快速控制下残差评分改动</x:v>
      </x:c>
      <x:c r="D2324" s="19" t="str">
        <x:v>方法=LOCAL_GNN1；控制秒总计=279.749</x:v>
      </x:c>
      <x:c r="E2324" s="19" t="str">
        <x:v>控制秒总计</x:v>
      </x:c>
      <x:c r="F2324" s="19" t="str">
        <x:v>279.749</x:v>
      </x:c>
      <x:c r="G2324" s="19" t="str">
        <x:v>速度/计算</x:v>
      </x:c>
      <x:c r="H2324" s="19" t="str">
        <x:v>D:/Codex/GRL研究/outputs/grid51/GRID51_report.md</x:v>
      </x:c>
    </x:row>
    <x:row r="2325" ht="36" customHeight="1">
      <x:c r="A2325" s="19" t="str">
        <x:v>GRID51</x:v>
      </x:c>
      <x:c r="B2325" s="19" t="str">
        <x:v>GRID51_report.md</x:v>
      </x:c>
      <x:c r="C2325" s="19" t="str">
        <x:v>1. GRID51 原快速控制下残差评分改动</x:v>
      </x:c>
      <x:c r="D2325" s="19" t="str">
        <x:v>方法=LOCAL_GNN1；控制秒总计=279.749</x:v>
      </x:c>
      <x:c r="E2325" s="19" t="str">
        <x:v>查询</x:v>
      </x:c>
      <x:c r="F2325" s="19" t="str">
        <x:v>7484</x:v>
      </x:c>
      <x:c r="G2325" s="19" t="str">
        <x:v>速度/计算</x:v>
      </x:c>
      <x:c r="H2325" s="19" t="str">
        <x:v>D:/Codex/GRL研究/outputs/grid51/GRID51_report.md</x:v>
      </x:c>
    </x:row>
    <x:row r="2326" ht="36" customHeight="1">
      <x:c r="A2326" s="19" t="str">
        <x:v>GRID51</x:v>
      </x:c>
      <x:c r="B2326" s="19" t="str">
        <x:v>GRID51_report.md</x:v>
      </x:c>
      <x:c r="C2326" s="19" t="str">
        <x:v>1. GRID51 原快速控制下残差评分改动</x:v>
      </x:c>
      <x:c r="D2326" s="19" t="str">
        <x:v>方法=LOCAL_GNN1；控制秒总计=279.749</x:v>
      </x:c>
      <x:c r="E2326" s="19" t="str">
        <x:v>质量筛查通过</x:v>
      </x:c>
      <x:c r="F2326" s="19" t="str">
        <x:v>4/4</x:v>
      </x:c>
      <x:c r="G2326" s="19" t="str">
        <x:v>质量/成本</x:v>
      </x:c>
      <x:c r="H2326" s="19" t="str">
        <x:v>D:/Codex/GRL研究/outputs/grid51/GRID51_report.md</x:v>
      </x:c>
    </x:row>
    <x:row r="2327" ht="36" customHeight="1">
      <x:c r="A2327" s="19" t="str">
        <x:v>GRID51</x:v>
      </x:c>
      <x:c r="B2327" s="19" t="str">
        <x:v>GRID51_report.md</x:v>
      </x:c>
      <x:c r="C2327" s="19" t="str">
        <x:v>1. GRID51 原快速控制下残差评分改动</x:v>
      </x:c>
      <x:c r="D2327" s="19" t="str">
        <x:v>方法=LOCAL_GNN1；控制秒总计=279.749</x:v>
      </x:c>
      <x:c r="E2327" s="19" t="str">
        <x:v>完成</x:v>
      </x:c>
      <x:c r="F2327" s="19" t="str">
        <x:v>3/4</x:v>
      </x:c>
      <x:c r="G2327" s="19" t="str">
        <x:v>质量/成本</x:v>
      </x:c>
      <x:c r="H2327" s="19" t="str">
        <x:v>D:/Codex/GRL研究/outputs/grid51/GRID51_report.md</x:v>
      </x:c>
    </x:row>
    <x:row r="2328" ht="36" customHeight="1">
      <x:c r="A2328" s="19" t="str">
        <x:v>GRID51</x:v>
      </x:c>
      <x:c r="B2328" s="19" t="str">
        <x:v>GRID51_report.md</x:v>
      </x:c>
      <x:c r="C2328" s="19" t="str">
        <x:v>1. GRID51 原快速控制下残差评分改动</x:v>
      </x:c>
      <x:c r="D2328" s="19" t="str">
        <x:v>方法=LOCAL_GNN1；控制秒总计=279.749</x:v>
      </x:c>
      <x:c r="E2328" s="19" t="str">
        <x:v>最大可比成本差</x:v>
      </x:c>
      <x:c r="F2328" s="19" t="str">
        <x:v>0.00000%</x:v>
      </x:c>
      <x:c r="G2328" s="19" t="str">
        <x:v>质量/成本</x:v>
      </x:c>
      <x:c r="H2328" s="19" t="str">
        <x:v>D:/Codex/GRL研究/outputs/grid51/GRID51_report.md</x:v>
      </x:c>
    </x:row>
    <x:row r="2329" ht="36" customHeight="1">
      <x:c r="A2329" s="19" t="str">
        <x:v>GRID51</x:v>
      </x:c>
      <x:c r="B2329" s="19" t="str">
        <x:v>GRID51_report.md</x:v>
      </x:c>
      <x:c r="C2329" s="19" t="str">
        <x:v>1. GRID51 原快速控制下残差评分改动</x:v>
      </x:c>
      <x:c r="D2329" s="19" t="str">
        <x:v>方法=COMPRESSED_GNN0；控制秒总计=278.915</x:v>
      </x:c>
      <x:c r="E2329" s="19" t="str">
        <x:v>控制秒总计</x:v>
      </x:c>
      <x:c r="F2329" s="19" t="str">
        <x:v>278.915</x:v>
      </x:c>
      <x:c r="G2329" s="19" t="str">
        <x:v>速度/计算</x:v>
      </x:c>
      <x:c r="H2329" s="19" t="str">
        <x:v>D:/Codex/GRL研究/outputs/grid51/GRID51_report.md</x:v>
      </x:c>
    </x:row>
    <x:row r="2330" ht="36" customHeight="1">
      <x:c r="A2330" s="19" t="str">
        <x:v>GRID51</x:v>
      </x:c>
      <x:c r="B2330" s="19" t="str">
        <x:v>GRID51_report.md</x:v>
      </x:c>
      <x:c r="C2330" s="19" t="str">
        <x:v>1. GRID51 原快速控制下残差评分改动</x:v>
      </x:c>
      <x:c r="D2330" s="19" t="str">
        <x:v>方法=COMPRESSED_GNN0；控制秒总计=278.915</x:v>
      </x:c>
      <x:c r="E2330" s="19" t="str">
        <x:v>查询</x:v>
      </x:c>
      <x:c r="F2330" s="19" t="str">
        <x:v>7682</x:v>
      </x:c>
      <x:c r="G2330" s="19" t="str">
        <x:v>速度/计算</x:v>
      </x:c>
      <x:c r="H2330" s="19" t="str">
        <x:v>D:/Codex/GRL研究/outputs/grid51/GRID51_report.md</x:v>
      </x:c>
    </x:row>
    <x:row r="2331" ht="36" customHeight="1">
      <x:c r="A2331" s="19" t="str">
        <x:v>GRID51</x:v>
      </x:c>
      <x:c r="B2331" s="19" t="str">
        <x:v>GRID51_report.md</x:v>
      </x:c>
      <x:c r="C2331" s="19" t="str">
        <x:v>1. GRID51 原快速控制下残差评分改动</x:v>
      </x:c>
      <x:c r="D2331" s="19" t="str">
        <x:v>方法=COMPRESSED_GNN0；控制秒总计=278.915</x:v>
      </x:c>
      <x:c r="E2331" s="19" t="str">
        <x:v>质量筛查通过</x:v>
      </x:c>
      <x:c r="F2331" s="19" t="str">
        <x:v>4/4</x:v>
      </x:c>
      <x:c r="G2331" s="19" t="str">
        <x:v>质量/成本</x:v>
      </x:c>
      <x:c r="H2331" s="19" t="str">
        <x:v>D:/Codex/GRL研究/outputs/grid51/GRID51_report.md</x:v>
      </x:c>
    </x:row>
    <x:row r="2332" ht="36" customHeight="1">
      <x:c r="A2332" s="19" t="str">
        <x:v>GRID51</x:v>
      </x:c>
      <x:c r="B2332" s="19" t="str">
        <x:v>GRID51_report.md</x:v>
      </x:c>
      <x:c r="C2332" s="19" t="str">
        <x:v>1. GRID51 原快速控制下残差评分改动</x:v>
      </x:c>
      <x:c r="D2332" s="19" t="str">
        <x:v>方法=COMPRESSED_GNN0；控制秒总计=278.915</x:v>
      </x:c>
      <x:c r="E2332" s="19" t="str">
        <x:v>完成</x:v>
      </x:c>
      <x:c r="F2332" s="19" t="str">
        <x:v>3/4</x:v>
      </x:c>
      <x:c r="G2332" s="19" t="str">
        <x:v>质量/成本</x:v>
      </x:c>
      <x:c r="H2332" s="19" t="str">
        <x:v>D:/Codex/GRL研究/outputs/grid51/GRID51_report.md</x:v>
      </x:c>
    </x:row>
    <x:row r="2333" ht="36" customHeight="1">
      <x:c r="A2333" s="19" t="str">
        <x:v>GRID51</x:v>
      </x:c>
      <x:c r="B2333" s="19" t="str">
        <x:v>GRID51_report.md</x:v>
      </x:c>
      <x:c r="C2333" s="19" t="str">
        <x:v>1. GRID51 原快速控制下残差评分改动</x:v>
      </x:c>
      <x:c r="D2333" s="19" t="str">
        <x:v>方法=COMPRESSED_GNN0；控制秒总计=278.915</x:v>
      </x:c>
      <x:c r="E2333" s="19" t="str">
        <x:v>最大可比成本差</x:v>
      </x:c>
      <x:c r="F2333" s="19" t="str">
        <x:v>0.00000%</x:v>
      </x:c>
      <x:c r="G2333" s="19" t="str">
        <x:v>质量/成本</x:v>
      </x:c>
      <x:c r="H2333" s="19" t="str">
        <x:v>D:/Codex/GRL研究/outputs/grid51/GRID51_report.md</x:v>
      </x:c>
    </x:row>
    <x:row r="2334" ht="36" customHeight="1">
      <x:c r="A2334" s="19" t="str">
        <x:v>GRID51</x:v>
      </x:c>
      <x:c r="B2334" s="19" t="str">
        <x:v>GRID51_report.md</x:v>
      </x:c>
      <x:c r="C2334" s="19" t="str">
        <x:v>1. GRID51 原快速控制下残差评分改动</x:v>
      </x:c>
      <x:c r="D2334" s="19" t="str">
        <x:v>方法=COMPRESSED_GNN1；控制秒总计=281.646</x:v>
      </x:c>
      <x:c r="E2334" s="19" t="str">
        <x:v>控制秒总计</x:v>
      </x:c>
      <x:c r="F2334" s="19" t="str">
        <x:v>281.646</x:v>
      </x:c>
      <x:c r="G2334" s="19" t="str">
        <x:v>速度/计算</x:v>
      </x:c>
      <x:c r="H2334" s="19" t="str">
        <x:v>D:/Codex/GRL研究/outputs/grid51/GRID51_report.md</x:v>
      </x:c>
    </x:row>
    <x:row r="2335" ht="36" customHeight="1">
      <x:c r="A2335" s="19" t="str">
        <x:v>GRID51</x:v>
      </x:c>
      <x:c r="B2335" s="19" t="str">
        <x:v>GRID51_report.md</x:v>
      </x:c>
      <x:c r="C2335" s="19" t="str">
        <x:v>1. GRID51 原快速控制下残差评分改动</x:v>
      </x:c>
      <x:c r="D2335" s="19" t="str">
        <x:v>方法=COMPRESSED_GNN1；控制秒总计=281.646</x:v>
      </x:c>
      <x:c r="E2335" s="19" t="str">
        <x:v>查询</x:v>
      </x:c>
      <x:c r="F2335" s="19" t="str">
        <x:v>7682</x:v>
      </x:c>
      <x:c r="G2335" s="19" t="str">
        <x:v>速度/计算</x:v>
      </x:c>
      <x:c r="H2335" s="19" t="str">
        <x:v>D:/Codex/GRL研究/outputs/grid51/GRID51_report.md</x:v>
      </x:c>
    </x:row>
    <x:row r="2336" ht="36" customHeight="1">
      <x:c r="A2336" s="19" t="str">
        <x:v>GRID51</x:v>
      </x:c>
      <x:c r="B2336" s="19" t="str">
        <x:v>GRID51_report.md</x:v>
      </x:c>
      <x:c r="C2336" s="19" t="str">
        <x:v>1. GRID51 原快速控制下残差评分改动</x:v>
      </x:c>
      <x:c r="D2336" s="19" t="str">
        <x:v>方法=COMPRESSED_GNN1；控制秒总计=281.646</x:v>
      </x:c>
      <x:c r="E2336" s="19" t="str">
        <x:v>质量筛查通过</x:v>
      </x:c>
      <x:c r="F2336" s="19" t="str">
        <x:v>4/4</x:v>
      </x:c>
      <x:c r="G2336" s="19" t="str">
        <x:v>质量/成本</x:v>
      </x:c>
      <x:c r="H2336" s="19" t="str">
        <x:v>D:/Codex/GRL研究/outputs/grid51/GRID51_report.md</x:v>
      </x:c>
    </x:row>
    <x:row r="2337" ht="36" customHeight="1">
      <x:c r="A2337" s="19" t="str">
        <x:v>GRID51</x:v>
      </x:c>
      <x:c r="B2337" s="19" t="str">
        <x:v>GRID51_report.md</x:v>
      </x:c>
      <x:c r="C2337" s="19" t="str">
        <x:v>1. GRID51 原快速控制下残差评分改动</x:v>
      </x:c>
      <x:c r="D2337" s="19" t="str">
        <x:v>方法=COMPRESSED_GNN1；控制秒总计=281.646</x:v>
      </x:c>
      <x:c r="E2337" s="19" t="str">
        <x:v>完成</x:v>
      </x:c>
      <x:c r="F2337" s="19" t="str">
        <x:v>3/4</x:v>
      </x:c>
      <x:c r="G2337" s="19" t="str">
        <x:v>质量/成本</x:v>
      </x:c>
      <x:c r="H2337" s="19" t="str">
        <x:v>D:/Codex/GRL研究/outputs/grid51/GRID51_report.md</x:v>
      </x:c>
    </x:row>
    <x:row r="2338" ht="36" customHeight="1">
      <x:c r="A2338" s="19" t="str">
        <x:v>GRID51</x:v>
      </x:c>
      <x:c r="B2338" s="19" t="str">
        <x:v>GRID51_report.md</x:v>
      </x:c>
      <x:c r="C2338" s="19" t="str">
        <x:v>1. GRID51 原快速控制下残差评分改动</x:v>
      </x:c>
      <x:c r="D2338" s="19" t="str">
        <x:v>方法=COMPRESSED_GNN1；控制秒总计=281.646</x:v>
      </x:c>
      <x:c r="E2338" s="19" t="str">
        <x:v>最大可比成本差</x:v>
      </x:c>
      <x:c r="F2338" s="19" t="str">
        <x:v>0.00000%</x:v>
      </x:c>
      <x:c r="G2338" s="19" t="str">
        <x:v>质量/成本</x:v>
      </x:c>
      <x:c r="H2338" s="19" t="str">
        <x:v>D:/Codex/GRL研究/outputs/grid51/GRID51_report.md</x:v>
      </x:c>
    </x:row>
    <x:row r="2339" ht="36" customHeight="1">
      <x:c r="A2339" s="19" t="str">
        <x:v>GRID51</x:v>
      </x:c>
      <x:c r="B2339" s="19" t="str">
        <x:v>GRID51_report.md</x:v>
      </x:c>
      <x:c r="C2339" s="19" t="str">
        <x:v>2. GRID51 原快速控制下残差评分改动</x:v>
      </x:c>
      <x:c r="D2339" s="19" t="str">
        <x:v>方法=LOCAL_GNN0；对照=FULL</x:v>
      </x:c>
      <x:c r="E2339" s="19" t="str">
        <x:v>对照</x:v>
      </x:c>
      <x:c r="F2339" s="19" t="str">
        <x:v>FULL</x:v>
      </x:c>
      <x:c r="G2339" s="19" t="str">
        <x:v>其他/配置</x:v>
      </x:c>
      <x:c r="H2339" s="19" t="str">
        <x:v>D:/Codex/GRL研究/outputs/grid51/GRID51_report.md</x:v>
      </x:c>
    </x:row>
    <x:row r="2340" ht="36" customHeight="1">
      <x:c r="A2340" s="19" t="str">
        <x:v>GRID51</x:v>
      </x:c>
      <x:c r="B2340" s="19" t="str">
        <x:v>GRID51_report.md</x:v>
      </x:c>
      <x:c r="C2340" s="19" t="str">
        <x:v>2. GRID51 原快速控制下残差评分改动</x:v>
      </x:c>
      <x:c r="D2340" s="19" t="str">
        <x:v>方法=LOCAL_GNN0；对照=FULL</x:v>
      </x:c>
      <x:c r="E2340" s="19" t="str">
        <x:v>控制时间减少</x:v>
      </x:c>
      <x:c r="F2340" s="19" t="str">
        <x:v>10.083%</x:v>
      </x:c>
      <x:c r="G2340" s="19" t="str">
        <x:v>速度/计算</x:v>
      </x:c>
      <x:c r="H2340" s="19" t="str">
        <x:v>D:/Codex/GRL研究/outputs/grid51/GRID51_report.md</x:v>
      </x:c>
    </x:row>
    <x:row r="2341" ht="36" customHeight="1">
      <x:c r="A2341" s="19" t="str">
        <x:v>GRID51</x:v>
      </x:c>
      <x:c r="B2341" s="19" t="str">
        <x:v>GRID51_report.md</x:v>
      </x:c>
      <x:c r="C2341" s="19" t="str">
        <x:v>2. GRID51 原快速控制下残差评分改动</x:v>
      </x:c>
      <x:c r="D2341" s="19" t="str">
        <x:v>方法=LOCAL_GNN0；对照=FULL</x:v>
      </x:c>
      <x:c r="E2341" s="19" t="str">
        <x:v>查询减少</x:v>
      </x:c>
      <x:c r="F2341" s="19" t="str">
        <x:v>67.642%</x:v>
      </x:c>
      <x:c r="G2341" s="19" t="str">
        <x:v>速度/计算</x:v>
      </x:c>
      <x:c r="H2341" s="19" t="str">
        <x:v>D:/Codex/GRL研究/outputs/grid51/GRID51_report.md</x:v>
      </x:c>
    </x:row>
    <x:row r="2342" ht="36" customHeight="1">
      <x:c r="A2342" s="19" t="str">
        <x:v>GRID51</x:v>
      </x:c>
      <x:c r="B2342" s="19" t="str">
        <x:v>GRID51_report.md</x:v>
      </x:c>
      <x:c r="C2342" s="19" t="str">
        <x:v>2. GRID51 原快速控制下残差评分改动</x:v>
      </x:c>
      <x:c r="D2342" s="19" t="str">
        <x:v>方法=LOCAL_GNN0；对照=FULL</x:v>
      </x:c>
      <x:c r="E2342" s="19" t="str">
        <x:v>时间正向配对</x:v>
      </x:c>
      <x:c r="F2342" s="19" t="str">
        <x:v>3/4</x:v>
      </x:c>
      <x:c r="G2342" s="19" t="str">
        <x:v>速度/计算</x:v>
      </x:c>
      <x:c r="H2342" s="19" t="str">
        <x:v>D:/Codex/GRL研究/outputs/grid51/GRID51_report.md</x:v>
      </x:c>
    </x:row>
    <x:row r="2343" ht="36" customHeight="1">
      <x:c r="A2343" s="19" t="str">
        <x:v>GRID51</x:v>
      </x:c>
      <x:c r="B2343" s="19" t="str">
        <x:v>GRID51_report.md</x:v>
      </x:c>
      <x:c r="C2343" s="19" t="str">
        <x:v>2. GRID51 原快速控制下残差评分改动</x:v>
      </x:c>
      <x:c r="D2343" s="19" t="str">
        <x:v>方法=LOCAL_GNN1；对照=FULL</x:v>
      </x:c>
      <x:c r="E2343" s="19" t="str">
        <x:v>对照</x:v>
      </x:c>
      <x:c r="F2343" s="19" t="str">
        <x:v>FULL</x:v>
      </x:c>
      <x:c r="G2343" s="19" t="str">
        <x:v>其他/配置</x:v>
      </x:c>
      <x:c r="H2343" s="19" t="str">
        <x:v>D:/Codex/GRL研究/outputs/grid51/GRID51_report.md</x:v>
      </x:c>
    </x:row>
    <x:row r="2344" ht="36" customHeight="1">
      <x:c r="A2344" s="19" t="str">
        <x:v>GRID51</x:v>
      </x:c>
      <x:c r="B2344" s="19" t="str">
        <x:v>GRID51_report.md</x:v>
      </x:c>
      <x:c r="C2344" s="19" t="str">
        <x:v>2. GRID51 原快速控制下残差评分改动</x:v>
      </x:c>
      <x:c r="D2344" s="19" t="str">
        <x:v>方法=LOCAL_GNN1；对照=FULL</x:v>
      </x:c>
      <x:c r="E2344" s="19" t="str">
        <x:v>控制时间减少</x:v>
      </x:c>
      <x:c r="F2344" s="19" t="str">
        <x:v>14.870%</x:v>
      </x:c>
      <x:c r="G2344" s="19" t="str">
        <x:v>速度/计算</x:v>
      </x:c>
      <x:c r="H2344" s="19" t="str">
        <x:v>D:/Codex/GRL研究/outputs/grid51/GRID51_report.md</x:v>
      </x:c>
    </x:row>
    <x:row r="2345" ht="36" customHeight="1">
      <x:c r="A2345" s="19" t="str">
        <x:v>GRID51</x:v>
      </x:c>
      <x:c r="B2345" s="19" t="str">
        <x:v>GRID51_report.md</x:v>
      </x:c>
      <x:c r="C2345" s="19" t="str">
        <x:v>2. GRID51 原快速控制下残差评分改动</x:v>
      </x:c>
      <x:c r="D2345" s="19" t="str">
        <x:v>方法=LOCAL_GNN1；对照=FULL</x:v>
      </x:c>
      <x:c r="E2345" s="19" t="str">
        <x:v>查询减少</x:v>
      </x:c>
      <x:c r="F2345" s="19" t="str">
        <x:v>66.881%</x:v>
      </x:c>
      <x:c r="G2345" s="19" t="str">
        <x:v>速度/计算</x:v>
      </x:c>
      <x:c r="H2345" s="19" t="str">
        <x:v>D:/Codex/GRL研究/outputs/grid51/GRID51_report.md</x:v>
      </x:c>
    </x:row>
    <x:row r="2346" ht="36" customHeight="1">
      <x:c r="A2346" s="19" t="str">
        <x:v>GRID51</x:v>
      </x:c>
      <x:c r="B2346" s="19" t="str">
        <x:v>GRID51_report.md</x:v>
      </x:c>
      <x:c r="C2346" s="19" t="str">
        <x:v>2. GRID51 原快速控制下残差评分改动</x:v>
      </x:c>
      <x:c r="D2346" s="19" t="str">
        <x:v>方法=LOCAL_GNN1；对照=FULL</x:v>
      </x:c>
      <x:c r="E2346" s="19" t="str">
        <x:v>时间正向配对</x:v>
      </x:c>
      <x:c r="F2346" s="19" t="str">
        <x:v>4/4</x:v>
      </x:c>
      <x:c r="G2346" s="19" t="str">
        <x:v>速度/计算</x:v>
      </x:c>
      <x:c r="H2346" s="19" t="str">
        <x:v>D:/Codex/GRL研究/outputs/grid51/GRID51_report.md</x:v>
      </x:c>
    </x:row>
    <x:row r="2347" ht="36" customHeight="1">
      <x:c r="A2347" s="19" t="str">
        <x:v>GRID51</x:v>
      </x:c>
      <x:c r="B2347" s="19" t="str">
        <x:v>GRID51_report.md</x:v>
      </x:c>
      <x:c r="C2347" s="19" t="str">
        <x:v>2. GRID51 原快速控制下残差评分改动</x:v>
      </x:c>
      <x:c r="D2347" s="19" t="str">
        <x:v>方法=COMPRESSED_GNN0；对照=FULL</x:v>
      </x:c>
      <x:c r="E2347" s="19" t="str">
        <x:v>对照</x:v>
      </x:c>
      <x:c r="F2347" s="19" t="str">
        <x:v>FULL</x:v>
      </x:c>
      <x:c r="G2347" s="19" t="str">
        <x:v>其他/配置</x:v>
      </x:c>
      <x:c r="H2347" s="19" t="str">
        <x:v>D:/Codex/GRL研究/outputs/grid51/GRID51_report.md</x:v>
      </x:c>
    </x:row>
    <x:row r="2348" ht="36" customHeight="1">
      <x:c r="A2348" s="19" t="str">
        <x:v>GRID51</x:v>
      </x:c>
      <x:c r="B2348" s="19" t="str">
        <x:v>GRID51_report.md</x:v>
      </x:c>
      <x:c r="C2348" s="19" t="str">
        <x:v>2. GRID51 原快速控制下残差评分改动</x:v>
      </x:c>
      <x:c r="D2348" s="19" t="str">
        <x:v>方法=COMPRESSED_GNN0；对照=FULL</x:v>
      </x:c>
      <x:c r="E2348" s="19" t="str">
        <x:v>控制时间减少</x:v>
      </x:c>
      <x:c r="F2348" s="19" t="str">
        <x:v>15.124%</x:v>
      </x:c>
      <x:c r="G2348" s="19" t="str">
        <x:v>速度/计算</x:v>
      </x:c>
      <x:c r="H2348" s="19" t="str">
        <x:v>D:/Codex/GRL研究/outputs/grid51/GRID51_report.md</x:v>
      </x:c>
    </x:row>
    <x:row r="2349" ht="36" customHeight="1">
      <x:c r="A2349" s="19" t="str">
        <x:v>GRID51</x:v>
      </x:c>
      <x:c r="B2349" s="19" t="str">
        <x:v>GRID51_report.md</x:v>
      </x:c>
      <x:c r="C2349" s="19" t="str">
        <x:v>2. GRID51 原快速控制下残差评分改动</x:v>
      </x:c>
      <x:c r="D2349" s="19" t="str">
        <x:v>方法=COMPRESSED_GNN0；对照=FULL</x:v>
      </x:c>
      <x:c r="E2349" s="19" t="str">
        <x:v>查询减少</x:v>
      </x:c>
      <x:c r="F2349" s="19" t="str">
        <x:v>66.004%</x:v>
      </x:c>
      <x:c r="G2349" s="19" t="str">
        <x:v>速度/计算</x:v>
      </x:c>
      <x:c r="H2349" s="19" t="str">
        <x:v>D:/Codex/GRL研究/outputs/grid51/GRID51_report.md</x:v>
      </x:c>
    </x:row>
    <x:row r="2350" ht="36" customHeight="1">
      <x:c r="A2350" s="19" t="str">
        <x:v>GRID51</x:v>
      </x:c>
      <x:c r="B2350" s="19" t="str">
        <x:v>GRID51_report.md</x:v>
      </x:c>
      <x:c r="C2350" s="19" t="str">
        <x:v>2. GRID51 原快速控制下残差评分改动</x:v>
      </x:c>
      <x:c r="D2350" s="19" t="str">
        <x:v>方法=COMPRESSED_GNN0；对照=FULL</x:v>
      </x:c>
      <x:c r="E2350" s="19" t="str">
        <x:v>时间正向配对</x:v>
      </x:c>
      <x:c r="F2350" s="19" t="str">
        <x:v>4/4</x:v>
      </x:c>
      <x:c r="G2350" s="19" t="str">
        <x:v>速度/计算</x:v>
      </x:c>
      <x:c r="H2350" s="19" t="str">
        <x:v>D:/Codex/GRL研究/outputs/grid51/GRID51_report.md</x:v>
      </x:c>
    </x:row>
    <x:row r="2351" ht="36" customHeight="1">
      <x:c r="A2351" s="19" t="str">
        <x:v>GRID51</x:v>
      </x:c>
      <x:c r="B2351" s="19" t="str">
        <x:v>GRID51_report.md</x:v>
      </x:c>
      <x:c r="C2351" s="19" t="str">
        <x:v>2. GRID51 原快速控制下残差评分改动</x:v>
      </x:c>
      <x:c r="D2351" s="19" t="str">
        <x:v>方法=COMPRESSED_GNN1；对照=FULL</x:v>
      </x:c>
      <x:c r="E2351" s="19" t="str">
        <x:v>对照</x:v>
      </x:c>
      <x:c r="F2351" s="19" t="str">
        <x:v>FULL</x:v>
      </x:c>
      <x:c r="G2351" s="19" t="str">
        <x:v>其他/配置</x:v>
      </x:c>
      <x:c r="H2351" s="19" t="str">
        <x:v>D:/Codex/GRL研究/outputs/grid51/GRID51_report.md</x:v>
      </x:c>
    </x:row>
    <x:row r="2352" ht="36" customHeight="1">
      <x:c r="A2352" s="19" t="str">
        <x:v>GRID51</x:v>
      </x:c>
      <x:c r="B2352" s="19" t="str">
        <x:v>GRID51_report.md</x:v>
      </x:c>
      <x:c r="C2352" s="19" t="str">
        <x:v>2. GRID51 原快速控制下残差评分改动</x:v>
      </x:c>
      <x:c r="D2352" s="19" t="str">
        <x:v>方法=COMPRESSED_GNN1；对照=FULL</x:v>
      </x:c>
      <x:c r="E2352" s="19" t="str">
        <x:v>控制时间减少</x:v>
      </x:c>
      <x:c r="F2352" s="19" t="str">
        <x:v>14.293%</x:v>
      </x:c>
      <x:c r="G2352" s="19" t="str">
        <x:v>速度/计算</x:v>
      </x:c>
      <x:c r="H2352" s="19" t="str">
        <x:v>D:/Codex/GRL研究/outputs/grid51/GRID51_report.md</x:v>
      </x:c>
    </x:row>
    <x:row r="2353" ht="36" customHeight="1">
      <x:c r="A2353" s="19" t="str">
        <x:v>GRID51</x:v>
      </x:c>
      <x:c r="B2353" s="19" t="str">
        <x:v>GRID51_report.md</x:v>
      </x:c>
      <x:c r="C2353" s="19" t="str">
        <x:v>2. GRID51 原快速控制下残差评分改动</x:v>
      </x:c>
      <x:c r="D2353" s="19" t="str">
        <x:v>方法=COMPRESSED_GNN1；对照=FULL</x:v>
      </x:c>
      <x:c r="E2353" s="19" t="str">
        <x:v>查询减少</x:v>
      </x:c>
      <x:c r="F2353" s="19" t="str">
        <x:v>66.004%</x:v>
      </x:c>
      <x:c r="G2353" s="19" t="str">
        <x:v>速度/计算</x:v>
      </x:c>
      <x:c r="H2353" s="19" t="str">
        <x:v>D:/Codex/GRL研究/outputs/grid51/GRID51_report.md</x:v>
      </x:c>
    </x:row>
    <x:row r="2354" ht="36" customHeight="1">
      <x:c r="A2354" s="19" t="str">
        <x:v>GRID51</x:v>
      </x:c>
      <x:c r="B2354" s="19" t="str">
        <x:v>GRID51_report.md</x:v>
      </x:c>
      <x:c r="C2354" s="19" t="str">
        <x:v>2. GRID51 原快速控制下残差评分改动</x:v>
      </x:c>
      <x:c r="D2354" s="19" t="str">
        <x:v>方法=COMPRESSED_GNN1；对照=FULL</x:v>
      </x:c>
      <x:c r="E2354" s="19" t="str">
        <x:v>时间正向配对</x:v>
      </x:c>
      <x:c r="F2354" s="19" t="str">
        <x:v>4/4</x:v>
      </x:c>
      <x:c r="G2354" s="19" t="str">
        <x:v>速度/计算</x:v>
      </x:c>
      <x:c r="H2354" s="19" t="str">
        <x:v>D:/Codex/GRL研究/outputs/grid51/GRID51_report.md</x:v>
      </x:c>
    </x:row>
    <x:row r="2355" ht="36" customHeight="1">
      <x:c r="A2355" s="19" t="str">
        <x:v>GRID51</x:v>
      </x:c>
      <x:c r="B2355" s="19" t="str">
        <x:v>GRID51_report.md</x:v>
      </x:c>
      <x:c r="C2355" s="19" t="str">
        <x:v>2. GRID51 原快速控制下残差评分改动</x:v>
      </x:c>
      <x:c r="D2355" s="19" t="str">
        <x:v>方法=COMPRESSED_GNN0；对照=LOCAL_GNN0</x:v>
      </x:c>
      <x:c r="E2355" s="19" t="str">
        <x:v>对照</x:v>
      </x:c>
      <x:c r="F2355" s="19" t="str">
        <x:v>LOCAL_GNN0</x:v>
      </x:c>
      <x:c r="G2355" s="19" t="str">
        <x:v>其他/配置</x:v>
      </x:c>
      <x:c r="H2355" s="19" t="str">
        <x:v>D:/Codex/GRL研究/outputs/grid51/GRID51_report.md</x:v>
      </x:c>
    </x:row>
    <x:row r="2356" ht="36" customHeight="1">
      <x:c r="A2356" s="19" t="str">
        <x:v>GRID51</x:v>
      </x:c>
      <x:c r="B2356" s="19" t="str">
        <x:v>GRID51_report.md</x:v>
      </x:c>
      <x:c r="C2356" s="19" t="str">
        <x:v>2. GRID51 原快速控制下残差评分改动</x:v>
      </x:c>
      <x:c r="D2356" s="19" t="str">
        <x:v>方法=COMPRESSED_GNN0；对照=LOCAL_GNN0</x:v>
      </x:c>
      <x:c r="E2356" s="19" t="str">
        <x:v>控制时间减少</x:v>
      </x:c>
      <x:c r="F2356" s="19" t="str">
        <x:v>5.606%</x:v>
      </x:c>
      <x:c r="G2356" s="19" t="str">
        <x:v>速度/计算</x:v>
      </x:c>
      <x:c r="H2356" s="19" t="str">
        <x:v>D:/Codex/GRL研究/outputs/grid51/GRID51_report.md</x:v>
      </x:c>
    </x:row>
    <x:row r="2357" ht="36" customHeight="1">
      <x:c r="A2357" s="19" t="str">
        <x:v>GRID51</x:v>
      </x:c>
      <x:c r="B2357" s="19" t="str">
        <x:v>GRID51_report.md</x:v>
      </x:c>
      <x:c r="C2357" s="19" t="str">
        <x:v>2. GRID51 原快速控制下残差评分改动</x:v>
      </x:c>
      <x:c r="D2357" s="19" t="str">
        <x:v>方法=COMPRESSED_GNN0；对照=LOCAL_GNN0</x:v>
      </x:c>
      <x:c r="E2357" s="19" t="str">
        <x:v>查询减少</x:v>
      </x:c>
      <x:c r="F2357" s="19" t="str">
        <x:v>-5.060%</x:v>
      </x:c>
      <x:c r="G2357" s="19" t="str">
        <x:v>速度/计算</x:v>
      </x:c>
      <x:c r="H2357" s="19" t="str">
        <x:v>D:/Codex/GRL研究/outputs/grid51/GRID51_report.md</x:v>
      </x:c>
    </x:row>
    <x:row r="2358" ht="36" customHeight="1">
      <x:c r="A2358" s="19" t="str">
        <x:v>GRID51</x:v>
      </x:c>
      <x:c r="B2358" s="19" t="str">
        <x:v>GRID51_report.md</x:v>
      </x:c>
      <x:c r="C2358" s="19" t="str">
        <x:v>2. GRID51 原快速控制下残差评分改动</x:v>
      </x:c>
      <x:c r="D2358" s="19" t="str">
        <x:v>方法=COMPRESSED_GNN0；对照=LOCAL_GNN0</x:v>
      </x:c>
      <x:c r="E2358" s="19" t="str">
        <x:v>时间正向配对</x:v>
      </x:c>
      <x:c r="F2358" s="19" t="str">
        <x:v>4/4</x:v>
      </x:c>
      <x:c r="G2358" s="19" t="str">
        <x:v>速度/计算</x:v>
      </x:c>
      <x:c r="H2358" s="19" t="str">
        <x:v>D:/Codex/GRL研究/outputs/grid51/GRID51_report.md</x:v>
      </x:c>
    </x:row>
    <x:row r="2359" ht="36" customHeight="1">
      <x:c r="A2359" s="19" t="str">
        <x:v>GRID51</x:v>
      </x:c>
      <x:c r="B2359" s="19" t="str">
        <x:v>GRID51_report.md</x:v>
      </x:c>
      <x:c r="C2359" s="19" t="str">
        <x:v>2. GRID51 原快速控制下残差评分改动</x:v>
      </x:c>
      <x:c r="D2359" s="19" t="str">
        <x:v>方法=COMPRESSED_GNN1；对照=LOCAL_GNN1</x:v>
      </x:c>
      <x:c r="E2359" s="19" t="str">
        <x:v>对照</x:v>
      </x:c>
      <x:c r="F2359" s="19" t="str">
        <x:v>LOCAL_GNN1</x:v>
      </x:c>
      <x:c r="G2359" s="19" t="str">
        <x:v>其他/配置</x:v>
      </x:c>
      <x:c r="H2359" s="19" t="str">
        <x:v>D:/Codex/GRL研究/outputs/grid51/GRID51_report.md</x:v>
      </x:c>
    </x:row>
    <x:row r="2360" ht="36" customHeight="1">
      <x:c r="A2360" s="19" t="str">
        <x:v>GRID51</x:v>
      </x:c>
      <x:c r="B2360" s="19" t="str">
        <x:v>GRID51_report.md</x:v>
      </x:c>
      <x:c r="C2360" s="19" t="str">
        <x:v>2. GRID51 原快速控制下残差评分改动</x:v>
      </x:c>
      <x:c r="D2360" s="19" t="str">
        <x:v>方法=COMPRESSED_GNN1；对照=LOCAL_GNN1</x:v>
      </x:c>
      <x:c r="E2360" s="19" t="str">
        <x:v>控制时间减少</x:v>
      </x:c>
      <x:c r="F2360" s="19" t="str">
        <x:v>-0.678%</x:v>
      </x:c>
      <x:c r="G2360" s="19" t="str">
        <x:v>速度/计算</x:v>
      </x:c>
      <x:c r="H2360" s="19" t="str">
        <x:v>D:/Codex/GRL研究/outputs/grid51/GRID51_report.md</x:v>
      </x:c>
    </x:row>
    <x:row r="2361" ht="36" customHeight="1">
      <x:c r="A2361" s="19" t="str">
        <x:v>GRID51</x:v>
      </x:c>
      <x:c r="B2361" s="19" t="str">
        <x:v>GRID51_report.md</x:v>
      </x:c>
      <x:c r="C2361" s="19" t="str">
        <x:v>2. GRID51 原快速控制下残差评分改动</x:v>
      </x:c>
      <x:c r="D2361" s="19" t="str">
        <x:v>方法=COMPRESSED_GNN1；对照=LOCAL_GNN1</x:v>
      </x:c>
      <x:c r="E2361" s="19" t="str">
        <x:v>查询减少</x:v>
      </x:c>
      <x:c r="F2361" s="19" t="str">
        <x:v>-2.646%</x:v>
      </x:c>
      <x:c r="G2361" s="19" t="str">
        <x:v>速度/计算</x:v>
      </x:c>
      <x:c r="H2361" s="19" t="str">
        <x:v>D:/Codex/GRL研究/outputs/grid51/GRID51_report.md</x:v>
      </x:c>
    </x:row>
    <x:row r="2362" ht="36" customHeight="1">
      <x:c r="A2362" s="19" t="str">
        <x:v>GRID51</x:v>
      </x:c>
      <x:c r="B2362" s="19" t="str">
        <x:v>GRID51_report.md</x:v>
      </x:c>
      <x:c r="C2362" s="19" t="str">
        <x:v>2. GRID51 原快速控制下残差评分改动</x:v>
      </x:c>
      <x:c r="D2362" s="19" t="str">
        <x:v>方法=COMPRESSED_GNN1；对照=LOCAL_GNN1</x:v>
      </x:c>
      <x:c r="E2362" s="19" t="str">
        <x:v>时间正向配对</x:v>
      </x:c>
      <x:c r="F2362" s="19" t="str">
        <x:v>2/4</x:v>
      </x:c>
      <x:c r="G2362" s="19" t="str">
        <x:v>速度/计算</x:v>
      </x:c>
      <x:c r="H2362" s="19" t="str">
        <x:v>D:/Codex/GRL研究/outputs/grid51/GRID51_report.md</x:v>
      </x:c>
    </x:row>
    <x:row r="2363" ht="36" customHeight="1">
      <x:c r="A2363" s="19" t="str">
        <x:v>GRID51</x:v>
      </x:c>
      <x:c r="B2363" s="19" t="str">
        <x:v>GRID51_report.md</x:v>
      </x:c>
      <x:c r="C2363" s="19" t="str">
        <x:v>2. GRID51 原快速控制下残差评分改动</x:v>
      </x:c>
      <x:c r="D2363" s="19" t="str">
        <x:v>方法=COMPRESSED_GNN0；对照=LOCAL_GNN1</x:v>
      </x:c>
      <x:c r="E2363" s="19" t="str">
        <x:v>对照</x:v>
      </x:c>
      <x:c r="F2363" s="19" t="str">
        <x:v>LOCAL_GNN1</x:v>
      </x:c>
      <x:c r="G2363" s="19" t="str">
        <x:v>其他/配置</x:v>
      </x:c>
      <x:c r="H2363" s="19" t="str">
        <x:v>D:/Codex/GRL研究/outputs/grid51/GRID51_report.md</x:v>
      </x:c>
    </x:row>
    <x:row r="2364" ht="36" customHeight="1">
      <x:c r="A2364" s="19" t="str">
        <x:v>GRID51</x:v>
      </x:c>
      <x:c r="B2364" s="19" t="str">
        <x:v>GRID51_report.md</x:v>
      </x:c>
      <x:c r="C2364" s="19" t="str">
        <x:v>2. GRID51 原快速控制下残差评分改动</x:v>
      </x:c>
      <x:c r="D2364" s="19" t="str">
        <x:v>方法=COMPRESSED_GNN0；对照=LOCAL_GNN1</x:v>
      </x:c>
      <x:c r="E2364" s="19" t="str">
        <x:v>控制时间减少</x:v>
      </x:c>
      <x:c r="F2364" s="19" t="str">
        <x:v>0.298%</x:v>
      </x:c>
      <x:c r="G2364" s="19" t="str">
        <x:v>速度/计算</x:v>
      </x:c>
      <x:c r="H2364" s="19" t="str">
        <x:v>D:/Codex/GRL研究/outputs/grid51/GRID51_report.md</x:v>
      </x:c>
    </x:row>
    <x:row r="2365" ht="36" customHeight="1">
      <x:c r="A2365" s="19" t="str">
        <x:v>GRID51</x:v>
      </x:c>
      <x:c r="B2365" s="19" t="str">
        <x:v>GRID51_report.md</x:v>
      </x:c>
      <x:c r="C2365" s="19" t="str">
        <x:v>2. GRID51 原快速控制下残差评分改动</x:v>
      </x:c>
      <x:c r="D2365" s="19" t="str">
        <x:v>方法=COMPRESSED_GNN0；对照=LOCAL_GNN1</x:v>
      </x:c>
      <x:c r="E2365" s="19" t="str">
        <x:v>查询减少</x:v>
      </x:c>
      <x:c r="F2365" s="19" t="str">
        <x:v>-2.646%</x:v>
      </x:c>
      <x:c r="G2365" s="19" t="str">
        <x:v>速度/计算</x:v>
      </x:c>
      <x:c r="H2365" s="19" t="str">
        <x:v>D:/Codex/GRL研究/outputs/grid51/GRID51_report.md</x:v>
      </x:c>
    </x:row>
    <x:row r="2366" ht="36" customHeight="1">
      <x:c r="A2366" s="19" t="str">
        <x:v>GRID51</x:v>
      </x:c>
      <x:c r="B2366" s="19" t="str">
        <x:v>GRID51_report.md</x:v>
      </x:c>
      <x:c r="C2366" s="19" t="str">
        <x:v>2. GRID51 原快速控制下残差评分改动</x:v>
      </x:c>
      <x:c r="D2366" s="19" t="str">
        <x:v>方法=COMPRESSED_GNN0；对照=LOCAL_GNN1</x:v>
      </x:c>
      <x:c r="E2366" s="19" t="str">
        <x:v>时间正向配对</x:v>
      </x:c>
      <x:c r="F2366" s="19" t="str">
        <x:v>1/4</x:v>
      </x:c>
      <x:c r="G2366" s="19" t="str">
        <x:v>速度/计算</x:v>
      </x:c>
      <x:c r="H2366" s="19" t="str">
        <x:v>D:/Codex/GRL研究/outputs/grid51/GRID51_report.md</x:v>
      </x:c>
    </x:row>
    <x:row r="2367" ht="36" customHeight="1">
      <x:c r="A2367" s="19" t="str">
        <x:v>GRID51</x:v>
      </x:c>
      <x:c r="B2367" s="19" t="str">
        <x:v>GRID51_report.md</x:v>
      </x:c>
      <x:c r="C2367" s="19" t="str">
        <x:v>2. GRID51 原快速控制下残差评分改动</x:v>
      </x:c>
      <x:c r="D2367" s="19" t="str">
        <x:v>方法=COMPRESSED_GNN1；对照=LOCAL_GNN0</x:v>
      </x:c>
      <x:c r="E2367" s="19" t="str">
        <x:v>对照</x:v>
      </x:c>
      <x:c r="F2367" s="19" t="str">
        <x:v>LOCAL_GNN0</x:v>
      </x:c>
      <x:c r="G2367" s="19" t="str">
        <x:v>其他/配置</x:v>
      </x:c>
      <x:c r="H2367" s="19" t="str">
        <x:v>D:/Codex/GRL研究/outputs/grid51/GRID51_report.md</x:v>
      </x:c>
    </x:row>
    <x:row r="2368" ht="36" customHeight="1">
      <x:c r="A2368" s="19" t="str">
        <x:v>GRID51</x:v>
      </x:c>
      <x:c r="B2368" s="19" t="str">
        <x:v>GRID51_report.md</x:v>
      </x:c>
      <x:c r="C2368" s="19" t="str">
        <x:v>2. GRID51 原快速控制下残差评分改动</x:v>
      </x:c>
      <x:c r="D2368" s="19" t="str">
        <x:v>方法=COMPRESSED_GNN1；对照=LOCAL_GNN0</x:v>
      </x:c>
      <x:c r="E2368" s="19" t="str">
        <x:v>控制时间减少</x:v>
      </x:c>
      <x:c r="F2368" s="19" t="str">
        <x:v>4.682%</x:v>
      </x:c>
      <x:c r="G2368" s="19" t="str">
        <x:v>速度/计算</x:v>
      </x:c>
      <x:c r="H2368" s="19" t="str">
        <x:v>D:/Codex/GRL研究/outputs/grid51/GRID51_report.md</x:v>
      </x:c>
    </x:row>
    <x:row r="2369" ht="36" customHeight="1">
      <x:c r="A2369" s="19" t="str">
        <x:v>GRID51</x:v>
      </x:c>
      <x:c r="B2369" s="19" t="str">
        <x:v>GRID51_report.md</x:v>
      </x:c>
      <x:c r="C2369" s="19" t="str">
        <x:v>2. GRID51 原快速控制下残差评分改动</x:v>
      </x:c>
      <x:c r="D2369" s="19" t="str">
        <x:v>方法=COMPRESSED_GNN1；对照=LOCAL_GNN0</x:v>
      </x:c>
      <x:c r="E2369" s="19" t="str">
        <x:v>查询减少</x:v>
      </x:c>
      <x:c r="F2369" s="19" t="str">
        <x:v>-5.060%</x:v>
      </x:c>
      <x:c r="G2369" s="19" t="str">
        <x:v>速度/计算</x:v>
      </x:c>
      <x:c r="H2369" s="19" t="str">
        <x:v>D:/Codex/GRL研究/outputs/grid51/GRID51_report.md</x:v>
      </x:c>
    </x:row>
    <x:row r="2370" ht="36" customHeight="1">
      <x:c r="A2370" s="19" t="str">
        <x:v>GRID51</x:v>
      </x:c>
      <x:c r="B2370" s="19" t="str">
        <x:v>GRID51_report.md</x:v>
      </x:c>
      <x:c r="C2370" s="19" t="str">
        <x:v>2. GRID51 原快速控制下残差评分改动</x:v>
      </x:c>
      <x:c r="D2370" s="19" t="str">
        <x:v>方法=COMPRESSED_GNN1；对照=LOCAL_GNN0</x:v>
      </x:c>
      <x:c r="E2370" s="19" t="str">
        <x:v>时间正向配对</x:v>
      </x:c>
      <x:c r="F2370" s="19" t="str">
        <x:v>2/4</x:v>
      </x:c>
      <x:c r="G2370" s="19" t="str">
        <x:v>速度/计算</x:v>
      </x:c>
      <x:c r="H2370" s="19" t="str">
        <x:v>D:/Codex/GRL研究/outputs/grid51/GRID51_report.md</x:v>
      </x:c>
    </x:row>
    <x:row r="2371" ht="36" customHeight="1">
      <x:c r="A2371" s="19" t="str">
        <x:v>GRID52</x:v>
      </x:c>
      <x:c r="B2371" s="19" t="str">
        <x:v>GRID52_report.md</x:v>
      </x:c>
      <x:c r="C2371" s="19" t="str">
        <x:v>1. GRID52 八个预留日期家族确认</x:v>
      </x:c>
      <x:c r="D2371" s="19" t="str">
        <x:v>方法=FULL；完成=16/16</x:v>
      </x:c>
      <x:c r="E2371" s="19" t="str">
        <x:v>完成</x:v>
      </x:c>
      <x:c r="F2371" s="19" t="str">
        <x:v>16/16</x:v>
      </x:c>
      <x:c r="G2371" s="19" t="str">
        <x:v>质量/成本</x:v>
      </x:c>
      <x:c r="H2371" s="19" t="str">
        <x:v>D:/Codex/GRL研究/outputs/grid52/GRID52_report.md</x:v>
      </x:c>
    </x:row>
    <x:row r="2372" ht="36" customHeight="1">
      <x:c r="A2372" s="19" t="str">
        <x:v>GRID52</x:v>
      </x:c>
      <x:c r="B2372" s="19" t="str">
        <x:v>GRID52_report.md</x:v>
      </x:c>
      <x:c r="C2372" s="19" t="str">
        <x:v>1. GRID52 八个预留日期家族确认</x:v>
      </x:c>
      <x:c r="D2372" s="19" t="str">
        <x:v>方法=FULL；完成=16/16</x:v>
      </x:c>
      <x:c r="E2372" s="19" t="str">
        <x:v>无提前失败</x:v>
      </x:c>
      <x:c r="F2372" s="19" t="str">
        <x:v>16/16</x:v>
      </x:c>
      <x:c r="G2372" s="19" t="str">
        <x:v>质量/成本</x:v>
      </x:c>
      <x:c r="H2372" s="19" t="str">
        <x:v>D:/Codex/GRL研究/outputs/grid52/GRID52_report.md</x:v>
      </x:c>
    </x:row>
    <x:row r="2373" ht="36" customHeight="1">
      <x:c r="A2373" s="19" t="str">
        <x:v>GRID52</x:v>
      </x:c>
      <x:c r="B2373" s="19" t="str">
        <x:v>GRID52_report.md</x:v>
      </x:c>
      <x:c r="C2373" s="19" t="str">
        <x:v>1. GRID52 八个预留日期家族确认</x:v>
      </x:c>
      <x:c r="D2373" s="19" t="str">
        <x:v>方法=FULL；完成=16/16</x:v>
      </x:c>
      <x:c r="E2373" s="19" t="str">
        <x:v>质量筛查</x:v>
      </x:c>
      <x:c r="F2373" s="19" t="str">
        <x:v>16/16</x:v>
      </x:c>
      <x:c r="G2373" s="19" t="str">
        <x:v>质量/成本</x:v>
      </x:c>
      <x:c r="H2373" s="19" t="str">
        <x:v>D:/Codex/GRL研究/outputs/grid52/GRID52_report.md</x:v>
      </x:c>
    </x:row>
    <x:row r="2374" ht="36" customHeight="1">
      <x:c r="A2374" s="19" t="str">
        <x:v>GRID52</x:v>
      </x:c>
      <x:c r="B2374" s="19" t="str">
        <x:v>GRID52_report.md</x:v>
      </x:c>
      <x:c r="C2374" s="19" t="str">
        <x:v>1. GRID52 八个预留日期家族确认</x:v>
      </x:c>
      <x:c r="D2374" s="19" t="str">
        <x:v>方法=FULL；完成=16/16</x:v>
      </x:c>
      <x:c r="E2374" s="19" t="str">
        <x:v>完成周最大成本差</x:v>
      </x:c>
      <x:c r="F2374" s="19" t="str">
        <x:v>0.00000%</x:v>
      </x:c>
      <x:c r="G2374" s="19" t="str">
        <x:v>质量/成本</x:v>
      </x:c>
      <x:c r="H2374" s="19" t="str">
        <x:v>D:/Codex/GRL研究/outputs/grid52/GRID52_report.md</x:v>
      </x:c>
    </x:row>
    <x:row r="2375" ht="36" customHeight="1">
      <x:c r="A2375" s="19" t="str">
        <x:v>GRID52</x:v>
      </x:c>
      <x:c r="B2375" s="19" t="str">
        <x:v>GRID52_report.md</x:v>
      </x:c>
      <x:c r="C2375" s="19" t="str">
        <x:v>1. GRID52 八个预留日期家族确认</x:v>
      </x:c>
      <x:c r="D2375" s="19" t="str">
        <x:v>方法=FULL；完成=16/16</x:v>
      </x:c>
      <x:c r="E2375" s="19" t="str">
        <x:v>对FULL宏平均控制时间减少</x:v>
      </x:c>
      <x:c r="F2375" s="19" t="str">
        <x:v>参照</x:v>
      </x:c>
      <x:c r="G2375" s="19" t="str">
        <x:v>速度/计算</x:v>
      </x:c>
      <x:c r="H2375" s="19" t="str">
        <x:v>D:/Codex/GRL研究/outputs/grid52/GRID52_report.md</x:v>
      </x:c>
    </x:row>
    <x:row r="2376" ht="36" customHeight="1">
      <x:c r="A2376" s="19" t="str">
        <x:v>GRID52</x:v>
      </x:c>
      <x:c r="B2376" s="19" t="str">
        <x:v>GRID52_report.md</x:v>
      </x:c>
      <x:c r="C2376" s="19" t="str">
        <x:v>1. GRID52 八个预留日期家族确认</x:v>
      </x:c>
      <x:c r="D2376" s="19" t="str">
        <x:v>方法=SOFTGNN0；完成=16/16</x:v>
      </x:c>
      <x:c r="E2376" s="19" t="str">
        <x:v>完成</x:v>
      </x:c>
      <x:c r="F2376" s="19" t="str">
        <x:v>16/16</x:v>
      </x:c>
      <x:c r="G2376" s="19" t="str">
        <x:v>质量/成本</x:v>
      </x:c>
      <x:c r="H2376" s="19" t="str">
        <x:v>D:/Codex/GRL研究/outputs/grid52/GRID52_report.md</x:v>
      </x:c>
    </x:row>
    <x:row r="2377" ht="36" customHeight="1">
      <x:c r="A2377" s="19" t="str">
        <x:v>GRID52</x:v>
      </x:c>
      <x:c r="B2377" s="19" t="str">
        <x:v>GRID52_report.md</x:v>
      </x:c>
      <x:c r="C2377" s="19" t="str">
        <x:v>1. GRID52 八个预留日期家族确认</x:v>
      </x:c>
      <x:c r="D2377" s="19" t="str">
        <x:v>方法=SOFTGNN0；完成=16/16</x:v>
      </x:c>
      <x:c r="E2377" s="19" t="str">
        <x:v>无提前失败</x:v>
      </x:c>
      <x:c r="F2377" s="19" t="str">
        <x:v>16/16</x:v>
      </x:c>
      <x:c r="G2377" s="19" t="str">
        <x:v>质量/成本</x:v>
      </x:c>
      <x:c r="H2377" s="19" t="str">
        <x:v>D:/Codex/GRL研究/outputs/grid52/GRID52_report.md</x:v>
      </x:c>
    </x:row>
    <x:row r="2378" ht="36" customHeight="1">
      <x:c r="A2378" s="19" t="str">
        <x:v>GRID52</x:v>
      </x:c>
      <x:c r="B2378" s="19" t="str">
        <x:v>GRID52_report.md</x:v>
      </x:c>
      <x:c r="C2378" s="19" t="str">
        <x:v>1. GRID52 八个预留日期家族确认</x:v>
      </x:c>
      <x:c r="D2378" s="19" t="str">
        <x:v>方法=SOFTGNN0；完成=16/16</x:v>
      </x:c>
      <x:c r="E2378" s="19" t="str">
        <x:v>质量筛查</x:v>
      </x:c>
      <x:c r="F2378" s="19" t="str">
        <x:v>16/16</x:v>
      </x:c>
      <x:c r="G2378" s="19" t="str">
        <x:v>质量/成本</x:v>
      </x:c>
      <x:c r="H2378" s="19" t="str">
        <x:v>D:/Codex/GRL研究/outputs/grid52/GRID52_report.md</x:v>
      </x:c>
    </x:row>
    <x:row r="2379" ht="36" customHeight="1">
      <x:c r="A2379" s="19" t="str">
        <x:v>GRID52</x:v>
      </x:c>
      <x:c r="B2379" s="19" t="str">
        <x:v>GRID52_report.md</x:v>
      </x:c>
      <x:c r="C2379" s="19" t="str">
        <x:v>1. GRID52 八个预留日期家族确认</x:v>
      </x:c>
      <x:c r="D2379" s="19" t="str">
        <x:v>方法=SOFTGNN0；完成=16/16</x:v>
      </x:c>
      <x:c r="E2379" s="19" t="str">
        <x:v>完成周最大成本差</x:v>
      </x:c>
      <x:c r="F2379" s="19" t="str">
        <x:v>0.17696%</x:v>
      </x:c>
      <x:c r="G2379" s="19" t="str">
        <x:v>质量/成本</x:v>
      </x:c>
      <x:c r="H2379" s="19" t="str">
        <x:v>D:/Codex/GRL研究/outputs/grid52/GRID52_report.md</x:v>
      </x:c>
    </x:row>
    <x:row r="2380" ht="36" customHeight="1">
      <x:c r="A2380" s="19" t="str">
        <x:v>GRID52</x:v>
      </x:c>
      <x:c r="B2380" s="19" t="str">
        <x:v>GRID52_report.md</x:v>
      </x:c>
      <x:c r="C2380" s="19" t="str">
        <x:v>1. GRID52 八个预留日期家族确认</x:v>
      </x:c>
      <x:c r="D2380" s="19" t="str">
        <x:v>方法=SOFTGNN0；完成=16/16</x:v>
      </x:c>
      <x:c r="E2380" s="19" t="str">
        <x:v>对FULL宏平均控制时间减少</x:v>
      </x:c>
      <x:c r="F2380" s="19" t="str">
        <x:v>15.934%</x:v>
      </x:c>
      <x:c r="G2380" s="19" t="str">
        <x:v>速度/计算</x:v>
      </x:c>
      <x:c r="H2380" s="19" t="str">
        <x:v>D:/Codex/GRL研究/outputs/grid52/GRID52_report.md</x:v>
      </x:c>
    </x:row>
    <x:row r="2381" ht="36" customHeight="1">
      <x:c r="A2381" s="19" t="str">
        <x:v>GRID52</x:v>
      </x:c>
      <x:c r="B2381" s="19" t="str">
        <x:v>GRID52_report.md</x:v>
      </x:c>
      <x:c r="C2381" s="19" t="str">
        <x:v>1. GRID52 八个预留日期家族确认</x:v>
      </x:c>
      <x:c r="D2381" s="19" t="str">
        <x:v>方法=SOFTGNN1；完成=16/16</x:v>
      </x:c>
      <x:c r="E2381" s="19" t="str">
        <x:v>完成</x:v>
      </x:c>
      <x:c r="F2381" s="19" t="str">
        <x:v>16/16</x:v>
      </x:c>
      <x:c r="G2381" s="19" t="str">
        <x:v>质量/成本</x:v>
      </x:c>
      <x:c r="H2381" s="19" t="str">
        <x:v>D:/Codex/GRL研究/outputs/grid52/GRID52_report.md</x:v>
      </x:c>
    </x:row>
    <x:row r="2382" ht="36" customHeight="1">
      <x:c r="A2382" s="19" t="str">
        <x:v>GRID52</x:v>
      </x:c>
      <x:c r="B2382" s="19" t="str">
        <x:v>GRID52_report.md</x:v>
      </x:c>
      <x:c r="C2382" s="19" t="str">
        <x:v>1. GRID52 八个预留日期家族确认</x:v>
      </x:c>
      <x:c r="D2382" s="19" t="str">
        <x:v>方法=SOFTGNN1；完成=16/16</x:v>
      </x:c>
      <x:c r="E2382" s="19" t="str">
        <x:v>无提前失败</x:v>
      </x:c>
      <x:c r="F2382" s="19" t="str">
        <x:v>16/16</x:v>
      </x:c>
      <x:c r="G2382" s="19" t="str">
        <x:v>质量/成本</x:v>
      </x:c>
      <x:c r="H2382" s="19" t="str">
        <x:v>D:/Codex/GRL研究/outputs/grid52/GRID52_report.md</x:v>
      </x:c>
    </x:row>
    <x:row r="2383" ht="36" customHeight="1">
      <x:c r="A2383" s="19" t="str">
        <x:v>GRID52</x:v>
      </x:c>
      <x:c r="B2383" s="19" t="str">
        <x:v>GRID52_report.md</x:v>
      </x:c>
      <x:c r="C2383" s="19" t="str">
        <x:v>1. GRID52 八个预留日期家族确认</x:v>
      </x:c>
      <x:c r="D2383" s="19" t="str">
        <x:v>方法=SOFTGNN1；完成=16/16</x:v>
      </x:c>
      <x:c r="E2383" s="19" t="str">
        <x:v>质量筛查</x:v>
      </x:c>
      <x:c r="F2383" s="19" t="str">
        <x:v>16/16</x:v>
      </x:c>
      <x:c r="G2383" s="19" t="str">
        <x:v>质量/成本</x:v>
      </x:c>
      <x:c r="H2383" s="19" t="str">
        <x:v>D:/Codex/GRL研究/outputs/grid52/GRID52_report.md</x:v>
      </x:c>
    </x:row>
    <x:row r="2384" ht="36" customHeight="1">
      <x:c r="A2384" s="19" t="str">
        <x:v>GRID52</x:v>
      </x:c>
      <x:c r="B2384" s="19" t="str">
        <x:v>GRID52_report.md</x:v>
      </x:c>
      <x:c r="C2384" s="19" t="str">
        <x:v>1. GRID52 八个预留日期家族确认</x:v>
      </x:c>
      <x:c r="D2384" s="19" t="str">
        <x:v>方法=SOFTGNN1；完成=16/16</x:v>
      </x:c>
      <x:c r="E2384" s="19" t="str">
        <x:v>完成周最大成本差</x:v>
      </x:c>
      <x:c r="F2384" s="19" t="str">
        <x:v>0.16893%</x:v>
      </x:c>
      <x:c r="G2384" s="19" t="str">
        <x:v>质量/成本</x:v>
      </x:c>
      <x:c r="H2384" s="19" t="str">
        <x:v>D:/Codex/GRL研究/outputs/grid52/GRID52_report.md</x:v>
      </x:c>
    </x:row>
    <x:row r="2385" ht="36" customHeight="1">
      <x:c r="A2385" s="19" t="str">
        <x:v>GRID52</x:v>
      </x:c>
      <x:c r="B2385" s="19" t="str">
        <x:v>GRID52_report.md</x:v>
      </x:c>
      <x:c r="C2385" s="19" t="str">
        <x:v>1. GRID52 八个预留日期家族确认</x:v>
      </x:c>
      <x:c r="D2385" s="19" t="str">
        <x:v>方法=SOFTGNN1；完成=16/16</x:v>
      </x:c>
      <x:c r="E2385" s="19" t="str">
        <x:v>对FULL宏平均控制时间减少</x:v>
      </x:c>
      <x:c r="F2385" s="19" t="str">
        <x:v>18.097%</x:v>
      </x:c>
      <x:c r="G2385" s="19" t="str">
        <x:v>速度/计算</x:v>
      </x:c>
      <x:c r="H2385" s="19" t="str">
        <x:v>D:/Codex/GRL研究/outputs/grid52/GRID52_report.md</x:v>
      </x:c>
    </x:row>
    <x:row r="2386" ht="36" customHeight="1">
      <x:c r="A2386" s="19" t="str">
        <x:v>GRID52</x:v>
      </x:c>
      <x:c r="B2386" s="19" t="str">
        <x:v>GRID52_report.md</x:v>
      </x:c>
      <x:c r="C2386" s="19" t="str">
        <x:v>1. GRID52 八个预留日期家族确认</x:v>
      </x:c>
      <x:c r="D2386" s="19" t="str">
        <x:v>方法=LOCAL_PPO；完成=16/16</x:v>
      </x:c>
      <x:c r="E2386" s="19" t="str">
        <x:v>完成</x:v>
      </x:c>
      <x:c r="F2386" s="19" t="str">
        <x:v>16/16</x:v>
      </x:c>
      <x:c r="G2386" s="19" t="str">
        <x:v>质量/成本</x:v>
      </x:c>
      <x:c r="H2386" s="19" t="str">
        <x:v>D:/Codex/GRL研究/outputs/grid52/GRID52_report.md</x:v>
      </x:c>
    </x:row>
    <x:row r="2387" ht="36" customHeight="1">
      <x:c r="A2387" s="19" t="str">
        <x:v>GRID52</x:v>
      </x:c>
      <x:c r="B2387" s="19" t="str">
        <x:v>GRID52_report.md</x:v>
      </x:c>
      <x:c r="C2387" s="19" t="str">
        <x:v>1. GRID52 八个预留日期家族确认</x:v>
      </x:c>
      <x:c r="D2387" s="19" t="str">
        <x:v>方法=LOCAL_PPO；完成=16/16</x:v>
      </x:c>
      <x:c r="E2387" s="19" t="str">
        <x:v>无提前失败</x:v>
      </x:c>
      <x:c r="F2387" s="19" t="str">
        <x:v>16/16</x:v>
      </x:c>
      <x:c r="G2387" s="19" t="str">
        <x:v>质量/成本</x:v>
      </x:c>
      <x:c r="H2387" s="19" t="str">
        <x:v>D:/Codex/GRL研究/outputs/grid52/GRID52_report.md</x:v>
      </x:c>
    </x:row>
    <x:row r="2388" ht="36" customHeight="1">
      <x:c r="A2388" s="19" t="str">
        <x:v>GRID52</x:v>
      </x:c>
      <x:c r="B2388" s="19" t="str">
        <x:v>GRID52_report.md</x:v>
      </x:c>
      <x:c r="C2388" s="19" t="str">
        <x:v>1. GRID52 八个预留日期家族确认</x:v>
      </x:c>
      <x:c r="D2388" s="19" t="str">
        <x:v>方法=LOCAL_PPO；完成=16/16</x:v>
      </x:c>
      <x:c r="E2388" s="19" t="str">
        <x:v>质量筛查</x:v>
      </x:c>
      <x:c r="F2388" s="19" t="str">
        <x:v>12/16</x:v>
      </x:c>
      <x:c r="G2388" s="19" t="str">
        <x:v>质量/成本</x:v>
      </x:c>
      <x:c r="H2388" s="19" t="str">
        <x:v>D:/Codex/GRL研究/outputs/grid52/GRID52_report.md</x:v>
      </x:c>
    </x:row>
    <x:row r="2389" ht="36" customHeight="1">
      <x:c r="A2389" s="19" t="str">
        <x:v>GRID52</x:v>
      </x:c>
      <x:c r="B2389" s="19" t="str">
        <x:v>GRID52_report.md</x:v>
      </x:c>
      <x:c r="C2389" s="19" t="str">
        <x:v>1. GRID52 八个预留日期家族确认</x:v>
      </x:c>
      <x:c r="D2389" s="19" t="str">
        <x:v>方法=LOCAL_PPO；完成=16/16</x:v>
      </x:c>
      <x:c r="E2389" s="19" t="str">
        <x:v>完成周最大成本差</x:v>
      </x:c>
      <x:c r="F2389" s="19" t="str">
        <x:v>12.43418%</x:v>
      </x:c>
      <x:c r="G2389" s="19" t="str">
        <x:v>质量/成本</x:v>
      </x:c>
      <x:c r="H2389" s="19" t="str">
        <x:v>D:/Codex/GRL研究/outputs/grid52/GRID52_report.md</x:v>
      </x:c>
    </x:row>
    <x:row r="2390" ht="36" customHeight="1">
      <x:c r="A2390" s="19" t="str">
        <x:v>GRID52</x:v>
      </x:c>
      <x:c r="B2390" s="19" t="str">
        <x:v>GRID52_report.md</x:v>
      </x:c>
      <x:c r="C2390" s="19" t="str">
        <x:v>1. GRID52 八个预留日期家族确认</x:v>
      </x:c>
      <x:c r="D2390" s="19" t="str">
        <x:v>方法=LOCAL_PPO；完成=16/16</x:v>
      </x:c>
      <x:c r="E2390" s="19" t="str">
        <x:v>对FULL宏平均控制时间减少</x:v>
      </x:c>
      <x:c r="F2390" s="19" t="str">
        <x:v>17.164%</x:v>
      </x:c>
      <x:c r="G2390" s="19" t="str">
        <x:v>速度/计算</x:v>
      </x:c>
      <x:c r="H2390" s="19" t="str">
        <x:v>D:/Codex/GRL研究/outputs/grid52/GRID52_report.md</x:v>
      </x:c>
    </x:row>
    <x:row r="2391" ht="36" customHeight="1">
      <x:c r="A2391" s="19" t="str">
        <x:v>GRID52</x:v>
      </x:c>
      <x:c r="B2391" s="19" t="str">
        <x:v>GRID52_report.md</x:v>
      </x:c>
      <x:c r="C2391" s="19" t="str">
        <x:v>1. GRID52 八个预留日期家族确认</x:v>
      </x:c>
      <x:c r="D2391" s="19" t="str">
        <x:v>方法=COMPRESSED_GNN0；完成=16/16</x:v>
      </x:c>
      <x:c r="E2391" s="19" t="str">
        <x:v>完成</x:v>
      </x:c>
      <x:c r="F2391" s="19" t="str">
        <x:v>16/16</x:v>
      </x:c>
      <x:c r="G2391" s="19" t="str">
        <x:v>质量/成本</x:v>
      </x:c>
      <x:c r="H2391" s="19" t="str">
        <x:v>D:/Codex/GRL研究/outputs/grid52/GRID52_report.md</x:v>
      </x:c>
    </x:row>
    <x:row r="2392" ht="36" customHeight="1">
      <x:c r="A2392" s="19" t="str">
        <x:v>GRID52</x:v>
      </x:c>
      <x:c r="B2392" s="19" t="str">
        <x:v>GRID52_report.md</x:v>
      </x:c>
      <x:c r="C2392" s="19" t="str">
        <x:v>1. GRID52 八个预留日期家族确认</x:v>
      </x:c>
      <x:c r="D2392" s="19" t="str">
        <x:v>方法=COMPRESSED_GNN0；完成=16/16</x:v>
      </x:c>
      <x:c r="E2392" s="19" t="str">
        <x:v>无提前失败</x:v>
      </x:c>
      <x:c r="F2392" s="19" t="str">
        <x:v>16/16</x:v>
      </x:c>
      <x:c r="G2392" s="19" t="str">
        <x:v>质量/成本</x:v>
      </x:c>
      <x:c r="H2392" s="19" t="str">
        <x:v>D:/Codex/GRL研究/outputs/grid52/GRID52_report.md</x:v>
      </x:c>
    </x:row>
    <x:row r="2393" ht="36" customHeight="1">
      <x:c r="A2393" s="19" t="str">
        <x:v>GRID52</x:v>
      </x:c>
      <x:c r="B2393" s="19" t="str">
        <x:v>GRID52_report.md</x:v>
      </x:c>
      <x:c r="C2393" s="19" t="str">
        <x:v>1. GRID52 八个预留日期家族确认</x:v>
      </x:c>
      <x:c r="D2393" s="19" t="str">
        <x:v>方法=COMPRESSED_GNN0；完成=16/16</x:v>
      </x:c>
      <x:c r="E2393" s="19" t="str">
        <x:v>质量筛查</x:v>
      </x:c>
      <x:c r="F2393" s="19" t="str">
        <x:v>16/16</x:v>
      </x:c>
      <x:c r="G2393" s="19" t="str">
        <x:v>质量/成本</x:v>
      </x:c>
      <x:c r="H2393" s="19" t="str">
        <x:v>D:/Codex/GRL研究/outputs/grid52/GRID52_report.md</x:v>
      </x:c>
    </x:row>
    <x:row r="2394" ht="36" customHeight="1">
      <x:c r="A2394" s="19" t="str">
        <x:v>GRID52</x:v>
      </x:c>
      <x:c r="B2394" s="19" t="str">
        <x:v>GRID52_report.md</x:v>
      </x:c>
      <x:c r="C2394" s="19" t="str">
        <x:v>1. GRID52 八个预留日期家族确认</x:v>
      </x:c>
      <x:c r="D2394" s="19" t="str">
        <x:v>方法=COMPRESSED_GNN0；完成=16/16</x:v>
      </x:c>
      <x:c r="E2394" s="19" t="str">
        <x:v>完成周最大成本差</x:v>
      </x:c>
      <x:c r="F2394" s="19" t="str">
        <x:v>0.08045%</x:v>
      </x:c>
      <x:c r="G2394" s="19" t="str">
        <x:v>质量/成本</x:v>
      </x:c>
      <x:c r="H2394" s="19" t="str">
        <x:v>D:/Codex/GRL研究/outputs/grid52/GRID52_report.md</x:v>
      </x:c>
    </x:row>
    <x:row r="2395" ht="36" customHeight="1">
      <x:c r="A2395" s="19" t="str">
        <x:v>GRID52</x:v>
      </x:c>
      <x:c r="B2395" s="19" t="str">
        <x:v>GRID52_report.md</x:v>
      </x:c>
      <x:c r="C2395" s="19" t="str">
        <x:v>1. GRID52 八个预留日期家族确认</x:v>
      </x:c>
      <x:c r="D2395" s="19" t="str">
        <x:v>方法=COMPRESSED_GNN0；完成=16/16</x:v>
      </x:c>
      <x:c r="E2395" s="19" t="str">
        <x:v>对FULL宏平均控制时间减少</x:v>
      </x:c>
      <x:c r="F2395" s="19" t="str">
        <x:v>14.465%</x:v>
      </x:c>
      <x:c r="G2395" s="19" t="str">
        <x:v>速度/计算</x:v>
      </x:c>
      <x:c r="H2395" s="19" t="str">
        <x:v>D:/Codex/GRL研究/outputs/grid52/GRID52_report.md</x:v>
      </x:c>
    </x:row>
    <x:row r="2396" ht="36" customHeight="1">
      <x:c r="A2396" s="19" t="str">
        <x:v>GRID52</x:v>
      </x:c>
      <x:c r="B2396" s="19" t="str">
        <x:v>GRID52_report.md</x:v>
      </x:c>
      <x:c r="C2396" s="19" t="str">
        <x:v>1. GRID52 八个预留日期家族确认</x:v>
      </x:c>
      <x:c r="D2396" s="19" t="str">
        <x:v>方法=COMPRESSED_GNN1；完成=16/16</x:v>
      </x:c>
      <x:c r="E2396" s="19" t="str">
        <x:v>完成</x:v>
      </x:c>
      <x:c r="F2396" s="19" t="str">
        <x:v>16/16</x:v>
      </x:c>
      <x:c r="G2396" s="19" t="str">
        <x:v>质量/成本</x:v>
      </x:c>
      <x:c r="H2396" s="19" t="str">
        <x:v>D:/Codex/GRL研究/outputs/grid52/GRID52_report.md</x:v>
      </x:c>
    </x:row>
    <x:row r="2397" ht="36" customHeight="1">
      <x:c r="A2397" s="19" t="str">
        <x:v>GRID52</x:v>
      </x:c>
      <x:c r="B2397" s="19" t="str">
        <x:v>GRID52_report.md</x:v>
      </x:c>
      <x:c r="C2397" s="19" t="str">
        <x:v>1. GRID52 八个预留日期家族确认</x:v>
      </x:c>
      <x:c r="D2397" s="19" t="str">
        <x:v>方法=COMPRESSED_GNN1；完成=16/16</x:v>
      </x:c>
      <x:c r="E2397" s="19" t="str">
        <x:v>无提前失败</x:v>
      </x:c>
      <x:c r="F2397" s="19" t="str">
        <x:v>16/16</x:v>
      </x:c>
      <x:c r="G2397" s="19" t="str">
        <x:v>质量/成本</x:v>
      </x:c>
      <x:c r="H2397" s="19" t="str">
        <x:v>D:/Codex/GRL研究/outputs/grid52/GRID52_report.md</x:v>
      </x:c>
    </x:row>
    <x:row r="2398" ht="36" customHeight="1">
      <x:c r="A2398" s="19" t="str">
        <x:v>GRID52</x:v>
      </x:c>
      <x:c r="B2398" s="19" t="str">
        <x:v>GRID52_report.md</x:v>
      </x:c>
      <x:c r="C2398" s="19" t="str">
        <x:v>1. GRID52 八个预留日期家族确认</x:v>
      </x:c>
      <x:c r="D2398" s="19" t="str">
        <x:v>方法=COMPRESSED_GNN1；完成=16/16</x:v>
      </x:c>
      <x:c r="E2398" s="19" t="str">
        <x:v>质量筛查</x:v>
      </x:c>
      <x:c r="F2398" s="19" t="str">
        <x:v>16/16</x:v>
      </x:c>
      <x:c r="G2398" s="19" t="str">
        <x:v>质量/成本</x:v>
      </x:c>
      <x:c r="H2398" s="19" t="str">
        <x:v>D:/Codex/GRL研究/outputs/grid52/GRID52_report.md</x:v>
      </x:c>
    </x:row>
    <x:row r="2399" ht="36" customHeight="1">
      <x:c r="A2399" s="19" t="str">
        <x:v>GRID52</x:v>
      </x:c>
      <x:c r="B2399" s="19" t="str">
        <x:v>GRID52_report.md</x:v>
      </x:c>
      <x:c r="C2399" s="19" t="str">
        <x:v>1. GRID52 八个预留日期家族确认</x:v>
      </x:c>
      <x:c r="D2399" s="19" t="str">
        <x:v>方法=COMPRESSED_GNN1；完成=16/16</x:v>
      </x:c>
      <x:c r="E2399" s="19" t="str">
        <x:v>完成周最大成本差</x:v>
      </x:c>
      <x:c r="F2399" s="19" t="str">
        <x:v>0.08045%</x:v>
      </x:c>
      <x:c r="G2399" s="19" t="str">
        <x:v>质量/成本</x:v>
      </x:c>
      <x:c r="H2399" s="19" t="str">
        <x:v>D:/Codex/GRL研究/outputs/grid52/GRID52_report.md</x:v>
      </x:c>
    </x:row>
    <x:row r="2400" ht="36" customHeight="1">
      <x:c r="A2400" s="19" t="str">
        <x:v>GRID52</x:v>
      </x:c>
      <x:c r="B2400" s="19" t="str">
        <x:v>GRID52_report.md</x:v>
      </x:c>
      <x:c r="C2400" s="19" t="str">
        <x:v>1. GRID52 八个预留日期家族确认</x:v>
      </x:c>
      <x:c r="D2400" s="19" t="str">
        <x:v>方法=COMPRESSED_GNN1；完成=16/16</x:v>
      </x:c>
      <x:c r="E2400" s="19" t="str">
        <x:v>对FULL宏平均控制时间减少</x:v>
      </x:c>
      <x:c r="F2400" s="19" t="str">
        <x:v>14.748%</x:v>
      </x:c>
      <x:c r="G2400" s="19" t="str">
        <x:v>速度/计算</x:v>
      </x:c>
      <x:c r="H2400" s="19" t="str">
        <x:v>D:/Codex/GRL研究/outputs/grid52/GRID52_report.md</x:v>
      </x:c>
    </x:row>
    <x:row r="2401" ht="36" customHeight="1">
      <x:c r="A2401" s="19" t="str">
        <x:v>GRID52</x:v>
      </x:c>
      <x:c r="B2401" s="19" t="str">
        <x:v>GRID52_report.md</x:v>
      </x:c>
      <x:c r="C2401" s="19" t="str">
        <x:v>2. GRID52 八个预留日期家族确认</x:v>
      </x:c>
      <x:c r="D2401" s="19" t="str">
        <x:v>方法=SOFTGNN0；对照=FULL</x:v>
      </x:c>
      <x:c r="E2401" s="19" t="str">
        <x:v>对照</x:v>
      </x:c>
      <x:c r="F2401" s="19" t="str">
        <x:v>FULL</x:v>
      </x:c>
      <x:c r="G2401" s="19" t="str">
        <x:v>其他/配置</x:v>
      </x:c>
      <x:c r="H2401" s="19" t="str">
        <x:v>D:/Codex/GRL研究/outputs/grid52/GRID52_report.md</x:v>
      </x:c>
    </x:row>
    <x:row r="2402" ht="36" customHeight="1">
      <x:c r="A2402" s="19" t="str">
        <x:v>GRID52</x:v>
      </x:c>
      <x:c r="B2402" s="19" t="str">
        <x:v>GRID52_report.md</x:v>
      </x:c>
      <x:c r="C2402" s="19" t="str">
        <x:v>2. GRID52 八个预留日期家族确认</x:v>
      </x:c>
      <x:c r="D2402" s="19" t="str">
        <x:v>方法=SOFTGNN0；对照=FULL</x:v>
      </x:c>
      <x:c r="E2402" s="19" t="str">
        <x:v>可比家族</x:v>
      </x:c>
      <x:c r="F2402" s="19" t="str">
        <x:v>8</x:v>
      </x:c>
      <x:c r="G2402" s="19" t="str">
        <x:v>其他/配置</x:v>
      </x:c>
      <x:c r="H2402" s="19" t="str">
        <x:v>D:/Codex/GRL研究/outputs/grid52/GRID52_report.md</x:v>
      </x:c>
    </x:row>
    <x:row r="2403" ht="36" customHeight="1">
      <x:c r="A2403" s="19" t="str">
        <x:v>GRID52</x:v>
      </x:c>
      <x:c r="B2403" s="19" t="str">
        <x:v>GRID52_report.md</x:v>
      </x:c>
      <x:c r="C2403" s="19" t="str">
        <x:v>2. GRID52 八个预留日期家族确认</x:v>
      </x:c>
      <x:c r="D2403" s="19" t="str">
        <x:v>方法=SOFTGNN0；对照=FULL</x:v>
      </x:c>
      <x:c r="E2403" s="19" t="str">
        <x:v>宏平均提速</x:v>
      </x:c>
      <x:c r="F2403" s="19" t="str">
        <x:v>15.934%</x:v>
      </x:c>
      <x:c r="G2403" s="19" t="str">
        <x:v>速度/计算</x:v>
      </x:c>
      <x:c r="H2403" s="19" t="str">
        <x:v>D:/Codex/GRL研究/outputs/grid52/GRID52_report.md</x:v>
      </x:c>
    </x:row>
    <x:row r="2404" ht="36" customHeight="1">
      <x:c r="A2404" s="19" t="str">
        <x:v>GRID52</x:v>
      </x:c>
      <x:c r="B2404" s="19" t="str">
        <x:v>GRID52_report.md</x:v>
      </x:c>
      <x:c r="C2404" s="19" t="str">
        <x:v>2. GRID52 八个预留日期家族确认</x:v>
      </x:c>
      <x:c r="D2404" s="19" t="str">
        <x:v>方法=SOFTGNN0；对照=FULL</x:v>
      </x:c>
      <x:c r="E2404" s="19" t="str">
        <x:v>家族bootstrap95%</x:v>
      </x:c>
      <x:c r="F2404" s="19" t="str">
        <x:v>[8.857%, 23.507%]</x:v>
      </x:c>
      <x:c r="G2404" s="19" t="str">
        <x:v>速度/计算</x:v>
      </x:c>
      <x:c r="H2404" s="19" t="str">
        <x:v>D:/Codex/GRL研究/outputs/grid52/GRID52_report.md</x:v>
      </x:c>
    </x:row>
    <x:row r="2405" ht="36" customHeight="1">
      <x:c r="A2405" s="19" t="str">
        <x:v>GRID52</x:v>
      </x:c>
      <x:c r="B2405" s="19" t="str">
        <x:v>GRID52_report.md</x:v>
      </x:c>
      <x:c r="C2405" s="19" t="str">
        <x:v>2. GRID52 八个预留日期家族确认</x:v>
      </x:c>
      <x:c r="D2405" s="19" t="str">
        <x:v>方法=SOFTGNN0；对照=FULL</x:v>
      </x:c>
      <x:c r="E2405" s="19" t="str">
        <x:v>时间正向家族</x:v>
      </x:c>
      <x:c r="F2405" s="19" t="str">
        <x:v>7</x:v>
      </x:c>
      <x:c r="G2405" s="19" t="str">
        <x:v>速度/计算</x:v>
      </x:c>
      <x:c r="H2405" s="19" t="str">
        <x:v>D:/Codex/GRL研究/outputs/grid52/GRID52_report.md</x:v>
      </x:c>
    </x:row>
    <x:row r="2406" ht="36" customHeight="1">
      <x:c r="A2406" s="19" t="str">
        <x:v>GRID52</x:v>
      </x:c>
      <x:c r="B2406" s="19" t="str">
        <x:v>GRID52_report.md</x:v>
      </x:c>
      <x:c r="C2406" s="19" t="str">
        <x:v>2. GRID52 八个预留日期家族确认</x:v>
      </x:c>
      <x:c r="D2406" s="19" t="str">
        <x:v>方法=SOFTGNN1；对照=FULL</x:v>
      </x:c>
      <x:c r="E2406" s="19" t="str">
        <x:v>对照</x:v>
      </x:c>
      <x:c r="F2406" s="19" t="str">
        <x:v>FULL</x:v>
      </x:c>
      <x:c r="G2406" s="19" t="str">
        <x:v>其他/配置</x:v>
      </x:c>
      <x:c r="H2406" s="19" t="str">
        <x:v>D:/Codex/GRL研究/outputs/grid52/GRID52_report.md</x:v>
      </x:c>
    </x:row>
    <x:row r="2407" ht="36" customHeight="1">
      <x:c r="A2407" s="19" t="str">
        <x:v>GRID52</x:v>
      </x:c>
      <x:c r="B2407" s="19" t="str">
        <x:v>GRID52_report.md</x:v>
      </x:c>
      <x:c r="C2407" s="19" t="str">
        <x:v>2. GRID52 八个预留日期家族确认</x:v>
      </x:c>
      <x:c r="D2407" s="19" t="str">
        <x:v>方法=SOFTGNN1；对照=FULL</x:v>
      </x:c>
      <x:c r="E2407" s="19" t="str">
        <x:v>可比家族</x:v>
      </x:c>
      <x:c r="F2407" s="19" t="str">
        <x:v>8</x:v>
      </x:c>
      <x:c r="G2407" s="19" t="str">
        <x:v>其他/配置</x:v>
      </x:c>
      <x:c r="H2407" s="19" t="str">
        <x:v>D:/Codex/GRL研究/outputs/grid52/GRID52_report.md</x:v>
      </x:c>
    </x:row>
    <x:row r="2408" ht="36" customHeight="1">
      <x:c r="A2408" s="19" t="str">
        <x:v>GRID52</x:v>
      </x:c>
      <x:c r="B2408" s="19" t="str">
        <x:v>GRID52_report.md</x:v>
      </x:c>
      <x:c r="C2408" s="19" t="str">
        <x:v>2. GRID52 八个预留日期家族确认</x:v>
      </x:c>
      <x:c r="D2408" s="19" t="str">
        <x:v>方法=SOFTGNN1；对照=FULL</x:v>
      </x:c>
      <x:c r="E2408" s="19" t="str">
        <x:v>宏平均提速</x:v>
      </x:c>
      <x:c r="F2408" s="19" t="str">
        <x:v>18.097%</x:v>
      </x:c>
      <x:c r="G2408" s="19" t="str">
        <x:v>速度/计算</x:v>
      </x:c>
      <x:c r="H2408" s="19" t="str">
        <x:v>D:/Codex/GRL研究/outputs/grid52/GRID52_report.md</x:v>
      </x:c>
    </x:row>
    <x:row r="2409" ht="36" customHeight="1">
      <x:c r="A2409" s="19" t="str">
        <x:v>GRID52</x:v>
      </x:c>
      <x:c r="B2409" s="19" t="str">
        <x:v>GRID52_report.md</x:v>
      </x:c>
      <x:c r="C2409" s="19" t="str">
        <x:v>2. GRID52 八个预留日期家族确认</x:v>
      </x:c>
      <x:c r="D2409" s="19" t="str">
        <x:v>方法=SOFTGNN1；对照=FULL</x:v>
      </x:c>
      <x:c r="E2409" s="19" t="str">
        <x:v>家族bootstrap95%</x:v>
      </x:c>
      <x:c r="F2409" s="19" t="str">
        <x:v>[10.368%, 25.793%]</x:v>
      </x:c>
      <x:c r="G2409" s="19" t="str">
        <x:v>速度/计算</x:v>
      </x:c>
      <x:c r="H2409" s="19" t="str">
        <x:v>D:/Codex/GRL研究/outputs/grid52/GRID52_report.md</x:v>
      </x:c>
    </x:row>
    <x:row r="2410" ht="36" customHeight="1">
      <x:c r="A2410" s="19" t="str">
        <x:v>GRID52</x:v>
      </x:c>
      <x:c r="B2410" s="19" t="str">
        <x:v>GRID52_report.md</x:v>
      </x:c>
      <x:c r="C2410" s="19" t="str">
        <x:v>2. GRID52 八个预留日期家族确认</x:v>
      </x:c>
      <x:c r="D2410" s="19" t="str">
        <x:v>方法=SOFTGNN1；对照=FULL</x:v>
      </x:c>
      <x:c r="E2410" s="19" t="str">
        <x:v>时间正向家族</x:v>
      </x:c>
      <x:c r="F2410" s="19" t="str">
        <x:v>7</x:v>
      </x:c>
      <x:c r="G2410" s="19" t="str">
        <x:v>速度/计算</x:v>
      </x:c>
      <x:c r="H2410" s="19" t="str">
        <x:v>D:/Codex/GRL研究/outputs/grid52/GRID52_report.md</x:v>
      </x:c>
    </x:row>
    <x:row r="2411" ht="36" customHeight="1">
      <x:c r="A2411" s="19" t="str">
        <x:v>GRID52</x:v>
      </x:c>
      <x:c r="B2411" s="19" t="str">
        <x:v>GRID52_report.md</x:v>
      </x:c>
      <x:c r="C2411" s="19" t="str">
        <x:v>2. GRID52 八个预留日期家族确认</x:v>
      </x:c>
      <x:c r="D2411" s="19" t="str">
        <x:v>方法=LOCAL_PPO；对照=FULL</x:v>
      </x:c>
      <x:c r="E2411" s="19" t="str">
        <x:v>对照</x:v>
      </x:c>
      <x:c r="F2411" s="19" t="str">
        <x:v>FULL</x:v>
      </x:c>
      <x:c r="G2411" s="19" t="str">
        <x:v>其他/配置</x:v>
      </x:c>
      <x:c r="H2411" s="19" t="str">
        <x:v>D:/Codex/GRL研究/outputs/grid52/GRID52_report.md</x:v>
      </x:c>
    </x:row>
    <x:row r="2412" ht="36" customHeight="1">
      <x:c r="A2412" s="19" t="str">
        <x:v>GRID52</x:v>
      </x:c>
      <x:c r="B2412" s="19" t="str">
        <x:v>GRID52_report.md</x:v>
      </x:c>
      <x:c r="C2412" s="19" t="str">
        <x:v>2. GRID52 八个预留日期家族确认</x:v>
      </x:c>
      <x:c r="D2412" s="19" t="str">
        <x:v>方法=LOCAL_PPO；对照=FULL</x:v>
      </x:c>
      <x:c r="E2412" s="19" t="str">
        <x:v>可比家族</x:v>
      </x:c>
      <x:c r="F2412" s="19" t="str">
        <x:v>8</x:v>
      </x:c>
      <x:c r="G2412" s="19" t="str">
        <x:v>其他/配置</x:v>
      </x:c>
      <x:c r="H2412" s="19" t="str">
        <x:v>D:/Codex/GRL研究/outputs/grid52/GRID52_report.md</x:v>
      </x:c>
    </x:row>
    <x:row r="2413" ht="36" customHeight="1">
      <x:c r="A2413" s="19" t="str">
        <x:v>GRID52</x:v>
      </x:c>
      <x:c r="B2413" s="19" t="str">
        <x:v>GRID52_report.md</x:v>
      </x:c>
      <x:c r="C2413" s="19" t="str">
        <x:v>2. GRID52 八个预留日期家族确认</x:v>
      </x:c>
      <x:c r="D2413" s="19" t="str">
        <x:v>方法=LOCAL_PPO；对照=FULL</x:v>
      </x:c>
      <x:c r="E2413" s="19" t="str">
        <x:v>宏平均提速</x:v>
      </x:c>
      <x:c r="F2413" s="19" t="str">
        <x:v>17.164%</x:v>
      </x:c>
      <x:c r="G2413" s="19" t="str">
        <x:v>速度/计算</x:v>
      </x:c>
      <x:c r="H2413" s="19" t="str">
        <x:v>D:/Codex/GRL研究/outputs/grid52/GRID52_report.md</x:v>
      </x:c>
    </x:row>
    <x:row r="2414" ht="36" customHeight="1">
      <x:c r="A2414" s="19" t="str">
        <x:v>GRID52</x:v>
      </x:c>
      <x:c r="B2414" s="19" t="str">
        <x:v>GRID52_report.md</x:v>
      </x:c>
      <x:c r="C2414" s="19" t="str">
        <x:v>2. GRID52 八个预留日期家族确认</x:v>
      </x:c>
      <x:c r="D2414" s="19" t="str">
        <x:v>方法=LOCAL_PPO；对照=FULL</x:v>
      </x:c>
      <x:c r="E2414" s="19" t="str">
        <x:v>家族bootstrap95%</x:v>
      </x:c>
      <x:c r="F2414" s="19" t="str">
        <x:v>[9.261%, 24.683%]</x:v>
      </x:c>
      <x:c r="G2414" s="19" t="str">
        <x:v>速度/计算</x:v>
      </x:c>
      <x:c r="H2414" s="19" t="str">
        <x:v>D:/Codex/GRL研究/outputs/grid52/GRID52_report.md</x:v>
      </x:c>
    </x:row>
    <x:row r="2415" ht="36" customHeight="1">
      <x:c r="A2415" s="19" t="str">
        <x:v>GRID52</x:v>
      </x:c>
      <x:c r="B2415" s="19" t="str">
        <x:v>GRID52_report.md</x:v>
      </x:c>
      <x:c r="C2415" s="19" t="str">
        <x:v>2. GRID52 八个预留日期家族确认</x:v>
      </x:c>
      <x:c r="D2415" s="19" t="str">
        <x:v>方法=LOCAL_PPO；对照=FULL</x:v>
      </x:c>
      <x:c r="E2415" s="19" t="str">
        <x:v>时间正向家族</x:v>
      </x:c>
      <x:c r="F2415" s="19" t="str">
        <x:v>7</x:v>
      </x:c>
      <x:c r="G2415" s="19" t="str">
        <x:v>速度/计算</x:v>
      </x:c>
      <x:c r="H2415" s="19" t="str">
        <x:v>D:/Codex/GRL研究/outputs/grid52/GRID52_report.md</x:v>
      </x:c>
    </x:row>
    <x:row r="2416" ht="36" customHeight="1">
      <x:c r="A2416" s="19" t="str">
        <x:v>GRID52</x:v>
      </x:c>
      <x:c r="B2416" s="19" t="str">
        <x:v>GRID52_report.md</x:v>
      </x:c>
      <x:c r="C2416" s="19" t="str">
        <x:v>2. GRID52 八个预留日期家族确认</x:v>
      </x:c>
      <x:c r="D2416" s="19" t="str">
        <x:v>方法=COMPRESSED_GNN0；对照=FULL</x:v>
      </x:c>
      <x:c r="E2416" s="19" t="str">
        <x:v>对照</x:v>
      </x:c>
      <x:c r="F2416" s="19" t="str">
        <x:v>FULL</x:v>
      </x:c>
      <x:c r="G2416" s="19" t="str">
        <x:v>其他/配置</x:v>
      </x:c>
      <x:c r="H2416" s="19" t="str">
        <x:v>D:/Codex/GRL研究/outputs/grid52/GRID52_report.md</x:v>
      </x:c>
    </x:row>
    <x:row r="2417" ht="36" customHeight="1">
      <x:c r="A2417" s="19" t="str">
        <x:v>GRID52</x:v>
      </x:c>
      <x:c r="B2417" s="19" t="str">
        <x:v>GRID52_report.md</x:v>
      </x:c>
      <x:c r="C2417" s="19" t="str">
        <x:v>2. GRID52 八个预留日期家族确认</x:v>
      </x:c>
      <x:c r="D2417" s="19" t="str">
        <x:v>方法=COMPRESSED_GNN0；对照=FULL</x:v>
      </x:c>
      <x:c r="E2417" s="19" t="str">
        <x:v>可比家族</x:v>
      </x:c>
      <x:c r="F2417" s="19" t="str">
        <x:v>8</x:v>
      </x:c>
      <x:c r="G2417" s="19" t="str">
        <x:v>其他/配置</x:v>
      </x:c>
      <x:c r="H2417" s="19" t="str">
        <x:v>D:/Codex/GRL研究/outputs/grid52/GRID52_report.md</x:v>
      </x:c>
    </x:row>
    <x:row r="2418" ht="36" customHeight="1">
      <x:c r="A2418" s="19" t="str">
        <x:v>GRID52</x:v>
      </x:c>
      <x:c r="B2418" s="19" t="str">
        <x:v>GRID52_report.md</x:v>
      </x:c>
      <x:c r="C2418" s="19" t="str">
        <x:v>2. GRID52 八个预留日期家族确认</x:v>
      </x:c>
      <x:c r="D2418" s="19" t="str">
        <x:v>方法=COMPRESSED_GNN0；对照=FULL</x:v>
      </x:c>
      <x:c r="E2418" s="19" t="str">
        <x:v>宏平均提速</x:v>
      </x:c>
      <x:c r="F2418" s="19" t="str">
        <x:v>14.465%</x:v>
      </x:c>
      <x:c r="G2418" s="19" t="str">
        <x:v>速度/计算</x:v>
      </x:c>
      <x:c r="H2418" s="19" t="str">
        <x:v>D:/Codex/GRL研究/outputs/grid52/GRID52_report.md</x:v>
      </x:c>
    </x:row>
    <x:row r="2419" ht="36" customHeight="1">
      <x:c r="A2419" s="19" t="str">
        <x:v>GRID52</x:v>
      </x:c>
      <x:c r="B2419" s="19" t="str">
        <x:v>GRID52_report.md</x:v>
      </x:c>
      <x:c r="C2419" s="19" t="str">
        <x:v>2. GRID52 八个预留日期家族确认</x:v>
      </x:c>
      <x:c r="D2419" s="19" t="str">
        <x:v>方法=COMPRESSED_GNN0；对照=FULL</x:v>
      </x:c>
      <x:c r="E2419" s="19" t="str">
        <x:v>家族bootstrap95%</x:v>
      </x:c>
      <x:c r="F2419" s="19" t="str">
        <x:v>[6.988%, 22.219%]</x:v>
      </x:c>
      <x:c r="G2419" s="19" t="str">
        <x:v>速度/计算</x:v>
      </x:c>
      <x:c r="H2419" s="19" t="str">
        <x:v>D:/Codex/GRL研究/outputs/grid52/GRID52_report.md</x:v>
      </x:c>
    </x:row>
    <x:row r="2420" ht="36" customHeight="1">
      <x:c r="A2420" s="19" t="str">
        <x:v>GRID52</x:v>
      </x:c>
      <x:c r="B2420" s="19" t="str">
        <x:v>GRID52_report.md</x:v>
      </x:c>
      <x:c r="C2420" s="19" t="str">
        <x:v>2. GRID52 八个预留日期家族确认</x:v>
      </x:c>
      <x:c r="D2420" s="19" t="str">
        <x:v>方法=COMPRESSED_GNN0；对照=FULL</x:v>
      </x:c>
      <x:c r="E2420" s="19" t="str">
        <x:v>时间正向家族</x:v>
      </x:c>
      <x:c r="F2420" s="19" t="str">
        <x:v>7</x:v>
      </x:c>
      <x:c r="G2420" s="19" t="str">
        <x:v>速度/计算</x:v>
      </x:c>
      <x:c r="H2420" s="19" t="str">
        <x:v>D:/Codex/GRL研究/outputs/grid52/GRID52_report.md</x:v>
      </x:c>
    </x:row>
    <x:row r="2421" ht="36" customHeight="1">
      <x:c r="A2421" s="19" t="str">
        <x:v>GRID52</x:v>
      </x:c>
      <x:c r="B2421" s="19" t="str">
        <x:v>GRID52_report.md</x:v>
      </x:c>
      <x:c r="C2421" s="19" t="str">
        <x:v>2. GRID52 八个预留日期家族确认</x:v>
      </x:c>
      <x:c r="D2421" s="19" t="str">
        <x:v>方法=COMPRESSED_GNN1；对照=FULL</x:v>
      </x:c>
      <x:c r="E2421" s="19" t="str">
        <x:v>对照</x:v>
      </x:c>
      <x:c r="F2421" s="19" t="str">
        <x:v>FULL</x:v>
      </x:c>
      <x:c r="G2421" s="19" t="str">
        <x:v>其他/配置</x:v>
      </x:c>
      <x:c r="H2421" s="19" t="str">
        <x:v>D:/Codex/GRL研究/outputs/grid52/GRID52_report.md</x:v>
      </x:c>
    </x:row>
    <x:row r="2422" ht="36" customHeight="1">
      <x:c r="A2422" s="19" t="str">
        <x:v>GRID52</x:v>
      </x:c>
      <x:c r="B2422" s="19" t="str">
        <x:v>GRID52_report.md</x:v>
      </x:c>
      <x:c r="C2422" s="19" t="str">
        <x:v>2. GRID52 八个预留日期家族确认</x:v>
      </x:c>
      <x:c r="D2422" s="19" t="str">
        <x:v>方法=COMPRESSED_GNN1；对照=FULL</x:v>
      </x:c>
      <x:c r="E2422" s="19" t="str">
        <x:v>可比家族</x:v>
      </x:c>
      <x:c r="F2422" s="19" t="str">
        <x:v>8</x:v>
      </x:c>
      <x:c r="G2422" s="19" t="str">
        <x:v>其他/配置</x:v>
      </x:c>
      <x:c r="H2422" s="19" t="str">
        <x:v>D:/Codex/GRL研究/outputs/grid52/GRID52_report.md</x:v>
      </x:c>
    </x:row>
    <x:row r="2423" ht="36" customHeight="1">
      <x:c r="A2423" s="19" t="str">
        <x:v>GRID52</x:v>
      </x:c>
      <x:c r="B2423" s="19" t="str">
        <x:v>GRID52_report.md</x:v>
      </x:c>
      <x:c r="C2423" s="19" t="str">
        <x:v>2. GRID52 八个预留日期家族确认</x:v>
      </x:c>
      <x:c r="D2423" s="19" t="str">
        <x:v>方法=COMPRESSED_GNN1；对照=FULL</x:v>
      </x:c>
      <x:c r="E2423" s="19" t="str">
        <x:v>宏平均提速</x:v>
      </x:c>
      <x:c r="F2423" s="19" t="str">
        <x:v>14.748%</x:v>
      </x:c>
      <x:c r="G2423" s="19" t="str">
        <x:v>速度/计算</x:v>
      </x:c>
      <x:c r="H2423" s="19" t="str">
        <x:v>D:/Codex/GRL研究/outputs/grid52/GRID52_report.md</x:v>
      </x:c>
    </x:row>
    <x:row r="2424" ht="36" customHeight="1">
      <x:c r="A2424" s="19" t="str">
        <x:v>GRID52</x:v>
      </x:c>
      <x:c r="B2424" s="19" t="str">
        <x:v>GRID52_report.md</x:v>
      </x:c>
      <x:c r="C2424" s="19" t="str">
        <x:v>2. GRID52 八个预留日期家族确认</x:v>
      </x:c>
      <x:c r="D2424" s="19" t="str">
        <x:v>方法=COMPRESSED_GNN1；对照=FULL</x:v>
      </x:c>
      <x:c r="E2424" s="19" t="str">
        <x:v>家族bootstrap95%</x:v>
      </x:c>
      <x:c r="F2424" s="19" t="str">
        <x:v>[7.482%, 22.107%]</x:v>
      </x:c>
      <x:c r="G2424" s="19" t="str">
        <x:v>速度/计算</x:v>
      </x:c>
      <x:c r="H2424" s="19" t="str">
        <x:v>D:/Codex/GRL研究/outputs/grid52/GRID52_report.md</x:v>
      </x:c>
    </x:row>
    <x:row r="2425" ht="36" customHeight="1">
      <x:c r="A2425" s="19" t="str">
        <x:v>GRID52</x:v>
      </x:c>
      <x:c r="B2425" s="19" t="str">
        <x:v>GRID52_report.md</x:v>
      </x:c>
      <x:c r="C2425" s="19" t="str">
        <x:v>2. GRID52 八个预留日期家族确认</x:v>
      </x:c>
      <x:c r="D2425" s="19" t="str">
        <x:v>方法=COMPRESSED_GNN1；对照=FULL</x:v>
      </x:c>
      <x:c r="E2425" s="19" t="str">
        <x:v>时间正向家族</x:v>
      </x:c>
      <x:c r="F2425" s="19" t="str">
        <x:v>7</x:v>
      </x:c>
      <x:c r="G2425" s="19" t="str">
        <x:v>速度/计算</x:v>
      </x:c>
      <x:c r="H2425" s="19" t="str">
        <x:v>D:/Codex/GRL研究/outputs/grid52/GRID52_report.md</x:v>
      </x:c>
    </x:row>
    <x:row r="2426" ht="36" customHeight="1">
      <x:c r="A2426" s="19" t="str">
        <x:v>GRID52</x:v>
      </x:c>
      <x:c r="B2426" s="19" t="str">
        <x:v>GRID52_report.md</x:v>
      </x:c>
      <x:c r="C2426" s="19" t="str">
        <x:v>2. GRID52 八个预留日期家族确认</x:v>
      </x:c>
      <x:c r="D2426" s="19" t="str">
        <x:v>方法=COMPRESSED_GNN0；对照=LOCAL_PPO</x:v>
      </x:c>
      <x:c r="E2426" s="19" t="str">
        <x:v>对照</x:v>
      </x:c>
      <x:c r="F2426" s="19" t="str">
        <x:v>LOCAL_PPO</x:v>
      </x:c>
      <x:c r="G2426" s="19" t="str">
        <x:v>其他/配置</x:v>
      </x:c>
      <x:c r="H2426" s="19" t="str">
        <x:v>D:/Codex/GRL研究/outputs/grid52/GRID52_report.md</x:v>
      </x:c>
    </x:row>
    <x:row r="2427" ht="36" customHeight="1">
      <x:c r="A2427" s="19" t="str">
        <x:v>GRID52</x:v>
      </x:c>
      <x:c r="B2427" s="19" t="str">
        <x:v>GRID52_report.md</x:v>
      </x:c>
      <x:c r="C2427" s="19" t="str">
        <x:v>2. GRID52 八个预留日期家族确认</x:v>
      </x:c>
      <x:c r="D2427" s="19" t="str">
        <x:v>方法=COMPRESSED_GNN0；对照=LOCAL_PPO</x:v>
      </x:c>
      <x:c r="E2427" s="19" t="str">
        <x:v>可比家族</x:v>
      </x:c>
      <x:c r="F2427" s="19" t="str">
        <x:v>8</x:v>
      </x:c>
      <x:c r="G2427" s="19" t="str">
        <x:v>其他/配置</x:v>
      </x:c>
      <x:c r="H2427" s="19" t="str">
        <x:v>D:/Codex/GRL研究/outputs/grid52/GRID52_report.md</x:v>
      </x:c>
    </x:row>
    <x:row r="2428" ht="36" customHeight="1">
      <x:c r="A2428" s="19" t="str">
        <x:v>GRID52</x:v>
      </x:c>
      <x:c r="B2428" s="19" t="str">
        <x:v>GRID52_report.md</x:v>
      </x:c>
      <x:c r="C2428" s="19" t="str">
        <x:v>2. GRID52 八个预留日期家族确认</x:v>
      </x:c>
      <x:c r="D2428" s="19" t="str">
        <x:v>方法=COMPRESSED_GNN0；对照=LOCAL_PPO</x:v>
      </x:c>
      <x:c r="E2428" s="19" t="str">
        <x:v>宏平均提速</x:v>
      </x:c>
      <x:c r="F2428" s="19" t="str">
        <x:v>-3.570%</x:v>
      </x:c>
      <x:c r="G2428" s="19" t="str">
        <x:v>速度/计算</x:v>
      </x:c>
      <x:c r="H2428" s="19" t="str">
        <x:v>D:/Codex/GRL研究/outputs/grid52/GRID52_report.md</x:v>
      </x:c>
    </x:row>
    <x:row r="2429" ht="36" customHeight="1">
      <x:c r="A2429" s="19" t="str">
        <x:v>GRID52</x:v>
      </x:c>
      <x:c r="B2429" s="19" t="str">
        <x:v>GRID52_report.md</x:v>
      </x:c>
      <x:c r="C2429" s="19" t="str">
        <x:v>2. GRID52 八个预留日期家族确认</x:v>
      </x:c>
      <x:c r="D2429" s="19" t="str">
        <x:v>方法=COMPRESSED_GNN0；对照=LOCAL_PPO</x:v>
      </x:c>
      <x:c r="E2429" s="19" t="str">
        <x:v>家族bootstrap95%</x:v>
      </x:c>
      <x:c r="F2429" s="19" t="str">
        <x:v>[-8.596%, 0.458%]</x:v>
      </x:c>
      <x:c r="G2429" s="19" t="str">
        <x:v>速度/计算</x:v>
      </x:c>
      <x:c r="H2429" s="19" t="str">
        <x:v>D:/Codex/GRL研究/outputs/grid52/GRID52_report.md</x:v>
      </x:c>
    </x:row>
    <x:row r="2430" ht="36" customHeight="1">
      <x:c r="A2430" s="19" t="str">
        <x:v>GRID52</x:v>
      </x:c>
      <x:c r="B2430" s="19" t="str">
        <x:v>GRID52_report.md</x:v>
      </x:c>
      <x:c r="C2430" s="19" t="str">
        <x:v>2. GRID52 八个预留日期家族确认</x:v>
      </x:c>
      <x:c r="D2430" s="19" t="str">
        <x:v>方法=COMPRESSED_GNN0；对照=LOCAL_PPO</x:v>
      </x:c>
      <x:c r="E2430" s="19" t="str">
        <x:v>时间正向家族</x:v>
      </x:c>
      <x:c r="F2430" s="19" t="str">
        <x:v>4</x:v>
      </x:c>
      <x:c r="G2430" s="19" t="str">
        <x:v>速度/计算</x:v>
      </x:c>
      <x:c r="H2430" s="19" t="str">
        <x:v>D:/Codex/GRL研究/outputs/grid52/GRID52_report.md</x:v>
      </x:c>
    </x:row>
    <x:row r="2431" ht="36" customHeight="1">
      <x:c r="A2431" s="19" t="str">
        <x:v>GRID52</x:v>
      </x:c>
      <x:c r="B2431" s="19" t="str">
        <x:v>GRID52_report.md</x:v>
      </x:c>
      <x:c r="C2431" s="19" t="str">
        <x:v>2. GRID52 八个预留日期家族确认</x:v>
      </x:c>
      <x:c r="D2431" s="19" t="str">
        <x:v>方法=COMPRESSED_GNN0；对照=SOFTGNN0</x:v>
      </x:c>
      <x:c r="E2431" s="19" t="str">
        <x:v>对照</x:v>
      </x:c>
      <x:c r="F2431" s="19" t="str">
        <x:v>SOFTGNN0</x:v>
      </x:c>
      <x:c r="G2431" s="19" t="str">
        <x:v>其他/配置</x:v>
      </x:c>
      <x:c r="H2431" s="19" t="str">
        <x:v>D:/Codex/GRL研究/outputs/grid52/GRID52_report.md</x:v>
      </x:c>
    </x:row>
    <x:row r="2432" ht="36" customHeight="1">
      <x:c r="A2432" s="19" t="str">
        <x:v>GRID52</x:v>
      </x:c>
      <x:c r="B2432" s="19" t="str">
        <x:v>GRID52_report.md</x:v>
      </x:c>
      <x:c r="C2432" s="19" t="str">
        <x:v>2. GRID52 八个预留日期家族确认</x:v>
      </x:c>
      <x:c r="D2432" s="19" t="str">
        <x:v>方法=COMPRESSED_GNN0；对照=SOFTGNN0</x:v>
      </x:c>
      <x:c r="E2432" s="19" t="str">
        <x:v>可比家族</x:v>
      </x:c>
      <x:c r="F2432" s="19" t="str">
        <x:v>8</x:v>
      </x:c>
      <x:c r="G2432" s="19" t="str">
        <x:v>其他/配置</x:v>
      </x:c>
      <x:c r="H2432" s="19" t="str">
        <x:v>D:/Codex/GRL研究/outputs/grid52/GRID52_report.md</x:v>
      </x:c>
    </x:row>
    <x:row r="2433" ht="36" customHeight="1">
      <x:c r="A2433" s="19" t="str">
        <x:v>GRID52</x:v>
      </x:c>
      <x:c r="B2433" s="19" t="str">
        <x:v>GRID52_report.md</x:v>
      </x:c>
      <x:c r="C2433" s="19" t="str">
        <x:v>2. GRID52 八个预留日期家族确认</x:v>
      </x:c>
      <x:c r="D2433" s="19" t="str">
        <x:v>方法=COMPRESSED_GNN0；对照=SOFTGNN0</x:v>
      </x:c>
      <x:c r="E2433" s="19" t="str">
        <x:v>宏平均提速</x:v>
      </x:c>
      <x:c r="F2433" s="19" t="str">
        <x:v>-1.888%</x:v>
      </x:c>
      <x:c r="G2433" s="19" t="str">
        <x:v>速度/计算</x:v>
      </x:c>
      <x:c r="H2433" s="19" t="str">
        <x:v>D:/Codex/GRL研究/outputs/grid52/GRID52_report.md</x:v>
      </x:c>
    </x:row>
    <x:row r="2434" ht="36" customHeight="1">
      <x:c r="A2434" s="19" t="str">
        <x:v>GRID52</x:v>
      </x:c>
      <x:c r="B2434" s="19" t="str">
        <x:v>GRID52_report.md</x:v>
      </x:c>
      <x:c r="C2434" s="19" t="str">
        <x:v>2. GRID52 八个预留日期家族确认</x:v>
      </x:c>
      <x:c r="D2434" s="19" t="str">
        <x:v>方法=COMPRESSED_GNN0；对照=SOFTGNN0</x:v>
      </x:c>
      <x:c r="E2434" s="19" t="str">
        <x:v>家族bootstrap95%</x:v>
      </x:c>
      <x:c r="F2434" s="19" t="str">
        <x:v>[-5.663%, 1.281%]</x:v>
      </x:c>
      <x:c r="G2434" s="19" t="str">
        <x:v>速度/计算</x:v>
      </x:c>
      <x:c r="H2434" s="19" t="str">
        <x:v>D:/Codex/GRL研究/outputs/grid52/GRID52_report.md</x:v>
      </x:c>
    </x:row>
    <x:row r="2435" ht="36" customHeight="1">
      <x:c r="A2435" s="19" t="str">
        <x:v>GRID52</x:v>
      </x:c>
      <x:c r="B2435" s="19" t="str">
        <x:v>GRID52_report.md</x:v>
      </x:c>
      <x:c r="C2435" s="19" t="str">
        <x:v>2. GRID52 八个预留日期家族确认</x:v>
      </x:c>
      <x:c r="D2435" s="19" t="str">
        <x:v>方法=COMPRESSED_GNN0；对照=SOFTGNN0</x:v>
      </x:c>
      <x:c r="E2435" s="19" t="str">
        <x:v>时间正向家族</x:v>
      </x:c>
      <x:c r="F2435" s="19" t="str">
        <x:v>4</x:v>
      </x:c>
      <x:c r="G2435" s="19" t="str">
        <x:v>速度/计算</x:v>
      </x:c>
      <x:c r="H2435" s="19" t="str">
        <x:v>D:/Codex/GRL研究/outputs/grid52/GRID52_report.md</x:v>
      </x:c>
    </x:row>
    <x:row r="2436" ht="36" customHeight="1">
      <x:c r="A2436" s="19" t="str">
        <x:v>GRID52</x:v>
      </x:c>
      <x:c r="B2436" s="19" t="str">
        <x:v>GRID52_report.md</x:v>
      </x:c>
      <x:c r="C2436" s="19" t="str">
        <x:v>2. GRID52 八个预留日期家族确认</x:v>
      </x:c>
      <x:c r="D2436" s="19" t="str">
        <x:v>方法=COMPRESSED_GNN0；对照=SOFTGNN1</x:v>
      </x:c>
      <x:c r="E2436" s="19" t="str">
        <x:v>对照</x:v>
      </x:c>
      <x:c r="F2436" s="19" t="str">
        <x:v>SOFTGNN1</x:v>
      </x:c>
      <x:c r="G2436" s="19" t="str">
        <x:v>其他/配置</x:v>
      </x:c>
      <x:c r="H2436" s="19" t="str">
        <x:v>D:/Codex/GRL研究/outputs/grid52/GRID52_report.md</x:v>
      </x:c>
    </x:row>
    <x:row r="2437" ht="36" customHeight="1">
      <x:c r="A2437" s="19" t="str">
        <x:v>GRID52</x:v>
      </x:c>
      <x:c r="B2437" s="19" t="str">
        <x:v>GRID52_report.md</x:v>
      </x:c>
      <x:c r="C2437" s="19" t="str">
        <x:v>2. GRID52 八个预留日期家族确认</x:v>
      </x:c>
      <x:c r="D2437" s="19" t="str">
        <x:v>方法=COMPRESSED_GNN0；对照=SOFTGNN1</x:v>
      </x:c>
      <x:c r="E2437" s="19" t="str">
        <x:v>可比家族</x:v>
      </x:c>
      <x:c r="F2437" s="19" t="str">
        <x:v>8</x:v>
      </x:c>
      <x:c r="G2437" s="19" t="str">
        <x:v>其他/配置</x:v>
      </x:c>
      <x:c r="H2437" s="19" t="str">
        <x:v>D:/Codex/GRL研究/outputs/grid52/GRID52_report.md</x:v>
      </x:c>
    </x:row>
    <x:row r="2438" ht="36" customHeight="1">
      <x:c r="A2438" s="19" t="str">
        <x:v>GRID52</x:v>
      </x:c>
      <x:c r="B2438" s="19" t="str">
        <x:v>GRID52_report.md</x:v>
      </x:c>
      <x:c r="C2438" s="19" t="str">
        <x:v>2. GRID52 八个预留日期家族确认</x:v>
      </x:c>
      <x:c r="D2438" s="19" t="str">
        <x:v>方法=COMPRESSED_GNN0；对照=SOFTGNN1</x:v>
      </x:c>
      <x:c r="E2438" s="19" t="str">
        <x:v>宏平均提速</x:v>
      </x:c>
      <x:c r="F2438" s="19" t="str">
        <x:v>-4.603%</x:v>
      </x:c>
      <x:c r="G2438" s="19" t="str">
        <x:v>速度/计算</x:v>
      </x:c>
      <x:c r="H2438" s="19" t="str">
        <x:v>D:/Codex/GRL研究/outputs/grid52/GRID52_report.md</x:v>
      </x:c>
    </x:row>
    <x:row r="2439" ht="36" customHeight="1">
      <x:c r="A2439" s="19" t="str">
        <x:v>GRID52</x:v>
      </x:c>
      <x:c r="B2439" s="19" t="str">
        <x:v>GRID52_report.md</x:v>
      </x:c>
      <x:c r="C2439" s="19" t="str">
        <x:v>2. GRID52 八个预留日期家族确认</x:v>
      </x:c>
      <x:c r="D2439" s="19" t="str">
        <x:v>方法=COMPRESSED_GNN0；对照=SOFTGNN1</x:v>
      </x:c>
      <x:c r="E2439" s="19" t="str">
        <x:v>家族bootstrap95%</x:v>
      </x:c>
      <x:c r="F2439" s="19" t="str">
        <x:v>[-6.546%, -2.699%]</x:v>
      </x:c>
      <x:c r="G2439" s="19" t="str">
        <x:v>速度/计算</x:v>
      </x:c>
      <x:c r="H2439" s="19" t="str">
        <x:v>D:/Codex/GRL研究/outputs/grid52/GRID52_report.md</x:v>
      </x:c>
    </x:row>
    <x:row r="2440" ht="36" customHeight="1">
      <x:c r="A2440" s="19" t="str">
        <x:v>GRID52</x:v>
      </x:c>
      <x:c r="B2440" s="19" t="str">
        <x:v>GRID52_report.md</x:v>
      </x:c>
      <x:c r="C2440" s="19" t="str">
        <x:v>2. GRID52 八个预留日期家族确认</x:v>
      </x:c>
      <x:c r="D2440" s="19" t="str">
        <x:v>方法=COMPRESSED_GNN0；对照=SOFTGNN1</x:v>
      </x:c>
      <x:c r="E2440" s="19" t="str">
        <x:v>时间正向家族</x:v>
      </x:c>
      <x:c r="F2440" s="19" t="str">
        <x:v>0</x:v>
      </x:c>
      <x:c r="G2440" s="19" t="str">
        <x:v>速度/计算</x:v>
      </x:c>
      <x:c r="H2440" s="19" t="str">
        <x:v>D:/Codex/GRL研究/outputs/grid52/GRID52_report.md</x:v>
      </x:c>
    </x:row>
    <x:row r="2441" ht="36" customHeight="1">
      <x:c r="A2441" s="19" t="str">
        <x:v>GRID52</x:v>
      </x:c>
      <x:c r="B2441" s="19" t="str">
        <x:v>GRID52_report.md</x:v>
      </x:c>
      <x:c r="C2441" s="19" t="str">
        <x:v>2. GRID52 八个预留日期家族确认</x:v>
      </x:c>
      <x:c r="D2441" s="19" t="str">
        <x:v>方法=COMPRESSED_GNN1；对照=LOCAL_PPO</x:v>
      </x:c>
      <x:c r="E2441" s="19" t="str">
        <x:v>对照</x:v>
      </x:c>
      <x:c r="F2441" s="19" t="str">
        <x:v>LOCAL_PPO</x:v>
      </x:c>
      <x:c r="G2441" s="19" t="str">
        <x:v>其他/配置</x:v>
      </x:c>
      <x:c r="H2441" s="19" t="str">
        <x:v>D:/Codex/GRL研究/outputs/grid52/GRID52_report.md</x:v>
      </x:c>
    </x:row>
    <x:row r="2442" ht="36" customHeight="1">
      <x:c r="A2442" s="19" t="str">
        <x:v>GRID52</x:v>
      </x:c>
      <x:c r="B2442" s="19" t="str">
        <x:v>GRID52_report.md</x:v>
      </x:c>
      <x:c r="C2442" s="19" t="str">
        <x:v>2. GRID52 八个预留日期家族确认</x:v>
      </x:c>
      <x:c r="D2442" s="19" t="str">
        <x:v>方法=COMPRESSED_GNN1；对照=LOCAL_PPO</x:v>
      </x:c>
      <x:c r="E2442" s="19" t="str">
        <x:v>可比家族</x:v>
      </x:c>
      <x:c r="F2442" s="19" t="str">
        <x:v>8</x:v>
      </x:c>
      <x:c r="G2442" s="19" t="str">
        <x:v>其他/配置</x:v>
      </x:c>
      <x:c r="H2442" s="19" t="str">
        <x:v>D:/Codex/GRL研究/outputs/grid52/GRID52_report.md</x:v>
      </x:c>
    </x:row>
    <x:row r="2443" ht="36" customHeight="1">
      <x:c r="A2443" s="19" t="str">
        <x:v>GRID52</x:v>
      </x:c>
      <x:c r="B2443" s="19" t="str">
        <x:v>GRID52_report.md</x:v>
      </x:c>
      <x:c r="C2443" s="19" t="str">
        <x:v>2. GRID52 八个预留日期家族确认</x:v>
      </x:c>
      <x:c r="D2443" s="19" t="str">
        <x:v>方法=COMPRESSED_GNN1；对照=LOCAL_PPO</x:v>
      </x:c>
      <x:c r="E2443" s="19" t="str">
        <x:v>宏平均提速</x:v>
      </x:c>
      <x:c r="F2443" s="19" t="str">
        <x:v>-3.243%</x:v>
      </x:c>
      <x:c r="G2443" s="19" t="str">
        <x:v>速度/计算</x:v>
      </x:c>
      <x:c r="H2443" s="19" t="str">
        <x:v>D:/Codex/GRL研究/outputs/grid52/GRID52_report.md</x:v>
      </x:c>
    </x:row>
    <x:row r="2444" ht="36" customHeight="1">
      <x:c r="A2444" s="19" t="str">
        <x:v>GRID52</x:v>
      </x:c>
      <x:c r="B2444" s="19" t="str">
        <x:v>GRID52_report.md</x:v>
      </x:c>
      <x:c r="C2444" s="19" t="str">
        <x:v>2. GRID52 八个预留日期家族确认</x:v>
      </x:c>
      <x:c r="D2444" s="19" t="str">
        <x:v>方法=COMPRESSED_GNN1；对照=LOCAL_PPO</x:v>
      </x:c>
      <x:c r="E2444" s="19" t="str">
        <x:v>家族bootstrap95%</x:v>
      </x:c>
      <x:c r="F2444" s="19" t="str">
        <x:v>[-7.339%, 0.208%]</x:v>
      </x:c>
      <x:c r="G2444" s="19" t="str">
        <x:v>速度/计算</x:v>
      </x:c>
      <x:c r="H2444" s="19" t="str">
        <x:v>D:/Codex/GRL研究/outputs/grid52/GRID52_report.md</x:v>
      </x:c>
    </x:row>
    <x:row r="2445" ht="36" customHeight="1">
      <x:c r="A2445" s="19" t="str">
        <x:v>GRID52</x:v>
      </x:c>
      <x:c r="B2445" s="19" t="str">
        <x:v>GRID52_report.md</x:v>
      </x:c>
      <x:c r="C2445" s="19" t="str">
        <x:v>2. GRID52 八个预留日期家族确认</x:v>
      </x:c>
      <x:c r="D2445" s="19" t="str">
        <x:v>方法=COMPRESSED_GNN1；对照=LOCAL_PPO</x:v>
      </x:c>
      <x:c r="E2445" s="19" t="str">
        <x:v>时间正向家族</x:v>
      </x:c>
      <x:c r="F2445" s="19" t="str">
        <x:v>3</x:v>
      </x:c>
      <x:c r="G2445" s="19" t="str">
        <x:v>速度/计算</x:v>
      </x:c>
      <x:c r="H2445" s="19" t="str">
        <x:v>D:/Codex/GRL研究/outputs/grid52/GRID52_report.md</x:v>
      </x:c>
    </x:row>
    <x:row r="2446" ht="36" customHeight="1">
      <x:c r="A2446" s="19" t="str">
        <x:v>GRID52</x:v>
      </x:c>
      <x:c r="B2446" s="19" t="str">
        <x:v>GRID52_report.md</x:v>
      </x:c>
      <x:c r="C2446" s="19" t="str">
        <x:v>2. GRID52 八个预留日期家族确认</x:v>
      </x:c>
      <x:c r="D2446" s="19" t="str">
        <x:v>方法=COMPRESSED_GNN1；对照=SOFTGNN0</x:v>
      </x:c>
      <x:c r="E2446" s="19" t="str">
        <x:v>对照</x:v>
      </x:c>
      <x:c r="F2446" s="19" t="str">
        <x:v>SOFTGNN0</x:v>
      </x:c>
      <x:c r="G2446" s="19" t="str">
        <x:v>其他/配置</x:v>
      </x:c>
      <x:c r="H2446" s="19" t="str">
        <x:v>D:/Codex/GRL研究/outputs/grid52/GRID52_report.md</x:v>
      </x:c>
    </x:row>
    <x:row r="2447" ht="36" customHeight="1">
      <x:c r="A2447" s="19" t="str">
        <x:v>GRID52</x:v>
      </x:c>
      <x:c r="B2447" s="19" t="str">
        <x:v>GRID52_report.md</x:v>
      </x:c>
      <x:c r="C2447" s="19" t="str">
        <x:v>2. GRID52 八个预留日期家族确认</x:v>
      </x:c>
      <x:c r="D2447" s="19" t="str">
        <x:v>方法=COMPRESSED_GNN1；对照=SOFTGNN0</x:v>
      </x:c>
      <x:c r="E2447" s="19" t="str">
        <x:v>可比家族</x:v>
      </x:c>
      <x:c r="F2447" s="19" t="str">
        <x:v>8</x:v>
      </x:c>
      <x:c r="G2447" s="19" t="str">
        <x:v>其他/配置</x:v>
      </x:c>
      <x:c r="H2447" s="19" t="str">
        <x:v>D:/Codex/GRL研究/outputs/grid52/GRID52_report.md</x:v>
      </x:c>
    </x:row>
    <x:row r="2448" ht="36" customHeight="1">
      <x:c r="A2448" s="19" t="str">
        <x:v>GRID52</x:v>
      </x:c>
      <x:c r="B2448" s="19" t="str">
        <x:v>GRID52_report.md</x:v>
      </x:c>
      <x:c r="C2448" s="19" t="str">
        <x:v>2. GRID52 八个预留日期家族确认</x:v>
      </x:c>
      <x:c r="D2448" s="19" t="str">
        <x:v>方法=COMPRESSED_GNN1；对照=SOFTGNN0</x:v>
      </x:c>
      <x:c r="E2448" s="19" t="str">
        <x:v>宏平均提速</x:v>
      </x:c>
      <x:c r="F2448" s="19" t="str">
        <x:v>-1.613%</x:v>
      </x:c>
      <x:c r="G2448" s="19" t="str">
        <x:v>速度/计算</x:v>
      </x:c>
      <x:c r="H2448" s="19" t="str">
        <x:v>D:/Codex/GRL研究/outputs/grid52/GRID52_report.md</x:v>
      </x:c>
    </x:row>
    <x:row r="2449" ht="36" customHeight="1">
      <x:c r="A2449" s="19" t="str">
        <x:v>GRID52</x:v>
      </x:c>
      <x:c r="B2449" s="19" t="str">
        <x:v>GRID52_report.md</x:v>
      </x:c>
      <x:c r="C2449" s="19" t="str">
        <x:v>2. GRID52 八个预留日期家族确认</x:v>
      </x:c>
      <x:c r="D2449" s="19" t="str">
        <x:v>方法=COMPRESSED_GNN1；对照=SOFTGNN0</x:v>
      </x:c>
      <x:c r="E2449" s="19" t="str">
        <x:v>家族bootstrap95%</x:v>
      </x:c>
      <x:c r="F2449" s="19" t="str">
        <x:v>[-4.993%, 1.416%]</x:v>
      </x:c>
      <x:c r="G2449" s="19" t="str">
        <x:v>速度/计算</x:v>
      </x:c>
      <x:c r="H2449" s="19" t="str">
        <x:v>D:/Codex/GRL研究/outputs/grid52/GRID52_report.md</x:v>
      </x:c>
    </x:row>
    <x:row r="2450" ht="36" customHeight="1">
      <x:c r="A2450" s="19" t="str">
        <x:v>GRID52</x:v>
      </x:c>
      <x:c r="B2450" s="19" t="str">
        <x:v>GRID52_report.md</x:v>
      </x:c>
      <x:c r="C2450" s="19" t="str">
        <x:v>2. GRID52 八个预留日期家族确认</x:v>
      </x:c>
      <x:c r="D2450" s="19" t="str">
        <x:v>方法=COMPRESSED_GNN1；对照=SOFTGNN0</x:v>
      </x:c>
      <x:c r="E2450" s="19" t="str">
        <x:v>时间正向家族</x:v>
      </x:c>
      <x:c r="F2450" s="19" t="str">
        <x:v>4</x:v>
      </x:c>
      <x:c r="G2450" s="19" t="str">
        <x:v>速度/计算</x:v>
      </x:c>
      <x:c r="H2450" s="19" t="str">
        <x:v>D:/Codex/GRL研究/outputs/grid52/GRID52_report.md</x:v>
      </x:c>
    </x:row>
    <x:row r="2451" ht="36" customHeight="1">
      <x:c r="A2451" s="19" t="str">
        <x:v>GRID52</x:v>
      </x:c>
      <x:c r="B2451" s="19" t="str">
        <x:v>GRID52_report.md</x:v>
      </x:c>
      <x:c r="C2451" s="19" t="str">
        <x:v>2. GRID52 八个预留日期家族确认</x:v>
      </x:c>
      <x:c r="D2451" s="19" t="str">
        <x:v>方法=COMPRESSED_GNN1；对照=SOFTGNN1</x:v>
      </x:c>
      <x:c r="E2451" s="19" t="str">
        <x:v>对照</x:v>
      </x:c>
      <x:c r="F2451" s="19" t="str">
        <x:v>SOFTGNN1</x:v>
      </x:c>
      <x:c r="G2451" s="19" t="str">
        <x:v>其他/配置</x:v>
      </x:c>
      <x:c r="H2451" s="19" t="str">
        <x:v>D:/Codex/GRL研究/outputs/grid52/GRID52_report.md</x:v>
      </x:c>
    </x:row>
    <x:row r="2452" ht="36" customHeight="1">
      <x:c r="A2452" s="19" t="str">
        <x:v>GRID52</x:v>
      </x:c>
      <x:c r="B2452" s="19" t="str">
        <x:v>GRID52_report.md</x:v>
      </x:c>
      <x:c r="C2452" s="19" t="str">
        <x:v>2. GRID52 八个预留日期家族确认</x:v>
      </x:c>
      <x:c r="D2452" s="19" t="str">
        <x:v>方法=COMPRESSED_GNN1；对照=SOFTGNN1</x:v>
      </x:c>
      <x:c r="E2452" s="19" t="str">
        <x:v>可比家族</x:v>
      </x:c>
      <x:c r="F2452" s="19" t="str">
        <x:v>8</x:v>
      </x:c>
      <x:c r="G2452" s="19" t="str">
        <x:v>其他/配置</x:v>
      </x:c>
      <x:c r="H2452" s="19" t="str">
        <x:v>D:/Codex/GRL研究/outputs/grid52/GRID52_report.md</x:v>
      </x:c>
    </x:row>
    <x:row r="2453" ht="36" customHeight="1">
      <x:c r="A2453" s="19" t="str">
        <x:v>GRID52</x:v>
      </x:c>
      <x:c r="B2453" s="19" t="str">
        <x:v>GRID52_report.md</x:v>
      </x:c>
      <x:c r="C2453" s="19" t="str">
        <x:v>2. GRID52 八个预留日期家族确认</x:v>
      </x:c>
      <x:c r="D2453" s="19" t="str">
        <x:v>方法=COMPRESSED_GNN1；对照=SOFTGNN1</x:v>
      </x:c>
      <x:c r="E2453" s="19" t="str">
        <x:v>宏平均提速</x:v>
      </x:c>
      <x:c r="F2453" s="19" t="str">
        <x:v>-4.343%</x:v>
      </x:c>
      <x:c r="G2453" s="19" t="str">
        <x:v>速度/计算</x:v>
      </x:c>
      <x:c r="H2453" s="19" t="str">
        <x:v>D:/Codex/GRL研究/outputs/grid52/GRID52_report.md</x:v>
      </x:c>
    </x:row>
    <x:row r="2454" ht="36" customHeight="1">
      <x:c r="A2454" s="19" t="str">
        <x:v>GRID52</x:v>
      </x:c>
      <x:c r="B2454" s="19" t="str">
        <x:v>GRID52_report.md</x:v>
      </x:c>
      <x:c r="C2454" s="19" t="str">
        <x:v>2. GRID52 八个预留日期家族确认</x:v>
      </x:c>
      <x:c r="D2454" s="19" t="str">
        <x:v>方法=COMPRESSED_GNN1；对照=SOFTGNN1</x:v>
      </x:c>
      <x:c r="E2454" s="19" t="str">
        <x:v>家族bootstrap95%</x:v>
      </x:c>
      <x:c r="F2454" s="19" t="str">
        <x:v>[-6.540%, -2.261%]</x:v>
      </x:c>
      <x:c r="G2454" s="19" t="str">
        <x:v>速度/计算</x:v>
      </x:c>
      <x:c r="H2454" s="19" t="str">
        <x:v>D:/Codex/GRL研究/outputs/grid52/GRID52_report.md</x:v>
      </x:c>
    </x:row>
    <x:row r="2455" ht="36" customHeight="1">
      <x:c r="A2455" s="19" t="str">
        <x:v>GRID52</x:v>
      </x:c>
      <x:c r="B2455" s="19" t="str">
        <x:v>GRID52_report.md</x:v>
      </x:c>
      <x:c r="C2455" s="19" t="str">
        <x:v>2. GRID52 八个预留日期家族确认</x:v>
      </x:c>
      <x:c r="D2455" s="19" t="str">
        <x:v>方法=COMPRESSED_GNN1；对照=SOFTGNN1</x:v>
      </x:c>
      <x:c r="E2455" s="19" t="str">
        <x:v>时间正向家族</x:v>
      </x:c>
      <x:c r="F2455" s="19" t="str">
        <x:v>0</x:v>
      </x:c>
      <x:c r="G2455" s="19" t="str">
        <x:v>速度/计算</x:v>
      </x:c>
      <x:c r="H2455" s="19" t="str">
        <x:v>D:/Codex/GRL研究/outputs/grid52/GRID52_report.md</x:v>
      </x:c>
    </x:row>
    <x:row r="2456" ht="36" customHeight="1">
      <x:c r="A2456" s="19" t="str">
        <x:v>GRID53</x:v>
      </x:c>
      <x:c r="B2456" s="19" t="str">
        <x:v>GRID53_report.md</x:v>
      </x:c>
      <x:c r="C2456" s="19" t="str">
        <x:v>1. 两批各自相对同批对照的宏平均控制时间减少</x:v>
      </x:c>
      <x:c r="D2456" s="19" t="str">
        <x:v>同批对照=FULL；旧版GRID44（八个旧确认日期）=+14.98% / +14.27%</x:v>
      </x:c>
      <x:c r="E2456" s="19" t="str">
        <x:v>旧版GRID44（八个旧确认日期）</x:v>
      </x:c>
      <x:c r="F2456" s="19" t="str">
        <x:v>+14.98% / +14.27%</x:v>
      </x:c>
      <x:c r="G2456" s="19" t="str">
        <x:v>其他/配置</x:v>
      </x:c>
      <x:c r="H2456" s="19" t="str">
        <x:v>D:/Codex/GRL研究/outputs/grid53/GRID53_report.md</x:v>
      </x:c>
    </x:row>
    <x:row r="2457" ht="36" customHeight="1">
      <x:c r="A2457" s="19" t="str">
        <x:v>GRID53</x:v>
      </x:c>
      <x:c r="B2457" s="19" t="str">
        <x:v>GRID53_report.md</x:v>
      </x:c>
      <x:c r="C2457" s="19" t="str">
        <x:v>1. 两批各自相对同批对照的宏平均控制时间减少</x:v>
      </x:c>
      <x:c r="D2457" s="19" t="str">
        <x:v>同批对照=FULL；旧版GRID44（八个旧确认日期）=+14.98% / +14.27%</x:v>
      </x:c>
      <x:c r="E2457" s="19" t="str">
        <x:v>新版GRID52（八个不同的新日期）</x:v>
      </x:c>
      <x:c r="F2457" s="19" t="str">
        <x:v>+14.46% / +14.75%</x:v>
      </x:c>
      <x:c r="G2457" s="19" t="str">
        <x:v>其他/配置</x:v>
      </x:c>
      <x:c r="H2457" s="19" t="str">
        <x:v>D:/Codex/GRL研究/outputs/grid53/GRID53_report.md</x:v>
      </x:c>
    </x:row>
    <x:row r="2458" ht="36" customHeight="1">
      <x:c r="A2458" s="19" t="str">
        <x:v>GRID53</x:v>
      </x:c>
      <x:c r="B2458" s="19" t="str">
        <x:v>GRID53_report.md</x:v>
      </x:c>
      <x:c r="C2458" s="19" t="str">
        <x:v>1. 两批各自相对同批对照的宏平均控制时间减少</x:v>
      </x:c>
      <x:c r="D2458" s="19" t="str">
        <x:v>同批对照=LOCAL_PPO；旧版GRID44（八个旧确认日期）=+3.21% / +2.48%</x:v>
      </x:c>
      <x:c r="E2458" s="19" t="str">
        <x:v>旧版GRID44（八个旧确认日期）</x:v>
      </x:c>
      <x:c r="F2458" s="19" t="str">
        <x:v>+3.21% / +2.48%</x:v>
      </x:c>
      <x:c r="G2458" s="19" t="str">
        <x:v>其他/配置</x:v>
      </x:c>
      <x:c r="H2458" s="19" t="str">
        <x:v>D:/Codex/GRL研究/outputs/grid53/GRID53_report.md</x:v>
      </x:c>
    </x:row>
    <x:row r="2459" ht="36" customHeight="1">
      <x:c r="A2459" s="19" t="str">
        <x:v>GRID53</x:v>
      </x:c>
      <x:c r="B2459" s="19" t="str">
        <x:v>GRID53_report.md</x:v>
      </x:c>
      <x:c r="C2459" s="19" t="str">
        <x:v>1. 两批各自相对同批对照的宏平均控制时间减少</x:v>
      </x:c>
      <x:c r="D2459" s="19" t="str">
        <x:v>同批对照=LOCAL_PPO；旧版GRID44（八个旧确认日期）=+3.21% / +2.48%</x:v>
      </x:c>
      <x:c r="E2459" s="19" t="str">
        <x:v>新版GRID52（八个不同的新日期）</x:v>
      </x:c>
      <x:c r="F2459" s="19" t="str">
        <x:v>-3.57% / -3.24%</x:v>
      </x:c>
      <x:c r="G2459" s="19" t="str">
        <x:v>其他/配置</x:v>
      </x:c>
      <x:c r="H2459" s="19" t="str">
        <x:v>D:/Codex/GRL研究/outputs/grid53/GRID53_report.md</x:v>
      </x:c>
    </x:row>
    <x:row r="2460" ht="36" customHeight="1">
      <x:c r="A2460" s="19" t="str">
        <x:v>GRID53</x:v>
      </x:c>
      <x:c r="B2460" s="19" t="str">
        <x:v>GRID53_report.md</x:v>
      </x:c>
      <x:c r="C2460" s="19" t="str">
        <x:v>1. 两批各自相对同批对照的宏平均控制时间减少</x:v>
      </x:c>
      <x:c r="D2460" s="19" t="str">
        <x:v>同批对照=SOFTGNN0；旧版GRID44（八个旧确认日期）=-1.42% / -2.10%</x:v>
      </x:c>
      <x:c r="E2460" s="19" t="str">
        <x:v>旧版GRID44（八个旧确认日期）</x:v>
      </x:c>
      <x:c r="F2460" s="19" t="str">
        <x:v>-1.42% / -2.10%</x:v>
      </x:c>
      <x:c r="G2460" s="19" t="str">
        <x:v>其他/配置</x:v>
      </x:c>
      <x:c r="H2460" s="19" t="str">
        <x:v>D:/Codex/GRL研究/outputs/grid53/GRID53_report.md</x:v>
      </x:c>
    </x:row>
    <x:row r="2461" ht="36" customHeight="1">
      <x:c r="A2461" s="19" t="str">
        <x:v>GRID53</x:v>
      </x:c>
      <x:c r="B2461" s="19" t="str">
        <x:v>GRID53_report.md</x:v>
      </x:c>
      <x:c r="C2461" s="19" t="str">
        <x:v>1. 两批各自相对同批对照的宏平均控制时间减少</x:v>
      </x:c>
      <x:c r="D2461" s="19" t="str">
        <x:v>同批对照=SOFTGNN0；旧版GRID44（八个旧确认日期）=-1.42% / -2.10%</x:v>
      </x:c>
      <x:c r="E2461" s="19" t="str">
        <x:v>新版GRID52（八个不同的新日期）</x:v>
      </x:c>
      <x:c r="F2461" s="19" t="str">
        <x:v>-1.89% / -1.61%</x:v>
      </x:c>
      <x:c r="G2461" s="19" t="str">
        <x:v>其他/配置</x:v>
      </x:c>
      <x:c r="H2461" s="19" t="str">
        <x:v>D:/Codex/GRL研究/outputs/grid53/GRID53_report.md</x:v>
      </x:c>
    </x:row>
    <x:row r="2462" ht="36" customHeight="1">
      <x:c r="A2462" s="19" t="str">
        <x:v>GRID53</x:v>
      </x:c>
      <x:c r="B2462" s="19" t="str">
        <x:v>GRID53_report.md</x:v>
      </x:c>
      <x:c r="C2462" s="19" t="str">
        <x:v>1. 两批各自相对同批对照的宏平均控制时间减少</x:v>
      </x:c>
      <x:c r="D2462" s="19" t="str">
        <x:v>同批对照=SOFTGNN1；旧版GRID44（八个旧确认日期）=+2.93% / +2.25%</x:v>
      </x:c>
      <x:c r="E2462" s="19" t="str">
        <x:v>旧版GRID44（八个旧确认日期）</x:v>
      </x:c>
      <x:c r="F2462" s="19" t="str">
        <x:v>+2.93% / +2.25%</x:v>
      </x:c>
      <x:c r="G2462" s="19" t="str">
        <x:v>其他/配置</x:v>
      </x:c>
      <x:c r="H2462" s="19" t="str">
        <x:v>D:/Codex/GRL研究/outputs/grid53/GRID53_report.md</x:v>
      </x:c>
    </x:row>
    <x:row r="2463" ht="36" customHeight="1">
      <x:c r="A2463" s="19" t="str">
        <x:v>GRID53</x:v>
      </x:c>
      <x:c r="B2463" s="19" t="str">
        <x:v>GRID53_report.md</x:v>
      </x:c>
      <x:c r="C2463" s="19" t="str">
        <x:v>1. 两批各自相对同批对照的宏平均控制时间减少</x:v>
      </x:c>
      <x:c r="D2463" s="19" t="str">
        <x:v>同批对照=SOFTGNN1；旧版GRID44（八个旧确认日期）=+2.93% / +2.25%</x:v>
      </x:c>
      <x:c r="E2463" s="19" t="str">
        <x:v>新版GRID52（八个不同的新日期）</x:v>
      </x:c>
      <x:c r="F2463" s="19" t="str">
        <x:v>-4.60% / -4.34%</x:v>
      </x:c>
      <x:c r="G2463" s="19" t="str">
        <x:v>其他/配置</x:v>
      </x:c>
      <x:c r="H2463" s="19" t="str">
        <x:v>D:/Codex/GRL研究/outputs/grid53/GRID53_report.md</x:v>
      </x:c>
    </x:row>
    <x:row r="2464" ht="36" customHeight="1">
      <x:c r="A2464" s="19" t="str">
        <x:v>GRID53</x:v>
      </x:c>
      <x:c r="B2464" s="19" t="str">
        <x:v>GRID53_report.md</x:v>
      </x:c>
      <x:c r="C2464" s="19" t="str">
        <x:v>2. 实际同批旧/新比较（GRID51）</x:v>
      </x:c>
      <x:c r="D2464" s="19" t="str">
        <x:v>模型=种子0；旧版累计控制秒=295.480</x:v>
      </x:c>
      <x:c r="E2464" s="19" t="str">
        <x:v>旧版累计控制秒</x:v>
      </x:c>
      <x:c r="F2464" s="19" t="str">
        <x:v>295.480</x:v>
      </x:c>
      <x:c r="G2464" s="19" t="str">
        <x:v>速度/计算</x:v>
      </x:c>
      <x:c r="H2464" s="19" t="str">
        <x:v>D:/Codex/GRL研究/outputs/grid53/GRID53_report.md</x:v>
      </x:c>
    </x:row>
    <x:row r="2465" ht="36" customHeight="1">
      <x:c r="A2465" s="19" t="str">
        <x:v>GRID53</x:v>
      </x:c>
      <x:c r="B2465" s="19" t="str">
        <x:v>GRID53_report.md</x:v>
      </x:c>
      <x:c r="C2465" s="19" t="str">
        <x:v>2. 实际同批旧/新比较（GRID51）</x:v>
      </x:c>
      <x:c r="D2465" s="19" t="str">
        <x:v>模型=种子0；旧版累计控制秒=295.480</x:v>
      </x:c>
      <x:c r="E2465" s="19" t="str">
        <x:v>新版累计控制秒</x:v>
      </x:c>
      <x:c r="F2465" s="19" t="str">
        <x:v>278.915</x:v>
      </x:c>
      <x:c r="G2465" s="19" t="str">
        <x:v>速度/计算</x:v>
      </x:c>
      <x:c r="H2465" s="19" t="str">
        <x:v>D:/Codex/GRL研究/outputs/grid53/GRID53_report.md</x:v>
      </x:c>
    </x:row>
    <x:row r="2466" ht="36" customHeight="1">
      <x:c r="A2466" s="19" t="str">
        <x:v>GRID53</x:v>
      </x:c>
      <x:c r="B2466" s="19" t="str">
        <x:v>GRID53_report.md</x:v>
      </x:c>
      <x:c r="C2466" s="19" t="str">
        <x:v>2. 实际同批旧/新比较（GRID51）</x:v>
      </x:c>
      <x:c r="D2466" s="19" t="str">
        <x:v>模型=种子0；旧版累计控制秒=295.480</x:v>
      </x:c>
      <x:c r="E2466" s="19" t="str">
        <x:v>新版相对旧版</x:v>
      </x:c>
      <x:c r="F2466" s="19" t="str">
        <x:v>+5.606%时间减少</x:v>
      </x:c>
      <x:c r="G2466" s="19" t="str">
        <x:v>其他/配置</x:v>
      </x:c>
      <x:c r="H2466" s="19" t="str">
        <x:v>D:/Codex/GRL研究/outputs/grid53/GRID53_report.md</x:v>
      </x:c>
    </x:row>
    <x:row r="2467" ht="36" customHeight="1">
      <x:c r="A2467" s="19" t="str">
        <x:v>GRID53</x:v>
      </x:c>
      <x:c r="B2467" s="19" t="str">
        <x:v>GRID53_report.md</x:v>
      </x:c>
      <x:c r="C2467" s="19" t="str">
        <x:v>2. 实际同批旧/新比较（GRID51）</x:v>
      </x:c>
      <x:c r="D2467" s="19" t="str">
        <x:v>模型=种子1；旧版累计控制秒=279.749</x:v>
      </x:c>
      <x:c r="E2467" s="19" t="str">
        <x:v>旧版累计控制秒</x:v>
      </x:c>
      <x:c r="F2467" s="19" t="str">
        <x:v>279.749</x:v>
      </x:c>
      <x:c r="G2467" s="19" t="str">
        <x:v>速度/计算</x:v>
      </x:c>
      <x:c r="H2467" s="19" t="str">
        <x:v>D:/Codex/GRL研究/outputs/grid53/GRID53_report.md</x:v>
      </x:c>
    </x:row>
    <x:row r="2468" ht="36" customHeight="1">
      <x:c r="A2468" s="19" t="str">
        <x:v>GRID53</x:v>
      </x:c>
      <x:c r="B2468" s="19" t="str">
        <x:v>GRID53_report.md</x:v>
      </x:c>
      <x:c r="C2468" s="19" t="str">
        <x:v>2. 实际同批旧/新比较（GRID51）</x:v>
      </x:c>
      <x:c r="D2468" s="19" t="str">
        <x:v>模型=种子1；旧版累计控制秒=279.749</x:v>
      </x:c>
      <x:c r="E2468" s="19" t="str">
        <x:v>新版累计控制秒</x:v>
      </x:c>
      <x:c r="F2468" s="19" t="str">
        <x:v>281.646</x:v>
      </x:c>
      <x:c r="G2468" s="19" t="str">
        <x:v>速度/计算</x:v>
      </x:c>
      <x:c r="H2468" s="19" t="str">
        <x:v>D:/Codex/GRL研究/outputs/grid53/GRID53_report.md</x:v>
      </x:c>
    </x:row>
    <x:row r="2469" ht="36" customHeight="1">
      <x:c r="A2469" s="19" t="str">
        <x:v>GRID53</x:v>
      </x:c>
      <x:c r="B2469" s="19" t="str">
        <x:v>GRID53_report.md</x:v>
      </x:c>
      <x:c r="C2469" s="19" t="str">
        <x:v>2. 实际同批旧/新比较（GRID51）</x:v>
      </x:c>
      <x:c r="D2469" s="19" t="str">
        <x:v>模型=种子1；旧版累计控制秒=279.749</x:v>
      </x:c>
      <x:c r="E2469" s="19" t="str">
        <x:v>新版相对旧版</x:v>
      </x:c>
      <x:c r="F2469" s="19" t="str">
        <x:v>-0.678%时间减少</x:v>
      </x:c>
      <x:c r="G2469" s="19" t="str">
        <x:v>其他/配置</x:v>
      </x:c>
      <x:c r="H2469" s="19" t="str">
        <x:v>D:/Codex/GRL研究/outputs/grid53/GRID53_report.md</x:v>
      </x:c>
    </x:row>
    <x:row r="2470" ht="36" customHeight="1">
      <x:c r="A2470" s="19" t="str">
        <x:v>GRID55</x:v>
      </x:c>
      <x:c r="B2470" s="19" t="str">
        <x:v>GRID55_report.md</x:v>
      </x:c>
      <x:c r="C2470" s="19" t="str">
        <x:v>1. GRID55 八个已暴露日期的旧新配对与共有缓存比较</x:v>
      </x:c>
      <x:c r="D2470" s="19" t="str">
        <x:v>方法=FULL；完成=16/16</x:v>
      </x:c>
      <x:c r="E2470" s="19" t="str">
        <x:v>完成</x:v>
      </x:c>
      <x:c r="F2470" s="19" t="str">
        <x:v>16/16</x:v>
      </x:c>
      <x:c r="G2470" s="19" t="str">
        <x:v>质量/成本</x:v>
      </x:c>
      <x:c r="H2470" s="19" t="str">
        <x:v>D:/Codex/GRL研究/outputs/grid55/GRID55_report.md</x:v>
      </x:c>
    </x:row>
    <x:row r="2471" ht="36" customHeight="1">
      <x:c r="A2471" s="19" t="str">
        <x:v>GRID55</x:v>
      </x:c>
      <x:c r="B2471" s="19" t="str">
        <x:v>GRID55_report.md</x:v>
      </x:c>
      <x:c r="C2471" s="19" t="str">
        <x:v>1. GRID55 八个已暴露日期的旧新配对与共有缓存比较</x:v>
      </x:c>
      <x:c r="D2471" s="19" t="str">
        <x:v>方法=FULL；完成=16/16</x:v>
      </x:c>
      <x:c r="E2471" s="19" t="str">
        <x:v>无提前失败</x:v>
      </x:c>
      <x:c r="F2471" s="19" t="str">
        <x:v>16/16</x:v>
      </x:c>
      <x:c r="G2471" s="19" t="str">
        <x:v>质量/成本</x:v>
      </x:c>
      <x:c r="H2471" s="19" t="str">
        <x:v>D:/Codex/GRL研究/outputs/grid55/GRID55_report.md</x:v>
      </x:c>
    </x:row>
    <x:row r="2472" ht="36" customHeight="1">
      <x:c r="A2472" s="19" t="str">
        <x:v>GRID55</x:v>
      </x:c>
      <x:c r="B2472" s="19" t="str">
        <x:v>GRID55_report.md</x:v>
      </x:c>
      <x:c r="C2472" s="19" t="str">
        <x:v>1. GRID55 八个已暴露日期的旧新配对与共有缓存比较</x:v>
      </x:c>
      <x:c r="D2472" s="19" t="str">
        <x:v>方法=FULL；完成=16/16</x:v>
      </x:c>
      <x:c r="E2472" s="19" t="str">
        <x:v>质量筛查</x:v>
      </x:c>
      <x:c r="F2472" s="19" t="str">
        <x:v>16/16</x:v>
      </x:c>
      <x:c r="G2472" s="19" t="str">
        <x:v>质量/成本</x:v>
      </x:c>
      <x:c r="H2472" s="19" t="str">
        <x:v>D:/Codex/GRL研究/outputs/grid55/GRID55_report.md</x:v>
      </x:c>
    </x:row>
    <x:row r="2473" ht="36" customHeight="1">
      <x:c r="A2473" s="19" t="str">
        <x:v>GRID55</x:v>
      </x:c>
      <x:c r="B2473" s="19" t="str">
        <x:v>GRID55_report.md</x:v>
      </x:c>
      <x:c r="C2473" s="19" t="str">
        <x:v>1. GRID55 八个已暴露日期的旧新配对与共有缓存比较</x:v>
      </x:c>
      <x:c r="D2473" s="19" t="str">
        <x:v>方法=FULL；完成=16/16</x:v>
      </x:c>
      <x:c r="E2473" s="19" t="str">
        <x:v>完成周最大成本差</x:v>
      </x:c>
      <x:c r="F2473" s="19" t="str">
        <x:v>0.00000%</x:v>
      </x:c>
      <x:c r="G2473" s="19" t="str">
        <x:v>质量/成本</x:v>
      </x:c>
      <x:c r="H2473" s="19" t="str">
        <x:v>D:/Codex/GRL研究/outputs/grid55/GRID55_report.md</x:v>
      </x:c>
    </x:row>
    <x:row r="2474" ht="36" customHeight="1">
      <x:c r="A2474" s="19" t="str">
        <x:v>GRID55</x:v>
      </x:c>
      <x:c r="B2474" s="19" t="str">
        <x:v>GRID55_report.md</x:v>
      </x:c>
      <x:c r="C2474" s="19" t="str">
        <x:v>1. GRID55 八个已暴露日期的旧新配对与共有缓存比较</x:v>
      </x:c>
      <x:c r="D2474" s="19" t="str">
        <x:v>方法=FULL；完成=16/16</x:v>
      </x:c>
      <x:c r="E2474" s="19" t="str">
        <x:v>对FULL宏平均控制时间减少</x:v>
      </x:c>
      <x:c r="F2474" s="19" t="str">
        <x:v>参照</x:v>
      </x:c>
      <x:c r="G2474" s="19" t="str">
        <x:v>速度/计算</x:v>
      </x:c>
      <x:c r="H2474" s="19" t="str">
        <x:v>D:/Codex/GRL研究/outputs/grid55/GRID55_report.md</x:v>
      </x:c>
    </x:row>
    <x:row r="2475" ht="36" customHeight="1">
      <x:c r="A2475" s="19" t="str">
        <x:v>GRID55</x:v>
      </x:c>
      <x:c r="B2475" s="19" t="str">
        <x:v>GRID55_report.md</x:v>
      </x:c>
      <x:c r="C2475" s="19" t="str">
        <x:v>1. GRID55 八个已暴露日期的旧新配对与共有缓存比较</x:v>
      </x:c>
      <x:c r="D2475" s="19" t="str">
        <x:v>方法=SOFTGNN0；完成=16/16</x:v>
      </x:c>
      <x:c r="E2475" s="19" t="str">
        <x:v>完成</x:v>
      </x:c>
      <x:c r="F2475" s="19" t="str">
        <x:v>16/16</x:v>
      </x:c>
      <x:c r="G2475" s="19" t="str">
        <x:v>质量/成本</x:v>
      </x:c>
      <x:c r="H2475" s="19" t="str">
        <x:v>D:/Codex/GRL研究/outputs/grid55/GRID55_report.md</x:v>
      </x:c>
    </x:row>
    <x:row r="2476" ht="36" customHeight="1">
      <x:c r="A2476" s="19" t="str">
        <x:v>GRID55</x:v>
      </x:c>
      <x:c r="B2476" s="19" t="str">
        <x:v>GRID55_report.md</x:v>
      </x:c>
      <x:c r="C2476" s="19" t="str">
        <x:v>1. GRID55 八个已暴露日期的旧新配对与共有缓存比较</x:v>
      </x:c>
      <x:c r="D2476" s="19" t="str">
        <x:v>方法=SOFTGNN0；完成=16/16</x:v>
      </x:c>
      <x:c r="E2476" s="19" t="str">
        <x:v>无提前失败</x:v>
      </x:c>
      <x:c r="F2476" s="19" t="str">
        <x:v>16/16</x:v>
      </x:c>
      <x:c r="G2476" s="19" t="str">
        <x:v>质量/成本</x:v>
      </x:c>
      <x:c r="H2476" s="19" t="str">
        <x:v>D:/Codex/GRL研究/outputs/grid55/GRID55_report.md</x:v>
      </x:c>
    </x:row>
    <x:row r="2477" ht="36" customHeight="1">
      <x:c r="A2477" s="19" t="str">
        <x:v>GRID55</x:v>
      </x:c>
      <x:c r="B2477" s="19" t="str">
        <x:v>GRID55_report.md</x:v>
      </x:c>
      <x:c r="C2477" s="19" t="str">
        <x:v>1. GRID55 八个已暴露日期的旧新配对与共有缓存比较</x:v>
      </x:c>
      <x:c r="D2477" s="19" t="str">
        <x:v>方法=SOFTGNN0；完成=16/16</x:v>
      </x:c>
      <x:c r="E2477" s="19" t="str">
        <x:v>质量筛查</x:v>
      </x:c>
      <x:c r="F2477" s="19" t="str">
        <x:v>16/16</x:v>
      </x:c>
      <x:c r="G2477" s="19" t="str">
        <x:v>质量/成本</x:v>
      </x:c>
      <x:c r="H2477" s="19" t="str">
        <x:v>D:/Codex/GRL研究/outputs/grid55/GRID55_report.md</x:v>
      </x:c>
    </x:row>
    <x:row r="2478" ht="36" customHeight="1">
      <x:c r="A2478" s="19" t="str">
        <x:v>GRID55</x:v>
      </x:c>
      <x:c r="B2478" s="19" t="str">
        <x:v>GRID55_report.md</x:v>
      </x:c>
      <x:c r="C2478" s="19" t="str">
        <x:v>1. GRID55 八个已暴露日期的旧新配对与共有缓存比较</x:v>
      </x:c>
      <x:c r="D2478" s="19" t="str">
        <x:v>方法=SOFTGNN0；完成=16/16</x:v>
      </x:c>
      <x:c r="E2478" s="19" t="str">
        <x:v>完成周最大成本差</x:v>
      </x:c>
      <x:c r="F2478" s="19" t="str">
        <x:v>0.17696%</x:v>
      </x:c>
      <x:c r="G2478" s="19" t="str">
        <x:v>质量/成本</x:v>
      </x:c>
      <x:c r="H2478" s="19" t="str">
        <x:v>D:/Codex/GRL研究/outputs/grid55/GRID55_report.md</x:v>
      </x:c>
    </x:row>
    <x:row r="2479" ht="36" customHeight="1">
      <x:c r="A2479" s="19" t="str">
        <x:v>GRID55</x:v>
      </x:c>
      <x:c r="B2479" s="19" t="str">
        <x:v>GRID55_report.md</x:v>
      </x:c>
      <x:c r="C2479" s="19" t="str">
        <x:v>1. GRID55 八个已暴露日期的旧新配对与共有缓存比较</x:v>
      </x:c>
      <x:c r="D2479" s="19" t="str">
        <x:v>方法=SOFTGNN0；完成=16/16</x:v>
      </x:c>
      <x:c r="E2479" s="19" t="str">
        <x:v>对FULL宏平均控制时间减少</x:v>
      </x:c>
      <x:c r="F2479" s="19" t="str">
        <x:v>16.330%</x:v>
      </x:c>
      <x:c r="G2479" s="19" t="str">
        <x:v>速度/计算</x:v>
      </x:c>
      <x:c r="H2479" s="19" t="str">
        <x:v>D:/Codex/GRL研究/outputs/grid55/GRID55_report.md</x:v>
      </x:c>
    </x:row>
    <x:row r="2480" ht="36" customHeight="1">
      <x:c r="A2480" s="19" t="str">
        <x:v>GRID55</x:v>
      </x:c>
      <x:c r="B2480" s="19" t="str">
        <x:v>GRID55_report.md</x:v>
      </x:c>
      <x:c r="C2480" s="19" t="str">
        <x:v>1. GRID55 八个已暴露日期的旧新配对与共有缓存比较</x:v>
      </x:c>
      <x:c r="D2480" s="19" t="str">
        <x:v>方法=SOFTGNN1；完成=16/16</x:v>
      </x:c>
      <x:c r="E2480" s="19" t="str">
        <x:v>完成</x:v>
      </x:c>
      <x:c r="F2480" s="19" t="str">
        <x:v>16/16</x:v>
      </x:c>
      <x:c r="G2480" s="19" t="str">
        <x:v>质量/成本</x:v>
      </x:c>
      <x:c r="H2480" s="19" t="str">
        <x:v>D:/Codex/GRL研究/outputs/grid55/GRID55_report.md</x:v>
      </x:c>
    </x:row>
    <x:row r="2481" ht="36" customHeight="1">
      <x:c r="A2481" s="19" t="str">
        <x:v>GRID55</x:v>
      </x:c>
      <x:c r="B2481" s="19" t="str">
        <x:v>GRID55_report.md</x:v>
      </x:c>
      <x:c r="C2481" s="19" t="str">
        <x:v>1. GRID55 八个已暴露日期的旧新配对与共有缓存比较</x:v>
      </x:c>
      <x:c r="D2481" s="19" t="str">
        <x:v>方法=SOFTGNN1；完成=16/16</x:v>
      </x:c>
      <x:c r="E2481" s="19" t="str">
        <x:v>无提前失败</x:v>
      </x:c>
      <x:c r="F2481" s="19" t="str">
        <x:v>16/16</x:v>
      </x:c>
      <x:c r="G2481" s="19" t="str">
        <x:v>质量/成本</x:v>
      </x:c>
      <x:c r="H2481" s="19" t="str">
        <x:v>D:/Codex/GRL研究/outputs/grid55/GRID55_report.md</x:v>
      </x:c>
    </x:row>
    <x:row r="2482" ht="36" customHeight="1">
      <x:c r="A2482" s="19" t="str">
        <x:v>GRID55</x:v>
      </x:c>
      <x:c r="B2482" s="19" t="str">
        <x:v>GRID55_report.md</x:v>
      </x:c>
      <x:c r="C2482" s="19" t="str">
        <x:v>1. GRID55 八个已暴露日期的旧新配对与共有缓存比较</x:v>
      </x:c>
      <x:c r="D2482" s="19" t="str">
        <x:v>方法=SOFTGNN1；完成=16/16</x:v>
      </x:c>
      <x:c r="E2482" s="19" t="str">
        <x:v>质量筛查</x:v>
      </x:c>
      <x:c r="F2482" s="19" t="str">
        <x:v>16/16</x:v>
      </x:c>
      <x:c r="G2482" s="19" t="str">
        <x:v>质量/成本</x:v>
      </x:c>
      <x:c r="H2482" s="19" t="str">
        <x:v>D:/Codex/GRL研究/outputs/grid55/GRID55_report.md</x:v>
      </x:c>
    </x:row>
    <x:row r="2483" ht="36" customHeight="1">
      <x:c r="A2483" s="19" t="str">
        <x:v>GRID55</x:v>
      </x:c>
      <x:c r="B2483" s="19" t="str">
        <x:v>GRID55_report.md</x:v>
      </x:c>
      <x:c r="C2483" s="19" t="str">
        <x:v>1. GRID55 八个已暴露日期的旧新配对与共有缓存比较</x:v>
      </x:c>
      <x:c r="D2483" s="19" t="str">
        <x:v>方法=SOFTGNN1；完成=16/16</x:v>
      </x:c>
      <x:c r="E2483" s="19" t="str">
        <x:v>完成周最大成本差</x:v>
      </x:c>
      <x:c r="F2483" s="19" t="str">
        <x:v>0.16893%</x:v>
      </x:c>
      <x:c r="G2483" s="19" t="str">
        <x:v>质量/成本</x:v>
      </x:c>
      <x:c r="H2483" s="19" t="str">
        <x:v>D:/Codex/GRL研究/outputs/grid55/GRID55_report.md</x:v>
      </x:c>
    </x:row>
    <x:row r="2484" ht="36" customHeight="1">
      <x:c r="A2484" s="19" t="str">
        <x:v>GRID55</x:v>
      </x:c>
      <x:c r="B2484" s="19" t="str">
        <x:v>GRID55_report.md</x:v>
      </x:c>
      <x:c r="C2484" s="19" t="str">
        <x:v>1. GRID55 八个已暴露日期的旧新配对与共有缓存比较</x:v>
      </x:c>
      <x:c r="D2484" s="19" t="str">
        <x:v>方法=SOFTGNN1；完成=16/16</x:v>
      </x:c>
      <x:c r="E2484" s="19" t="str">
        <x:v>对FULL宏平均控制时间减少</x:v>
      </x:c>
      <x:c r="F2484" s="19" t="str">
        <x:v>16.629%</x:v>
      </x:c>
      <x:c r="G2484" s="19" t="str">
        <x:v>速度/计算</x:v>
      </x:c>
      <x:c r="H2484" s="19" t="str">
        <x:v>D:/Codex/GRL研究/outputs/grid55/GRID55_report.md</x:v>
      </x:c>
    </x:row>
    <x:row r="2485" ht="36" customHeight="1">
      <x:c r="A2485" s="19" t="str">
        <x:v>GRID55</x:v>
      </x:c>
      <x:c r="B2485" s="19" t="str">
        <x:v>GRID55_report.md</x:v>
      </x:c>
      <x:c r="C2485" s="19" t="str">
        <x:v>1. GRID55 八个已暴露日期的旧新配对与共有缓存比较</x:v>
      </x:c>
      <x:c r="D2485" s="19" t="str">
        <x:v>方法=LOCAL_PPO；完成=16/16</x:v>
      </x:c>
      <x:c r="E2485" s="19" t="str">
        <x:v>完成</x:v>
      </x:c>
      <x:c r="F2485" s="19" t="str">
        <x:v>16/16</x:v>
      </x:c>
      <x:c r="G2485" s="19" t="str">
        <x:v>质量/成本</x:v>
      </x:c>
      <x:c r="H2485" s="19" t="str">
        <x:v>D:/Codex/GRL研究/outputs/grid55/GRID55_report.md</x:v>
      </x:c>
    </x:row>
    <x:row r="2486" ht="36" customHeight="1">
      <x:c r="A2486" s="19" t="str">
        <x:v>GRID55</x:v>
      </x:c>
      <x:c r="B2486" s="19" t="str">
        <x:v>GRID55_report.md</x:v>
      </x:c>
      <x:c r="C2486" s="19" t="str">
        <x:v>1. GRID55 八个已暴露日期的旧新配对与共有缓存比较</x:v>
      </x:c>
      <x:c r="D2486" s="19" t="str">
        <x:v>方法=LOCAL_PPO；完成=16/16</x:v>
      </x:c>
      <x:c r="E2486" s="19" t="str">
        <x:v>无提前失败</x:v>
      </x:c>
      <x:c r="F2486" s="19" t="str">
        <x:v>16/16</x:v>
      </x:c>
      <x:c r="G2486" s="19" t="str">
        <x:v>质量/成本</x:v>
      </x:c>
      <x:c r="H2486" s="19" t="str">
        <x:v>D:/Codex/GRL研究/outputs/grid55/GRID55_report.md</x:v>
      </x:c>
    </x:row>
    <x:row r="2487" ht="36" customHeight="1">
      <x:c r="A2487" s="19" t="str">
        <x:v>GRID55</x:v>
      </x:c>
      <x:c r="B2487" s="19" t="str">
        <x:v>GRID55_report.md</x:v>
      </x:c>
      <x:c r="C2487" s="19" t="str">
        <x:v>1. GRID55 八个已暴露日期的旧新配对与共有缓存比较</x:v>
      </x:c>
      <x:c r="D2487" s="19" t="str">
        <x:v>方法=LOCAL_PPO；完成=16/16</x:v>
      </x:c>
      <x:c r="E2487" s="19" t="str">
        <x:v>质量筛查</x:v>
      </x:c>
      <x:c r="F2487" s="19" t="str">
        <x:v>12/16</x:v>
      </x:c>
      <x:c r="G2487" s="19" t="str">
        <x:v>质量/成本</x:v>
      </x:c>
      <x:c r="H2487" s="19" t="str">
        <x:v>D:/Codex/GRL研究/outputs/grid55/GRID55_report.md</x:v>
      </x:c>
    </x:row>
    <x:row r="2488" ht="36" customHeight="1">
      <x:c r="A2488" s="19" t="str">
        <x:v>GRID55</x:v>
      </x:c>
      <x:c r="B2488" s="19" t="str">
        <x:v>GRID55_report.md</x:v>
      </x:c>
      <x:c r="C2488" s="19" t="str">
        <x:v>1. GRID55 八个已暴露日期的旧新配对与共有缓存比较</x:v>
      </x:c>
      <x:c r="D2488" s="19" t="str">
        <x:v>方法=LOCAL_PPO；完成=16/16</x:v>
      </x:c>
      <x:c r="E2488" s="19" t="str">
        <x:v>完成周最大成本差</x:v>
      </x:c>
      <x:c r="F2488" s="19" t="str">
        <x:v>12.43418%</x:v>
      </x:c>
      <x:c r="G2488" s="19" t="str">
        <x:v>质量/成本</x:v>
      </x:c>
      <x:c r="H2488" s="19" t="str">
        <x:v>D:/Codex/GRL研究/outputs/grid55/GRID55_report.md</x:v>
      </x:c>
    </x:row>
    <x:row r="2489" ht="36" customHeight="1">
      <x:c r="A2489" s="19" t="str">
        <x:v>GRID55</x:v>
      </x:c>
      <x:c r="B2489" s="19" t="str">
        <x:v>GRID55_report.md</x:v>
      </x:c>
      <x:c r="C2489" s="19" t="str">
        <x:v>1. GRID55 八个已暴露日期的旧新配对与共有缓存比较</x:v>
      </x:c>
      <x:c r="D2489" s="19" t="str">
        <x:v>方法=LOCAL_PPO；完成=16/16</x:v>
      </x:c>
      <x:c r="E2489" s="19" t="str">
        <x:v>对FULL宏平均控制时间减少</x:v>
      </x:c>
      <x:c r="F2489" s="19" t="str">
        <x:v>14.048%</x:v>
      </x:c>
      <x:c r="G2489" s="19" t="str">
        <x:v>速度/计算</x:v>
      </x:c>
      <x:c r="H2489" s="19" t="str">
        <x:v>D:/Codex/GRL研究/outputs/grid55/GRID55_report.md</x:v>
      </x:c>
    </x:row>
    <x:row r="2490" ht="36" customHeight="1">
      <x:c r="A2490" s="19" t="str">
        <x:v>GRID55</x:v>
      </x:c>
      <x:c r="B2490" s="19" t="str">
        <x:v>GRID55_report.md</x:v>
      </x:c>
      <x:c r="C2490" s="19" t="str">
        <x:v>1. GRID55 八个已暴露日期的旧新配对与共有缓存比较</x:v>
      </x:c>
      <x:c r="D2490" s="19" t="str">
        <x:v>方法=COMPRESSED_GNN0；完成=16/16</x:v>
      </x:c>
      <x:c r="E2490" s="19" t="str">
        <x:v>完成</x:v>
      </x:c>
      <x:c r="F2490" s="19" t="str">
        <x:v>16/16</x:v>
      </x:c>
      <x:c r="G2490" s="19" t="str">
        <x:v>质量/成本</x:v>
      </x:c>
      <x:c r="H2490" s="19" t="str">
        <x:v>D:/Codex/GRL研究/outputs/grid55/GRID55_report.md</x:v>
      </x:c>
    </x:row>
    <x:row r="2491" ht="36" customHeight="1">
      <x:c r="A2491" s="19" t="str">
        <x:v>GRID55</x:v>
      </x:c>
      <x:c r="B2491" s="19" t="str">
        <x:v>GRID55_report.md</x:v>
      </x:c>
      <x:c r="C2491" s="19" t="str">
        <x:v>1. GRID55 八个已暴露日期的旧新配对与共有缓存比较</x:v>
      </x:c>
      <x:c r="D2491" s="19" t="str">
        <x:v>方法=COMPRESSED_GNN0；完成=16/16</x:v>
      </x:c>
      <x:c r="E2491" s="19" t="str">
        <x:v>无提前失败</x:v>
      </x:c>
      <x:c r="F2491" s="19" t="str">
        <x:v>16/16</x:v>
      </x:c>
      <x:c r="G2491" s="19" t="str">
        <x:v>质量/成本</x:v>
      </x:c>
      <x:c r="H2491" s="19" t="str">
        <x:v>D:/Codex/GRL研究/outputs/grid55/GRID55_report.md</x:v>
      </x:c>
    </x:row>
    <x:row r="2492" ht="36" customHeight="1">
      <x:c r="A2492" s="19" t="str">
        <x:v>GRID55</x:v>
      </x:c>
      <x:c r="B2492" s="19" t="str">
        <x:v>GRID55_report.md</x:v>
      </x:c>
      <x:c r="C2492" s="19" t="str">
        <x:v>1. GRID55 八个已暴露日期的旧新配对与共有缓存比较</x:v>
      </x:c>
      <x:c r="D2492" s="19" t="str">
        <x:v>方法=COMPRESSED_GNN0；完成=16/16</x:v>
      </x:c>
      <x:c r="E2492" s="19" t="str">
        <x:v>质量筛查</x:v>
      </x:c>
      <x:c r="F2492" s="19" t="str">
        <x:v>16/16</x:v>
      </x:c>
      <x:c r="G2492" s="19" t="str">
        <x:v>质量/成本</x:v>
      </x:c>
      <x:c r="H2492" s="19" t="str">
        <x:v>D:/Codex/GRL研究/outputs/grid55/GRID55_report.md</x:v>
      </x:c>
    </x:row>
    <x:row r="2493" ht="36" customHeight="1">
      <x:c r="A2493" s="19" t="str">
        <x:v>GRID55</x:v>
      </x:c>
      <x:c r="B2493" s="19" t="str">
        <x:v>GRID55_report.md</x:v>
      </x:c>
      <x:c r="C2493" s="19" t="str">
        <x:v>1. GRID55 八个已暴露日期的旧新配对与共有缓存比较</x:v>
      </x:c>
      <x:c r="D2493" s="19" t="str">
        <x:v>方法=COMPRESSED_GNN0；完成=16/16</x:v>
      </x:c>
      <x:c r="E2493" s="19" t="str">
        <x:v>完成周最大成本差</x:v>
      </x:c>
      <x:c r="F2493" s="19" t="str">
        <x:v>0.08045%</x:v>
      </x:c>
      <x:c r="G2493" s="19" t="str">
        <x:v>质量/成本</x:v>
      </x:c>
      <x:c r="H2493" s="19" t="str">
        <x:v>D:/Codex/GRL研究/outputs/grid55/GRID55_report.md</x:v>
      </x:c>
    </x:row>
    <x:row r="2494" ht="36" customHeight="1">
      <x:c r="A2494" s="19" t="str">
        <x:v>GRID55</x:v>
      </x:c>
      <x:c r="B2494" s="19" t="str">
        <x:v>GRID55_report.md</x:v>
      </x:c>
      <x:c r="C2494" s="19" t="str">
        <x:v>1. GRID55 八个已暴露日期的旧新配对与共有缓存比较</x:v>
      </x:c>
      <x:c r="D2494" s="19" t="str">
        <x:v>方法=COMPRESSED_GNN0；完成=16/16</x:v>
      </x:c>
      <x:c r="E2494" s="19" t="str">
        <x:v>对FULL宏平均控制时间减少</x:v>
      </x:c>
      <x:c r="F2494" s="19" t="str">
        <x:v>14.388%</x:v>
      </x:c>
      <x:c r="G2494" s="19" t="str">
        <x:v>速度/计算</x:v>
      </x:c>
      <x:c r="H2494" s="19" t="str">
        <x:v>D:/Codex/GRL研究/outputs/grid55/GRID55_report.md</x:v>
      </x:c>
    </x:row>
    <x:row r="2495" ht="36" customHeight="1">
      <x:c r="A2495" s="19" t="str">
        <x:v>GRID55</x:v>
      </x:c>
      <x:c r="B2495" s="19" t="str">
        <x:v>GRID55_report.md</x:v>
      </x:c>
      <x:c r="C2495" s="19" t="str">
        <x:v>1. GRID55 八个已暴露日期的旧新配对与共有缓存比较</x:v>
      </x:c>
      <x:c r="D2495" s="19" t="str">
        <x:v>方法=COMPRESSED_GNN1；完成=16/16</x:v>
      </x:c>
      <x:c r="E2495" s="19" t="str">
        <x:v>完成</x:v>
      </x:c>
      <x:c r="F2495" s="19" t="str">
        <x:v>16/16</x:v>
      </x:c>
      <x:c r="G2495" s="19" t="str">
        <x:v>质量/成本</x:v>
      </x:c>
      <x:c r="H2495" s="19" t="str">
        <x:v>D:/Codex/GRL研究/outputs/grid55/GRID55_report.md</x:v>
      </x:c>
    </x:row>
    <x:row r="2496" ht="36" customHeight="1">
      <x:c r="A2496" s="19" t="str">
        <x:v>GRID55</x:v>
      </x:c>
      <x:c r="B2496" s="19" t="str">
        <x:v>GRID55_report.md</x:v>
      </x:c>
      <x:c r="C2496" s="19" t="str">
        <x:v>1. GRID55 八个已暴露日期的旧新配对与共有缓存比较</x:v>
      </x:c>
      <x:c r="D2496" s="19" t="str">
        <x:v>方法=COMPRESSED_GNN1；完成=16/16</x:v>
      </x:c>
      <x:c r="E2496" s="19" t="str">
        <x:v>无提前失败</x:v>
      </x:c>
      <x:c r="F2496" s="19" t="str">
        <x:v>16/16</x:v>
      </x:c>
      <x:c r="G2496" s="19" t="str">
        <x:v>质量/成本</x:v>
      </x:c>
      <x:c r="H2496" s="19" t="str">
        <x:v>D:/Codex/GRL研究/outputs/grid55/GRID55_report.md</x:v>
      </x:c>
    </x:row>
    <x:row r="2497" ht="36" customHeight="1">
      <x:c r="A2497" s="19" t="str">
        <x:v>GRID55</x:v>
      </x:c>
      <x:c r="B2497" s="19" t="str">
        <x:v>GRID55_report.md</x:v>
      </x:c>
      <x:c r="C2497" s="19" t="str">
        <x:v>1. GRID55 八个已暴露日期的旧新配对与共有缓存比较</x:v>
      </x:c>
      <x:c r="D2497" s="19" t="str">
        <x:v>方法=COMPRESSED_GNN1；完成=16/16</x:v>
      </x:c>
      <x:c r="E2497" s="19" t="str">
        <x:v>质量筛查</x:v>
      </x:c>
      <x:c r="F2497" s="19" t="str">
        <x:v>16/16</x:v>
      </x:c>
      <x:c r="G2497" s="19" t="str">
        <x:v>质量/成本</x:v>
      </x:c>
      <x:c r="H2497" s="19" t="str">
        <x:v>D:/Codex/GRL研究/outputs/grid55/GRID55_report.md</x:v>
      </x:c>
    </x:row>
    <x:row r="2498" ht="36" customHeight="1">
      <x:c r="A2498" s="19" t="str">
        <x:v>GRID55</x:v>
      </x:c>
      <x:c r="B2498" s="19" t="str">
        <x:v>GRID55_report.md</x:v>
      </x:c>
      <x:c r="C2498" s="19" t="str">
        <x:v>1. GRID55 八个已暴露日期的旧新配对与共有缓存比较</x:v>
      </x:c>
      <x:c r="D2498" s="19" t="str">
        <x:v>方法=COMPRESSED_GNN1；完成=16/16</x:v>
      </x:c>
      <x:c r="E2498" s="19" t="str">
        <x:v>完成周最大成本差</x:v>
      </x:c>
      <x:c r="F2498" s="19" t="str">
        <x:v>0.08045%</x:v>
      </x:c>
      <x:c r="G2498" s="19" t="str">
        <x:v>质量/成本</x:v>
      </x:c>
      <x:c r="H2498" s="19" t="str">
        <x:v>D:/Codex/GRL研究/outputs/grid55/GRID55_report.md</x:v>
      </x:c>
    </x:row>
    <x:row r="2499" ht="36" customHeight="1">
      <x:c r="A2499" s="19" t="str">
        <x:v>GRID55</x:v>
      </x:c>
      <x:c r="B2499" s="19" t="str">
        <x:v>GRID55_report.md</x:v>
      </x:c>
      <x:c r="C2499" s="19" t="str">
        <x:v>1. GRID55 八个已暴露日期的旧新配对与共有缓存比较</x:v>
      </x:c>
      <x:c r="D2499" s="19" t="str">
        <x:v>方法=COMPRESSED_GNN1；完成=16/16</x:v>
      </x:c>
      <x:c r="E2499" s="19" t="str">
        <x:v>对FULL宏平均控制时间减少</x:v>
      </x:c>
      <x:c r="F2499" s="19" t="str">
        <x:v>-63.316%</x:v>
      </x:c>
      <x:c r="G2499" s="19" t="str">
        <x:v>速度/计算</x:v>
      </x:c>
      <x:c r="H2499" s="19" t="str">
        <x:v>D:/Codex/GRL研究/outputs/grid55/GRID55_report.md</x:v>
      </x:c>
    </x:row>
    <x:row r="2500" ht="36" customHeight="1">
      <x:c r="A2500" s="19" t="str">
        <x:v>GRID55</x:v>
      </x:c>
      <x:c r="B2500" s="19" t="str">
        <x:v>GRID55_report.md</x:v>
      </x:c>
      <x:c r="C2500" s="19" t="str">
        <x:v>1. GRID55 八个已暴露日期的旧新配对与共有缓存比较</x:v>
      </x:c>
      <x:c r="D2500" s="19" t="str">
        <x:v>方法=LOCAL_GNN0；完成=16/16</x:v>
      </x:c>
      <x:c r="E2500" s="19" t="str">
        <x:v>完成</x:v>
      </x:c>
      <x:c r="F2500" s="19" t="str">
        <x:v>16/16</x:v>
      </x:c>
      <x:c r="G2500" s="19" t="str">
        <x:v>质量/成本</x:v>
      </x:c>
      <x:c r="H2500" s="19" t="str">
        <x:v>D:/Codex/GRL研究/outputs/grid55/GRID55_report.md</x:v>
      </x:c>
    </x:row>
    <x:row r="2501" ht="36" customHeight="1">
      <x:c r="A2501" s="19" t="str">
        <x:v>GRID55</x:v>
      </x:c>
      <x:c r="B2501" s="19" t="str">
        <x:v>GRID55_report.md</x:v>
      </x:c>
      <x:c r="C2501" s="19" t="str">
        <x:v>1. GRID55 八个已暴露日期的旧新配对与共有缓存比较</x:v>
      </x:c>
      <x:c r="D2501" s="19" t="str">
        <x:v>方法=LOCAL_GNN0；完成=16/16</x:v>
      </x:c>
      <x:c r="E2501" s="19" t="str">
        <x:v>无提前失败</x:v>
      </x:c>
      <x:c r="F2501" s="19" t="str">
        <x:v>16/16</x:v>
      </x:c>
      <x:c r="G2501" s="19" t="str">
        <x:v>质量/成本</x:v>
      </x:c>
      <x:c r="H2501" s="19" t="str">
        <x:v>D:/Codex/GRL研究/outputs/grid55/GRID55_report.md</x:v>
      </x:c>
    </x:row>
    <x:row r="2502" ht="36" customHeight="1">
      <x:c r="A2502" s="19" t="str">
        <x:v>GRID55</x:v>
      </x:c>
      <x:c r="B2502" s="19" t="str">
        <x:v>GRID55_report.md</x:v>
      </x:c>
      <x:c r="C2502" s="19" t="str">
        <x:v>1. GRID55 八个已暴露日期的旧新配对与共有缓存比较</x:v>
      </x:c>
      <x:c r="D2502" s="19" t="str">
        <x:v>方法=LOCAL_GNN0；完成=16/16</x:v>
      </x:c>
      <x:c r="E2502" s="19" t="str">
        <x:v>质量筛查</x:v>
      </x:c>
      <x:c r="F2502" s="19" t="str">
        <x:v>14/16</x:v>
      </x:c>
      <x:c r="G2502" s="19" t="str">
        <x:v>质量/成本</x:v>
      </x:c>
      <x:c r="H2502" s="19" t="str">
        <x:v>D:/Codex/GRL研究/outputs/grid55/GRID55_report.md</x:v>
      </x:c>
    </x:row>
    <x:row r="2503" ht="36" customHeight="1">
      <x:c r="A2503" s="19" t="str">
        <x:v>GRID55</x:v>
      </x:c>
      <x:c r="B2503" s="19" t="str">
        <x:v>GRID55_report.md</x:v>
      </x:c>
      <x:c r="C2503" s="19" t="str">
        <x:v>1. GRID55 八个已暴露日期的旧新配对与共有缓存比较</x:v>
      </x:c>
      <x:c r="D2503" s="19" t="str">
        <x:v>方法=LOCAL_GNN0；完成=16/16</x:v>
      </x:c>
      <x:c r="E2503" s="19" t="str">
        <x:v>完成周最大成本差</x:v>
      </x:c>
      <x:c r="F2503" s="19" t="str">
        <x:v>1.74036%</x:v>
      </x:c>
      <x:c r="G2503" s="19" t="str">
        <x:v>质量/成本</x:v>
      </x:c>
      <x:c r="H2503" s="19" t="str">
        <x:v>D:/Codex/GRL研究/outputs/grid55/GRID55_report.md</x:v>
      </x:c>
    </x:row>
    <x:row r="2504" ht="36" customHeight="1">
      <x:c r="A2504" s="19" t="str">
        <x:v>GRID55</x:v>
      </x:c>
      <x:c r="B2504" s="19" t="str">
        <x:v>GRID55_report.md</x:v>
      </x:c>
      <x:c r="C2504" s="19" t="str">
        <x:v>1. GRID55 八个已暴露日期的旧新配对与共有缓存比较</x:v>
      </x:c>
      <x:c r="D2504" s="19" t="str">
        <x:v>方法=LOCAL_GNN0；完成=16/16</x:v>
      </x:c>
      <x:c r="E2504" s="19" t="str">
        <x:v>对FULL宏平均控制时间减少</x:v>
      </x:c>
      <x:c r="F2504" s="19" t="str">
        <x:v>18.453%</x:v>
      </x:c>
      <x:c r="G2504" s="19" t="str">
        <x:v>速度/计算</x:v>
      </x:c>
      <x:c r="H2504" s="19" t="str">
        <x:v>D:/Codex/GRL研究/outputs/grid55/GRID55_report.md</x:v>
      </x:c>
    </x:row>
    <x:row r="2505" ht="36" customHeight="1">
      <x:c r="A2505" s="19" t="str">
        <x:v>GRID55</x:v>
      </x:c>
      <x:c r="B2505" s="19" t="str">
        <x:v>GRID55_report.md</x:v>
      </x:c>
      <x:c r="C2505" s="19" t="str">
        <x:v>1. GRID55 八个已暴露日期的旧新配对与共有缓存比较</x:v>
      </x:c>
      <x:c r="D2505" s="19" t="str">
        <x:v>方法=LOCAL_GNN1；完成=16/16</x:v>
      </x:c>
      <x:c r="E2505" s="19" t="str">
        <x:v>完成</x:v>
      </x:c>
      <x:c r="F2505" s="19" t="str">
        <x:v>16/16</x:v>
      </x:c>
      <x:c r="G2505" s="19" t="str">
        <x:v>质量/成本</x:v>
      </x:c>
      <x:c r="H2505" s="19" t="str">
        <x:v>D:/Codex/GRL研究/outputs/grid55/GRID55_report.md</x:v>
      </x:c>
    </x:row>
    <x:row r="2506" ht="36" customHeight="1">
      <x:c r="A2506" s="19" t="str">
        <x:v>GRID55</x:v>
      </x:c>
      <x:c r="B2506" s="19" t="str">
        <x:v>GRID55_report.md</x:v>
      </x:c>
      <x:c r="C2506" s="19" t="str">
        <x:v>1. GRID55 八个已暴露日期的旧新配对与共有缓存比较</x:v>
      </x:c>
      <x:c r="D2506" s="19" t="str">
        <x:v>方法=LOCAL_GNN1；完成=16/16</x:v>
      </x:c>
      <x:c r="E2506" s="19" t="str">
        <x:v>无提前失败</x:v>
      </x:c>
      <x:c r="F2506" s="19" t="str">
        <x:v>16/16</x:v>
      </x:c>
      <x:c r="G2506" s="19" t="str">
        <x:v>质量/成本</x:v>
      </x:c>
      <x:c r="H2506" s="19" t="str">
        <x:v>D:/Codex/GRL研究/outputs/grid55/GRID55_report.md</x:v>
      </x:c>
    </x:row>
    <x:row r="2507" ht="36" customHeight="1">
      <x:c r="A2507" s="19" t="str">
        <x:v>GRID55</x:v>
      </x:c>
      <x:c r="B2507" s="19" t="str">
        <x:v>GRID55_report.md</x:v>
      </x:c>
      <x:c r="C2507" s="19" t="str">
        <x:v>1. GRID55 八个已暴露日期的旧新配对与共有缓存比较</x:v>
      </x:c>
      <x:c r="D2507" s="19" t="str">
        <x:v>方法=LOCAL_GNN1；完成=16/16</x:v>
      </x:c>
      <x:c r="E2507" s="19" t="str">
        <x:v>质量筛查</x:v>
      </x:c>
      <x:c r="F2507" s="19" t="str">
        <x:v>14/16</x:v>
      </x:c>
      <x:c r="G2507" s="19" t="str">
        <x:v>质量/成本</x:v>
      </x:c>
      <x:c r="H2507" s="19" t="str">
        <x:v>D:/Codex/GRL研究/outputs/grid55/GRID55_report.md</x:v>
      </x:c>
    </x:row>
    <x:row r="2508" ht="36" customHeight="1">
      <x:c r="A2508" s="19" t="str">
        <x:v>GRID55</x:v>
      </x:c>
      <x:c r="B2508" s="19" t="str">
        <x:v>GRID55_report.md</x:v>
      </x:c>
      <x:c r="C2508" s="19" t="str">
        <x:v>1. GRID55 八个已暴露日期的旧新配对与共有缓存比较</x:v>
      </x:c>
      <x:c r="D2508" s="19" t="str">
        <x:v>方法=LOCAL_GNN1；完成=16/16</x:v>
      </x:c>
      <x:c r="E2508" s="19" t="str">
        <x:v>完成周最大成本差</x:v>
      </x:c>
      <x:c r="F2508" s="19" t="str">
        <x:v>1.70438%</x:v>
      </x:c>
      <x:c r="G2508" s="19" t="str">
        <x:v>质量/成本</x:v>
      </x:c>
      <x:c r="H2508" s="19" t="str">
        <x:v>D:/Codex/GRL研究/outputs/grid55/GRID55_report.md</x:v>
      </x:c>
    </x:row>
    <x:row r="2509" ht="36" customHeight="1">
      <x:c r="A2509" s="19" t="str">
        <x:v>GRID55</x:v>
      </x:c>
      <x:c r="B2509" s="19" t="str">
        <x:v>GRID55_report.md</x:v>
      </x:c>
      <x:c r="C2509" s="19" t="str">
        <x:v>1. GRID55 八个已暴露日期的旧新配对与共有缓存比较</x:v>
      </x:c>
      <x:c r="D2509" s="19" t="str">
        <x:v>方法=LOCAL_GNN1；完成=16/16</x:v>
      </x:c>
      <x:c r="E2509" s="19" t="str">
        <x:v>对FULL宏平均控制时间减少</x:v>
      </x:c>
      <x:c r="F2509" s="19" t="str">
        <x:v>18.625%</x:v>
      </x:c>
      <x:c r="G2509" s="19" t="str">
        <x:v>速度/计算</x:v>
      </x:c>
      <x:c r="H2509" s="19" t="str">
        <x:v>D:/Codex/GRL研究/outputs/grid55/GRID55_report.md</x:v>
      </x:c>
    </x:row>
    <x:row r="2510" ht="36" customHeight="1">
      <x:c r="A2510" s="19" t="str">
        <x:v>GRID55</x:v>
      </x:c>
      <x:c r="B2510" s="19" t="str">
        <x:v>GRID55_report.md</x:v>
      </x:c>
      <x:c r="C2510" s="19" t="str">
        <x:v>2. GRID55 八个已暴露日期的旧新配对与共有缓存比较</x:v>
      </x:c>
      <x:c r="D2510" s="19" t="str">
        <x:v>方法=SOFTGNN0；对照=FULL</x:v>
      </x:c>
      <x:c r="E2510" s="19" t="str">
        <x:v>对照</x:v>
      </x:c>
      <x:c r="F2510" s="19" t="str">
        <x:v>FULL</x:v>
      </x:c>
      <x:c r="G2510" s="19" t="str">
        <x:v>其他/配置</x:v>
      </x:c>
      <x:c r="H2510" s="19" t="str">
        <x:v>D:/Codex/GRL研究/outputs/grid55/GRID55_report.md</x:v>
      </x:c>
    </x:row>
    <x:row r="2511" ht="36" customHeight="1">
      <x:c r="A2511" s="19" t="str">
        <x:v>GRID55</x:v>
      </x:c>
      <x:c r="B2511" s="19" t="str">
        <x:v>GRID55_report.md</x:v>
      </x:c>
      <x:c r="C2511" s="19" t="str">
        <x:v>2. GRID55 八个已暴露日期的旧新配对与共有缓存比较</x:v>
      </x:c>
      <x:c r="D2511" s="19" t="str">
        <x:v>方法=SOFTGNN0；对照=FULL</x:v>
      </x:c>
      <x:c r="E2511" s="19" t="str">
        <x:v>可比家族</x:v>
      </x:c>
      <x:c r="F2511" s="19" t="str">
        <x:v>8</x:v>
      </x:c>
      <x:c r="G2511" s="19" t="str">
        <x:v>其他/配置</x:v>
      </x:c>
      <x:c r="H2511" s="19" t="str">
        <x:v>D:/Codex/GRL研究/outputs/grid55/GRID55_report.md</x:v>
      </x:c>
    </x:row>
    <x:row r="2512" ht="36" customHeight="1">
      <x:c r="A2512" s="19" t="str">
        <x:v>GRID55</x:v>
      </x:c>
      <x:c r="B2512" s="19" t="str">
        <x:v>GRID55_report.md</x:v>
      </x:c>
      <x:c r="C2512" s="19" t="str">
        <x:v>2. GRID55 八个已暴露日期的旧新配对与共有缓存比较</x:v>
      </x:c>
      <x:c r="D2512" s="19" t="str">
        <x:v>方法=SOFTGNN0；对照=FULL</x:v>
      </x:c>
      <x:c r="E2512" s="19" t="str">
        <x:v>宏平均提速</x:v>
      </x:c>
      <x:c r="F2512" s="19" t="str">
        <x:v>16.330%</x:v>
      </x:c>
      <x:c r="G2512" s="19" t="str">
        <x:v>速度/计算</x:v>
      </x:c>
      <x:c r="H2512" s="19" t="str">
        <x:v>D:/Codex/GRL研究/outputs/grid55/GRID55_report.md</x:v>
      </x:c>
    </x:row>
    <x:row r="2513" ht="36" customHeight="1">
      <x:c r="A2513" s="19" t="str">
        <x:v>GRID55</x:v>
      </x:c>
      <x:c r="B2513" s="19" t="str">
        <x:v>GRID55_report.md</x:v>
      </x:c>
      <x:c r="C2513" s="19" t="str">
        <x:v>2. GRID55 八个已暴露日期的旧新配对与共有缓存比较</x:v>
      </x:c>
      <x:c r="D2513" s="19" t="str">
        <x:v>方法=SOFTGNN0；对照=FULL</x:v>
      </x:c>
      <x:c r="E2513" s="19" t="str">
        <x:v>家族bootstrap95%</x:v>
      </x:c>
      <x:c r="F2513" s="19" t="str">
        <x:v>[8.925%, 24.346%]</x:v>
      </x:c>
      <x:c r="G2513" s="19" t="str">
        <x:v>速度/计算</x:v>
      </x:c>
      <x:c r="H2513" s="19" t="str">
        <x:v>D:/Codex/GRL研究/outputs/grid55/GRID55_report.md</x:v>
      </x:c>
    </x:row>
    <x:row r="2514" ht="36" customHeight="1">
      <x:c r="A2514" s="19" t="str">
        <x:v>GRID55</x:v>
      </x:c>
      <x:c r="B2514" s="19" t="str">
        <x:v>GRID55_report.md</x:v>
      </x:c>
      <x:c r="C2514" s="19" t="str">
        <x:v>2. GRID55 八个已暴露日期的旧新配对与共有缓存比较</x:v>
      </x:c>
      <x:c r="D2514" s="19" t="str">
        <x:v>方法=SOFTGNN0；对照=FULL</x:v>
      </x:c>
      <x:c r="E2514" s="19" t="str">
        <x:v>时间正向家族</x:v>
      </x:c>
      <x:c r="F2514" s="19" t="str">
        <x:v>7</x:v>
      </x:c>
      <x:c r="G2514" s="19" t="str">
        <x:v>速度/计算</x:v>
      </x:c>
      <x:c r="H2514" s="19" t="str">
        <x:v>D:/Codex/GRL研究/outputs/grid55/GRID55_report.md</x:v>
      </x:c>
    </x:row>
    <x:row r="2515" ht="36" customHeight="1">
      <x:c r="A2515" s="19" t="str">
        <x:v>GRID55</x:v>
      </x:c>
      <x:c r="B2515" s="19" t="str">
        <x:v>GRID55_report.md</x:v>
      </x:c>
      <x:c r="C2515" s="19" t="str">
        <x:v>2. GRID55 八个已暴露日期的旧新配对与共有缓存比较</x:v>
      </x:c>
      <x:c r="D2515" s="19" t="str">
        <x:v>方法=SOFTGNN1；对照=FULL</x:v>
      </x:c>
      <x:c r="E2515" s="19" t="str">
        <x:v>对照</x:v>
      </x:c>
      <x:c r="F2515" s="19" t="str">
        <x:v>FULL</x:v>
      </x:c>
      <x:c r="G2515" s="19" t="str">
        <x:v>其他/配置</x:v>
      </x:c>
      <x:c r="H2515" s="19" t="str">
        <x:v>D:/Codex/GRL研究/outputs/grid55/GRID55_report.md</x:v>
      </x:c>
    </x:row>
    <x:row r="2516" ht="36" customHeight="1">
      <x:c r="A2516" s="19" t="str">
        <x:v>GRID55</x:v>
      </x:c>
      <x:c r="B2516" s="19" t="str">
        <x:v>GRID55_report.md</x:v>
      </x:c>
      <x:c r="C2516" s="19" t="str">
        <x:v>2. GRID55 八个已暴露日期的旧新配对与共有缓存比较</x:v>
      </x:c>
      <x:c r="D2516" s="19" t="str">
        <x:v>方法=SOFTGNN1；对照=FULL</x:v>
      </x:c>
      <x:c r="E2516" s="19" t="str">
        <x:v>可比家族</x:v>
      </x:c>
      <x:c r="F2516" s="19" t="str">
        <x:v>8</x:v>
      </x:c>
      <x:c r="G2516" s="19" t="str">
        <x:v>其他/配置</x:v>
      </x:c>
      <x:c r="H2516" s="19" t="str">
        <x:v>D:/Codex/GRL研究/outputs/grid55/GRID55_report.md</x:v>
      </x:c>
    </x:row>
    <x:row r="2517" ht="36" customHeight="1">
      <x:c r="A2517" s="19" t="str">
        <x:v>GRID55</x:v>
      </x:c>
      <x:c r="B2517" s="19" t="str">
        <x:v>GRID55_report.md</x:v>
      </x:c>
      <x:c r="C2517" s="19" t="str">
        <x:v>2. GRID55 八个已暴露日期的旧新配对与共有缓存比较</x:v>
      </x:c>
      <x:c r="D2517" s="19" t="str">
        <x:v>方法=SOFTGNN1；对照=FULL</x:v>
      </x:c>
      <x:c r="E2517" s="19" t="str">
        <x:v>宏平均提速</x:v>
      </x:c>
      <x:c r="F2517" s="19" t="str">
        <x:v>16.629%</x:v>
      </x:c>
      <x:c r="G2517" s="19" t="str">
        <x:v>速度/计算</x:v>
      </x:c>
      <x:c r="H2517" s="19" t="str">
        <x:v>D:/Codex/GRL研究/outputs/grid55/GRID55_report.md</x:v>
      </x:c>
    </x:row>
    <x:row r="2518" ht="36" customHeight="1">
      <x:c r="A2518" s="19" t="str">
        <x:v>GRID55</x:v>
      </x:c>
      <x:c r="B2518" s="19" t="str">
        <x:v>GRID55_report.md</x:v>
      </x:c>
      <x:c r="C2518" s="19" t="str">
        <x:v>2. GRID55 八个已暴露日期的旧新配对与共有缓存比较</x:v>
      </x:c>
      <x:c r="D2518" s="19" t="str">
        <x:v>方法=SOFTGNN1；对照=FULL</x:v>
      </x:c>
      <x:c r="E2518" s="19" t="str">
        <x:v>家族bootstrap95%</x:v>
      </x:c>
      <x:c r="F2518" s="19" t="str">
        <x:v>[9.342%, 24.058%]</x:v>
      </x:c>
      <x:c r="G2518" s="19" t="str">
        <x:v>速度/计算</x:v>
      </x:c>
      <x:c r="H2518" s="19" t="str">
        <x:v>D:/Codex/GRL研究/outputs/grid55/GRID55_report.md</x:v>
      </x:c>
    </x:row>
    <x:row r="2519" ht="36" customHeight="1">
      <x:c r="A2519" s="19" t="str">
        <x:v>GRID55</x:v>
      </x:c>
      <x:c r="B2519" s="19" t="str">
        <x:v>GRID55_report.md</x:v>
      </x:c>
      <x:c r="C2519" s="19" t="str">
        <x:v>2. GRID55 八个已暴露日期的旧新配对与共有缓存比较</x:v>
      </x:c>
      <x:c r="D2519" s="19" t="str">
        <x:v>方法=SOFTGNN1；对照=FULL</x:v>
      </x:c>
      <x:c r="E2519" s="19" t="str">
        <x:v>时间正向家族</x:v>
      </x:c>
      <x:c r="F2519" s="19" t="str">
        <x:v>7</x:v>
      </x:c>
      <x:c r="G2519" s="19" t="str">
        <x:v>速度/计算</x:v>
      </x:c>
      <x:c r="H2519" s="19" t="str">
        <x:v>D:/Codex/GRL研究/outputs/grid55/GRID55_report.md</x:v>
      </x:c>
    </x:row>
    <x:row r="2520" ht="36" customHeight="1">
      <x:c r="A2520" s="19" t="str">
        <x:v>GRID55</x:v>
      </x:c>
      <x:c r="B2520" s="19" t="str">
        <x:v>GRID55_report.md</x:v>
      </x:c>
      <x:c r="C2520" s="19" t="str">
        <x:v>2. GRID55 八个已暴露日期的旧新配对与共有缓存比较</x:v>
      </x:c>
      <x:c r="D2520" s="19" t="str">
        <x:v>方法=LOCAL_PPO；对照=FULL</x:v>
      </x:c>
      <x:c r="E2520" s="19" t="str">
        <x:v>对照</x:v>
      </x:c>
      <x:c r="F2520" s="19" t="str">
        <x:v>FULL</x:v>
      </x:c>
      <x:c r="G2520" s="19" t="str">
        <x:v>其他/配置</x:v>
      </x:c>
      <x:c r="H2520" s="19" t="str">
        <x:v>D:/Codex/GRL研究/outputs/grid55/GRID55_report.md</x:v>
      </x:c>
    </x:row>
    <x:row r="2521" ht="36" customHeight="1">
      <x:c r="A2521" s="19" t="str">
        <x:v>GRID55</x:v>
      </x:c>
      <x:c r="B2521" s="19" t="str">
        <x:v>GRID55_report.md</x:v>
      </x:c>
      <x:c r="C2521" s="19" t="str">
        <x:v>2. GRID55 八个已暴露日期的旧新配对与共有缓存比较</x:v>
      </x:c>
      <x:c r="D2521" s="19" t="str">
        <x:v>方法=LOCAL_PPO；对照=FULL</x:v>
      </x:c>
      <x:c r="E2521" s="19" t="str">
        <x:v>可比家族</x:v>
      </x:c>
      <x:c r="F2521" s="19" t="str">
        <x:v>8</x:v>
      </x:c>
      <x:c r="G2521" s="19" t="str">
        <x:v>其他/配置</x:v>
      </x:c>
      <x:c r="H2521" s="19" t="str">
        <x:v>D:/Codex/GRL研究/outputs/grid55/GRID55_report.md</x:v>
      </x:c>
    </x:row>
    <x:row r="2522" ht="36" customHeight="1">
      <x:c r="A2522" s="19" t="str">
        <x:v>GRID55</x:v>
      </x:c>
      <x:c r="B2522" s="19" t="str">
        <x:v>GRID55_report.md</x:v>
      </x:c>
      <x:c r="C2522" s="19" t="str">
        <x:v>2. GRID55 八个已暴露日期的旧新配对与共有缓存比较</x:v>
      </x:c>
      <x:c r="D2522" s="19" t="str">
        <x:v>方法=LOCAL_PPO；对照=FULL</x:v>
      </x:c>
      <x:c r="E2522" s="19" t="str">
        <x:v>宏平均提速</x:v>
      </x:c>
      <x:c r="F2522" s="19" t="str">
        <x:v>14.048%</x:v>
      </x:c>
      <x:c r="G2522" s="19" t="str">
        <x:v>速度/计算</x:v>
      </x:c>
      <x:c r="H2522" s="19" t="str">
        <x:v>D:/Codex/GRL研究/outputs/grid55/GRID55_report.md</x:v>
      </x:c>
    </x:row>
    <x:row r="2523" ht="36" customHeight="1">
      <x:c r="A2523" s="19" t="str">
        <x:v>GRID55</x:v>
      </x:c>
      <x:c r="B2523" s="19" t="str">
        <x:v>GRID55_report.md</x:v>
      </x:c>
      <x:c r="C2523" s="19" t="str">
        <x:v>2. GRID55 八个已暴露日期的旧新配对与共有缓存比较</x:v>
      </x:c>
      <x:c r="D2523" s="19" t="str">
        <x:v>方法=LOCAL_PPO；对照=FULL</x:v>
      </x:c>
      <x:c r="E2523" s="19" t="str">
        <x:v>家族bootstrap95%</x:v>
      </x:c>
      <x:c r="F2523" s="19" t="str">
        <x:v>[1.109%, 25.097%]</x:v>
      </x:c>
      <x:c r="G2523" s="19" t="str">
        <x:v>速度/计算</x:v>
      </x:c>
      <x:c r="H2523" s="19" t="str">
        <x:v>D:/Codex/GRL研究/outputs/grid55/GRID55_report.md</x:v>
      </x:c>
    </x:row>
    <x:row r="2524" ht="36" customHeight="1">
      <x:c r="A2524" s="19" t="str">
        <x:v>GRID55</x:v>
      </x:c>
      <x:c r="B2524" s="19" t="str">
        <x:v>GRID55_report.md</x:v>
      </x:c>
      <x:c r="C2524" s="19" t="str">
        <x:v>2. GRID55 八个已暴露日期的旧新配对与共有缓存比较</x:v>
      </x:c>
      <x:c r="D2524" s="19" t="str">
        <x:v>方法=LOCAL_PPO；对照=FULL</x:v>
      </x:c>
      <x:c r="E2524" s="19" t="str">
        <x:v>时间正向家族</x:v>
      </x:c>
      <x:c r="F2524" s="19" t="str">
        <x:v>6</x:v>
      </x:c>
      <x:c r="G2524" s="19" t="str">
        <x:v>速度/计算</x:v>
      </x:c>
      <x:c r="H2524" s="19" t="str">
        <x:v>D:/Codex/GRL研究/outputs/grid55/GRID55_report.md</x:v>
      </x:c>
    </x:row>
    <x:row r="2525" ht="36" customHeight="1">
      <x:c r="A2525" s="19" t="str">
        <x:v>GRID55</x:v>
      </x:c>
      <x:c r="B2525" s="19" t="str">
        <x:v>GRID55_report.md</x:v>
      </x:c>
      <x:c r="C2525" s="19" t="str">
        <x:v>2. GRID55 八个已暴露日期的旧新配对与共有缓存比较</x:v>
      </x:c>
      <x:c r="D2525" s="19" t="str">
        <x:v>方法=COMPRESSED_GNN0；对照=FULL</x:v>
      </x:c>
      <x:c r="E2525" s="19" t="str">
        <x:v>对照</x:v>
      </x:c>
      <x:c r="F2525" s="19" t="str">
        <x:v>FULL</x:v>
      </x:c>
      <x:c r="G2525" s="19" t="str">
        <x:v>其他/配置</x:v>
      </x:c>
      <x:c r="H2525" s="19" t="str">
        <x:v>D:/Codex/GRL研究/outputs/grid55/GRID55_report.md</x:v>
      </x:c>
    </x:row>
    <x:row r="2526" ht="36" customHeight="1">
      <x:c r="A2526" s="19" t="str">
        <x:v>GRID55</x:v>
      </x:c>
      <x:c r="B2526" s="19" t="str">
        <x:v>GRID55_report.md</x:v>
      </x:c>
      <x:c r="C2526" s="19" t="str">
        <x:v>2. GRID55 八个已暴露日期的旧新配对与共有缓存比较</x:v>
      </x:c>
      <x:c r="D2526" s="19" t="str">
        <x:v>方法=COMPRESSED_GNN0；对照=FULL</x:v>
      </x:c>
      <x:c r="E2526" s="19" t="str">
        <x:v>可比家族</x:v>
      </x:c>
      <x:c r="F2526" s="19" t="str">
        <x:v>8</x:v>
      </x:c>
      <x:c r="G2526" s="19" t="str">
        <x:v>其他/配置</x:v>
      </x:c>
      <x:c r="H2526" s="19" t="str">
        <x:v>D:/Codex/GRL研究/outputs/grid55/GRID55_report.md</x:v>
      </x:c>
    </x:row>
    <x:row r="2527" ht="36" customHeight="1">
      <x:c r="A2527" s="19" t="str">
        <x:v>GRID55</x:v>
      </x:c>
      <x:c r="B2527" s="19" t="str">
        <x:v>GRID55_report.md</x:v>
      </x:c>
      <x:c r="C2527" s="19" t="str">
        <x:v>2. GRID55 八个已暴露日期的旧新配对与共有缓存比较</x:v>
      </x:c>
      <x:c r="D2527" s="19" t="str">
        <x:v>方法=COMPRESSED_GNN0；对照=FULL</x:v>
      </x:c>
      <x:c r="E2527" s="19" t="str">
        <x:v>宏平均提速</x:v>
      </x:c>
      <x:c r="F2527" s="19" t="str">
        <x:v>14.388%</x:v>
      </x:c>
      <x:c r="G2527" s="19" t="str">
        <x:v>速度/计算</x:v>
      </x:c>
      <x:c r="H2527" s="19" t="str">
        <x:v>D:/Codex/GRL研究/outputs/grid55/GRID55_report.md</x:v>
      </x:c>
    </x:row>
    <x:row r="2528" ht="36" customHeight="1">
      <x:c r="A2528" s="19" t="str">
        <x:v>GRID55</x:v>
      </x:c>
      <x:c r="B2528" s="19" t="str">
        <x:v>GRID55_report.md</x:v>
      </x:c>
      <x:c r="C2528" s="19" t="str">
        <x:v>2. GRID55 八个已暴露日期的旧新配对与共有缓存比较</x:v>
      </x:c>
      <x:c r="D2528" s="19" t="str">
        <x:v>方法=COMPRESSED_GNN0；对照=FULL</x:v>
      </x:c>
      <x:c r="E2528" s="19" t="str">
        <x:v>家族bootstrap95%</x:v>
      </x:c>
      <x:c r="F2528" s="19" t="str">
        <x:v>[6.537%, 22.862%]</x:v>
      </x:c>
      <x:c r="G2528" s="19" t="str">
        <x:v>速度/计算</x:v>
      </x:c>
      <x:c r="H2528" s="19" t="str">
        <x:v>D:/Codex/GRL研究/outputs/grid55/GRID55_report.md</x:v>
      </x:c>
    </x:row>
    <x:row r="2529" ht="36" customHeight="1">
      <x:c r="A2529" s="19" t="str">
        <x:v>GRID55</x:v>
      </x:c>
      <x:c r="B2529" s="19" t="str">
        <x:v>GRID55_report.md</x:v>
      </x:c>
      <x:c r="C2529" s="19" t="str">
        <x:v>2. GRID55 八个已暴露日期的旧新配对与共有缓存比较</x:v>
      </x:c>
      <x:c r="D2529" s="19" t="str">
        <x:v>方法=COMPRESSED_GNN0；对照=FULL</x:v>
      </x:c>
      <x:c r="E2529" s="19" t="str">
        <x:v>时间正向家族</x:v>
      </x:c>
      <x:c r="F2529" s="19" t="str">
        <x:v>7</x:v>
      </x:c>
      <x:c r="G2529" s="19" t="str">
        <x:v>速度/计算</x:v>
      </x:c>
      <x:c r="H2529" s="19" t="str">
        <x:v>D:/Codex/GRL研究/outputs/grid55/GRID55_report.md</x:v>
      </x:c>
    </x:row>
    <x:row r="2530" ht="36" customHeight="1">
      <x:c r="A2530" s="19" t="str">
        <x:v>GRID55</x:v>
      </x:c>
      <x:c r="B2530" s="19" t="str">
        <x:v>GRID55_report.md</x:v>
      </x:c>
      <x:c r="C2530" s="19" t="str">
        <x:v>2. GRID55 八个已暴露日期的旧新配对与共有缓存比较</x:v>
      </x:c>
      <x:c r="D2530" s="19" t="str">
        <x:v>方法=COMPRESSED_GNN1；对照=FULL</x:v>
      </x:c>
      <x:c r="E2530" s="19" t="str">
        <x:v>对照</x:v>
      </x:c>
      <x:c r="F2530" s="19" t="str">
        <x:v>FULL</x:v>
      </x:c>
      <x:c r="G2530" s="19" t="str">
        <x:v>其他/配置</x:v>
      </x:c>
      <x:c r="H2530" s="19" t="str">
        <x:v>D:/Codex/GRL研究/outputs/grid55/GRID55_report.md</x:v>
      </x:c>
    </x:row>
    <x:row r="2531" ht="36" customHeight="1">
      <x:c r="A2531" s="19" t="str">
        <x:v>GRID55</x:v>
      </x:c>
      <x:c r="B2531" s="19" t="str">
        <x:v>GRID55_report.md</x:v>
      </x:c>
      <x:c r="C2531" s="19" t="str">
        <x:v>2. GRID55 八个已暴露日期的旧新配对与共有缓存比较</x:v>
      </x:c>
      <x:c r="D2531" s="19" t="str">
        <x:v>方法=COMPRESSED_GNN1；对照=FULL</x:v>
      </x:c>
      <x:c r="E2531" s="19" t="str">
        <x:v>可比家族</x:v>
      </x:c>
      <x:c r="F2531" s="19" t="str">
        <x:v>8</x:v>
      </x:c>
      <x:c r="G2531" s="19" t="str">
        <x:v>其他/配置</x:v>
      </x:c>
      <x:c r="H2531" s="19" t="str">
        <x:v>D:/Codex/GRL研究/outputs/grid55/GRID55_report.md</x:v>
      </x:c>
    </x:row>
    <x:row r="2532" ht="36" customHeight="1">
      <x:c r="A2532" s="19" t="str">
        <x:v>GRID55</x:v>
      </x:c>
      <x:c r="B2532" s="19" t="str">
        <x:v>GRID55_report.md</x:v>
      </x:c>
      <x:c r="C2532" s="19" t="str">
        <x:v>2. GRID55 八个已暴露日期的旧新配对与共有缓存比较</x:v>
      </x:c>
      <x:c r="D2532" s="19" t="str">
        <x:v>方法=COMPRESSED_GNN1；对照=FULL</x:v>
      </x:c>
      <x:c r="E2532" s="19" t="str">
        <x:v>宏平均提速</x:v>
      </x:c>
      <x:c r="F2532" s="19" t="str">
        <x:v>-63.316%</x:v>
      </x:c>
      <x:c r="G2532" s="19" t="str">
        <x:v>速度/计算</x:v>
      </x:c>
      <x:c r="H2532" s="19" t="str">
        <x:v>D:/Codex/GRL研究/outputs/grid55/GRID55_report.md</x:v>
      </x:c>
    </x:row>
    <x:row r="2533" ht="36" customHeight="1">
      <x:c r="A2533" s="19" t="str">
        <x:v>GRID55</x:v>
      </x:c>
      <x:c r="B2533" s="19" t="str">
        <x:v>GRID55_report.md</x:v>
      </x:c>
      <x:c r="C2533" s="19" t="str">
        <x:v>2. GRID55 八个已暴露日期的旧新配对与共有缓存比较</x:v>
      </x:c>
      <x:c r="D2533" s="19" t="str">
        <x:v>方法=COMPRESSED_GNN1；对照=FULL</x:v>
      </x:c>
      <x:c r="E2533" s="19" t="str">
        <x:v>家族bootstrap95%</x:v>
      </x:c>
      <x:c r="F2533" s="19" t="str">
        <x:v>[-225.517%, 22.828%]</x:v>
      </x:c>
      <x:c r="G2533" s="19" t="str">
        <x:v>速度/计算</x:v>
      </x:c>
      <x:c r="H2533" s="19" t="str">
        <x:v>D:/Codex/GRL研究/outputs/grid55/GRID55_report.md</x:v>
      </x:c>
    </x:row>
    <x:row r="2534" ht="36" customHeight="1">
      <x:c r="A2534" s="19" t="str">
        <x:v>GRID55</x:v>
      </x:c>
      <x:c r="B2534" s="19" t="str">
        <x:v>GRID55_report.md</x:v>
      </x:c>
      <x:c r="C2534" s="19" t="str">
        <x:v>2. GRID55 八个已暴露日期的旧新配对与共有缓存比较</x:v>
      </x:c>
      <x:c r="D2534" s="19" t="str">
        <x:v>方法=COMPRESSED_GNN1；对照=FULL</x:v>
      </x:c>
      <x:c r="E2534" s="19" t="str">
        <x:v>时间正向家族</x:v>
      </x:c>
      <x:c r="F2534" s="19" t="str">
        <x:v>6</x:v>
      </x:c>
      <x:c r="G2534" s="19" t="str">
        <x:v>速度/计算</x:v>
      </x:c>
      <x:c r="H2534" s="19" t="str">
        <x:v>D:/Codex/GRL研究/outputs/grid55/GRID55_report.md</x:v>
      </x:c>
    </x:row>
    <x:row r="2535" ht="36" customHeight="1">
      <x:c r="A2535" s="19" t="str">
        <x:v>GRID55</x:v>
      </x:c>
      <x:c r="B2535" s="19" t="str">
        <x:v>GRID55_report.md</x:v>
      </x:c>
      <x:c r="C2535" s="19" t="str">
        <x:v>2. GRID55 八个已暴露日期的旧新配对与共有缓存比较</x:v>
      </x:c>
      <x:c r="D2535" s="19" t="str">
        <x:v>方法=LOCAL_GNN0；对照=FULL</x:v>
      </x:c>
      <x:c r="E2535" s="19" t="str">
        <x:v>对照</x:v>
      </x:c>
      <x:c r="F2535" s="19" t="str">
        <x:v>FULL</x:v>
      </x:c>
      <x:c r="G2535" s="19" t="str">
        <x:v>其他/配置</x:v>
      </x:c>
      <x:c r="H2535" s="19" t="str">
        <x:v>D:/Codex/GRL研究/outputs/grid55/GRID55_report.md</x:v>
      </x:c>
    </x:row>
    <x:row r="2536" ht="36" customHeight="1">
      <x:c r="A2536" s="19" t="str">
        <x:v>GRID55</x:v>
      </x:c>
      <x:c r="B2536" s="19" t="str">
        <x:v>GRID55_report.md</x:v>
      </x:c>
      <x:c r="C2536" s="19" t="str">
        <x:v>2. GRID55 八个已暴露日期的旧新配对与共有缓存比较</x:v>
      </x:c>
      <x:c r="D2536" s="19" t="str">
        <x:v>方法=LOCAL_GNN0；对照=FULL</x:v>
      </x:c>
      <x:c r="E2536" s="19" t="str">
        <x:v>可比家族</x:v>
      </x:c>
      <x:c r="F2536" s="19" t="str">
        <x:v>8</x:v>
      </x:c>
      <x:c r="G2536" s="19" t="str">
        <x:v>其他/配置</x:v>
      </x:c>
      <x:c r="H2536" s="19" t="str">
        <x:v>D:/Codex/GRL研究/outputs/grid55/GRID55_report.md</x:v>
      </x:c>
    </x:row>
    <x:row r="2537" ht="36" customHeight="1">
      <x:c r="A2537" s="19" t="str">
        <x:v>GRID55</x:v>
      </x:c>
      <x:c r="B2537" s="19" t="str">
        <x:v>GRID55_report.md</x:v>
      </x:c>
      <x:c r="C2537" s="19" t="str">
        <x:v>2. GRID55 八个已暴露日期的旧新配对与共有缓存比较</x:v>
      </x:c>
      <x:c r="D2537" s="19" t="str">
        <x:v>方法=LOCAL_GNN0；对照=FULL</x:v>
      </x:c>
      <x:c r="E2537" s="19" t="str">
        <x:v>宏平均提速</x:v>
      </x:c>
      <x:c r="F2537" s="19" t="str">
        <x:v>18.453%</x:v>
      </x:c>
      <x:c r="G2537" s="19" t="str">
        <x:v>速度/计算</x:v>
      </x:c>
      <x:c r="H2537" s="19" t="str">
        <x:v>D:/Codex/GRL研究/outputs/grid55/GRID55_report.md</x:v>
      </x:c>
    </x:row>
    <x:row r="2538" ht="36" customHeight="1">
      <x:c r="A2538" s="19" t="str">
        <x:v>GRID55</x:v>
      </x:c>
      <x:c r="B2538" s="19" t="str">
        <x:v>GRID55_report.md</x:v>
      </x:c>
      <x:c r="C2538" s="19" t="str">
        <x:v>2. GRID55 八个已暴露日期的旧新配对与共有缓存比较</x:v>
      </x:c>
      <x:c r="D2538" s="19" t="str">
        <x:v>方法=LOCAL_GNN0；对照=FULL</x:v>
      </x:c>
      <x:c r="E2538" s="19" t="str">
        <x:v>家族bootstrap95%</x:v>
      </x:c>
      <x:c r="F2538" s="19" t="str">
        <x:v>[10.360%, 26.452%]</x:v>
      </x:c>
      <x:c r="G2538" s="19" t="str">
        <x:v>速度/计算</x:v>
      </x:c>
      <x:c r="H2538" s="19" t="str">
        <x:v>D:/Codex/GRL研究/outputs/grid55/GRID55_report.md</x:v>
      </x:c>
    </x:row>
    <x:row r="2539" ht="36" customHeight="1">
      <x:c r="A2539" s="19" t="str">
        <x:v>GRID55</x:v>
      </x:c>
      <x:c r="B2539" s="19" t="str">
        <x:v>GRID55_report.md</x:v>
      </x:c>
      <x:c r="C2539" s="19" t="str">
        <x:v>2. GRID55 八个已暴露日期的旧新配对与共有缓存比较</x:v>
      </x:c>
      <x:c r="D2539" s="19" t="str">
        <x:v>方法=LOCAL_GNN0；对照=FULL</x:v>
      </x:c>
      <x:c r="E2539" s="19" t="str">
        <x:v>时间正向家族</x:v>
      </x:c>
      <x:c r="F2539" s="19" t="str">
        <x:v>7</x:v>
      </x:c>
      <x:c r="G2539" s="19" t="str">
        <x:v>速度/计算</x:v>
      </x:c>
      <x:c r="H2539" s="19" t="str">
        <x:v>D:/Codex/GRL研究/outputs/grid55/GRID55_report.md</x:v>
      </x:c>
    </x:row>
    <x:row r="2540" ht="36" customHeight="1">
      <x:c r="A2540" s="19" t="str">
        <x:v>GRID55</x:v>
      </x:c>
      <x:c r="B2540" s="19" t="str">
        <x:v>GRID55_report.md</x:v>
      </x:c>
      <x:c r="C2540" s="19" t="str">
        <x:v>2. GRID55 八个已暴露日期的旧新配对与共有缓存比较</x:v>
      </x:c>
      <x:c r="D2540" s="19" t="str">
        <x:v>方法=LOCAL_GNN1；对照=FULL</x:v>
      </x:c>
      <x:c r="E2540" s="19" t="str">
        <x:v>对照</x:v>
      </x:c>
      <x:c r="F2540" s="19" t="str">
        <x:v>FULL</x:v>
      </x:c>
      <x:c r="G2540" s="19" t="str">
        <x:v>其他/配置</x:v>
      </x:c>
      <x:c r="H2540" s="19" t="str">
        <x:v>D:/Codex/GRL研究/outputs/grid55/GRID55_report.md</x:v>
      </x:c>
    </x:row>
    <x:row r="2541" ht="36" customHeight="1">
      <x:c r="A2541" s="19" t="str">
        <x:v>GRID55</x:v>
      </x:c>
      <x:c r="B2541" s="19" t="str">
        <x:v>GRID55_report.md</x:v>
      </x:c>
      <x:c r="C2541" s="19" t="str">
        <x:v>2. GRID55 八个已暴露日期的旧新配对与共有缓存比较</x:v>
      </x:c>
      <x:c r="D2541" s="19" t="str">
        <x:v>方法=LOCAL_GNN1；对照=FULL</x:v>
      </x:c>
      <x:c r="E2541" s="19" t="str">
        <x:v>可比家族</x:v>
      </x:c>
      <x:c r="F2541" s="19" t="str">
        <x:v>8</x:v>
      </x:c>
      <x:c r="G2541" s="19" t="str">
        <x:v>其他/配置</x:v>
      </x:c>
      <x:c r="H2541" s="19" t="str">
        <x:v>D:/Codex/GRL研究/outputs/grid55/GRID55_report.md</x:v>
      </x:c>
    </x:row>
    <x:row r="2542" ht="36" customHeight="1">
      <x:c r="A2542" s="19" t="str">
        <x:v>GRID55</x:v>
      </x:c>
      <x:c r="B2542" s="19" t="str">
        <x:v>GRID55_report.md</x:v>
      </x:c>
      <x:c r="C2542" s="19" t="str">
        <x:v>2. GRID55 八个已暴露日期的旧新配对与共有缓存比较</x:v>
      </x:c>
      <x:c r="D2542" s="19" t="str">
        <x:v>方法=LOCAL_GNN1；对照=FULL</x:v>
      </x:c>
      <x:c r="E2542" s="19" t="str">
        <x:v>宏平均提速</x:v>
      </x:c>
      <x:c r="F2542" s="19" t="str">
        <x:v>18.625%</x:v>
      </x:c>
      <x:c r="G2542" s="19" t="str">
        <x:v>速度/计算</x:v>
      </x:c>
      <x:c r="H2542" s="19" t="str">
        <x:v>D:/Codex/GRL研究/outputs/grid55/GRID55_report.md</x:v>
      </x:c>
    </x:row>
    <x:row r="2543" ht="36" customHeight="1">
      <x:c r="A2543" s="19" t="str">
        <x:v>GRID55</x:v>
      </x:c>
      <x:c r="B2543" s="19" t="str">
        <x:v>GRID55_report.md</x:v>
      </x:c>
      <x:c r="C2543" s="19" t="str">
        <x:v>2. GRID55 八个已暴露日期的旧新配对与共有缓存比较</x:v>
      </x:c>
      <x:c r="D2543" s="19" t="str">
        <x:v>方法=LOCAL_GNN1；对照=FULL</x:v>
      </x:c>
      <x:c r="E2543" s="19" t="str">
        <x:v>家族bootstrap95%</x:v>
      </x:c>
      <x:c r="F2543" s="19" t="str">
        <x:v>[10.797%, 26.341%]</x:v>
      </x:c>
      <x:c r="G2543" s="19" t="str">
        <x:v>速度/计算</x:v>
      </x:c>
      <x:c r="H2543" s="19" t="str">
        <x:v>D:/Codex/GRL研究/outputs/grid55/GRID55_report.md</x:v>
      </x:c>
    </x:row>
    <x:row r="2544" ht="36" customHeight="1">
      <x:c r="A2544" s="19" t="str">
        <x:v>GRID55</x:v>
      </x:c>
      <x:c r="B2544" s="19" t="str">
        <x:v>GRID55_report.md</x:v>
      </x:c>
      <x:c r="C2544" s="19" t="str">
        <x:v>2. GRID55 八个已暴露日期的旧新配对与共有缓存比较</x:v>
      </x:c>
      <x:c r="D2544" s="19" t="str">
        <x:v>方法=LOCAL_GNN1；对照=FULL</x:v>
      </x:c>
      <x:c r="E2544" s="19" t="str">
        <x:v>时间正向家族</x:v>
      </x:c>
      <x:c r="F2544" s="19" t="str">
        <x:v>7</x:v>
      </x:c>
      <x:c r="G2544" s="19" t="str">
        <x:v>速度/计算</x:v>
      </x:c>
      <x:c r="H2544" s="19" t="str">
        <x:v>D:/Codex/GRL研究/outputs/grid55/GRID55_report.md</x:v>
      </x:c>
    </x:row>
    <x:row r="2545" ht="36" customHeight="1">
      <x:c r="A2545" s="19" t="str">
        <x:v>GRID55</x:v>
      </x:c>
      <x:c r="B2545" s="19" t="str">
        <x:v>GRID55_report.md</x:v>
      </x:c>
      <x:c r="C2545" s="19" t="str">
        <x:v>2. GRID55 八个已暴露日期的旧新配对与共有缓存比较</x:v>
      </x:c>
      <x:c r="D2545" s="19" t="str">
        <x:v>方法=LOCAL_GNN0；对照=LOCAL_PPO</x:v>
      </x:c>
      <x:c r="E2545" s="19" t="str">
        <x:v>对照</x:v>
      </x:c>
      <x:c r="F2545" s="19" t="str">
        <x:v>LOCAL_PPO</x:v>
      </x:c>
      <x:c r="G2545" s="19" t="str">
        <x:v>其他/配置</x:v>
      </x:c>
      <x:c r="H2545" s="19" t="str">
        <x:v>D:/Codex/GRL研究/outputs/grid55/GRID55_report.md</x:v>
      </x:c>
    </x:row>
    <x:row r="2546" ht="36" customHeight="1">
      <x:c r="A2546" s="19" t="str">
        <x:v>GRID55</x:v>
      </x:c>
      <x:c r="B2546" s="19" t="str">
        <x:v>GRID55_report.md</x:v>
      </x:c>
      <x:c r="C2546" s="19" t="str">
        <x:v>2. GRID55 八个已暴露日期的旧新配对与共有缓存比较</x:v>
      </x:c>
      <x:c r="D2546" s="19" t="str">
        <x:v>方法=LOCAL_GNN0；对照=LOCAL_PPO</x:v>
      </x:c>
      <x:c r="E2546" s="19" t="str">
        <x:v>可比家族</x:v>
      </x:c>
      <x:c r="F2546" s="19" t="str">
        <x:v>8</x:v>
      </x:c>
      <x:c r="G2546" s="19" t="str">
        <x:v>其他/配置</x:v>
      </x:c>
      <x:c r="H2546" s="19" t="str">
        <x:v>D:/Codex/GRL研究/outputs/grid55/GRID55_report.md</x:v>
      </x:c>
    </x:row>
    <x:row r="2547" ht="36" customHeight="1">
      <x:c r="A2547" s="19" t="str">
        <x:v>GRID55</x:v>
      </x:c>
      <x:c r="B2547" s="19" t="str">
        <x:v>GRID55_report.md</x:v>
      </x:c>
      <x:c r="C2547" s="19" t="str">
        <x:v>2. GRID55 八个已暴露日期的旧新配对与共有缓存比较</x:v>
      </x:c>
      <x:c r="D2547" s="19" t="str">
        <x:v>方法=LOCAL_GNN0；对照=LOCAL_PPO</x:v>
      </x:c>
      <x:c r="E2547" s="19" t="str">
        <x:v>宏平均提速</x:v>
      </x:c>
      <x:c r="F2547" s="19" t="str">
        <x:v>2.987%</x:v>
      </x:c>
      <x:c r="G2547" s="19" t="str">
        <x:v>速度/计算</x:v>
      </x:c>
      <x:c r="H2547" s="19" t="str">
        <x:v>D:/Codex/GRL研究/outputs/grid55/GRID55_report.md</x:v>
      </x:c>
    </x:row>
    <x:row r="2548" ht="36" customHeight="1">
      <x:c r="A2548" s="19" t="str">
        <x:v>GRID55</x:v>
      </x:c>
      <x:c r="B2548" s="19" t="str">
        <x:v>GRID55_report.md</x:v>
      </x:c>
      <x:c r="C2548" s="19" t="str">
        <x:v>2. GRID55 八个已暴露日期的旧新配对与共有缓存比较</x:v>
      </x:c>
      <x:c r="D2548" s="19" t="str">
        <x:v>方法=LOCAL_GNN0；对照=LOCAL_PPO</x:v>
      </x:c>
      <x:c r="E2548" s="19" t="str">
        <x:v>家族bootstrap95%</x:v>
      </x:c>
      <x:c r="F2548" s="19" t="str">
        <x:v>[-1.692%, 9.322%]</x:v>
      </x:c>
      <x:c r="G2548" s="19" t="str">
        <x:v>速度/计算</x:v>
      </x:c>
      <x:c r="H2548" s="19" t="str">
        <x:v>D:/Codex/GRL研究/outputs/grid55/GRID55_report.md</x:v>
      </x:c>
    </x:row>
    <x:row r="2549" ht="36" customHeight="1">
      <x:c r="A2549" s="19" t="str">
        <x:v>GRID55</x:v>
      </x:c>
      <x:c r="B2549" s="19" t="str">
        <x:v>GRID55_report.md</x:v>
      </x:c>
      <x:c r="C2549" s="19" t="str">
        <x:v>2. GRID55 八个已暴露日期的旧新配对与共有缓存比较</x:v>
      </x:c>
      <x:c r="D2549" s="19" t="str">
        <x:v>方法=LOCAL_GNN0；对照=LOCAL_PPO</x:v>
      </x:c>
      <x:c r="E2549" s="19" t="str">
        <x:v>时间正向家族</x:v>
      </x:c>
      <x:c r="F2549" s="19" t="str">
        <x:v>6</x:v>
      </x:c>
      <x:c r="G2549" s="19" t="str">
        <x:v>速度/计算</x:v>
      </x:c>
      <x:c r="H2549" s="19" t="str">
        <x:v>D:/Codex/GRL研究/outputs/grid55/GRID55_report.md</x:v>
      </x:c>
    </x:row>
    <x:row r="2550" ht="36" customHeight="1">
      <x:c r="A2550" s="19" t="str">
        <x:v>GRID55</x:v>
      </x:c>
      <x:c r="B2550" s="19" t="str">
        <x:v>GRID55_report.md</x:v>
      </x:c>
      <x:c r="C2550" s="19" t="str">
        <x:v>2. GRID55 八个已暴露日期的旧新配对与共有缓存比较</x:v>
      </x:c>
      <x:c r="D2550" s="19" t="str">
        <x:v>方法=LOCAL_GNN0；对照=SOFTGNN0</x:v>
      </x:c>
      <x:c r="E2550" s="19" t="str">
        <x:v>对照</x:v>
      </x:c>
      <x:c r="F2550" s="19" t="str">
        <x:v>SOFTGNN0</x:v>
      </x:c>
      <x:c r="G2550" s="19" t="str">
        <x:v>其他/配置</x:v>
      </x:c>
      <x:c r="H2550" s="19" t="str">
        <x:v>D:/Codex/GRL研究/outputs/grid55/GRID55_report.md</x:v>
      </x:c>
    </x:row>
    <x:row r="2551" ht="36" customHeight="1">
      <x:c r="A2551" s="19" t="str">
        <x:v>GRID55</x:v>
      </x:c>
      <x:c r="B2551" s="19" t="str">
        <x:v>GRID55_report.md</x:v>
      </x:c>
      <x:c r="C2551" s="19" t="str">
        <x:v>2. GRID55 八个已暴露日期的旧新配对与共有缓存比较</x:v>
      </x:c>
      <x:c r="D2551" s="19" t="str">
        <x:v>方法=LOCAL_GNN0；对照=SOFTGNN0</x:v>
      </x:c>
      <x:c r="E2551" s="19" t="str">
        <x:v>可比家族</x:v>
      </x:c>
      <x:c r="F2551" s="19" t="str">
        <x:v>8</x:v>
      </x:c>
      <x:c r="G2551" s="19" t="str">
        <x:v>其他/配置</x:v>
      </x:c>
      <x:c r="H2551" s="19" t="str">
        <x:v>D:/Codex/GRL研究/outputs/grid55/GRID55_report.md</x:v>
      </x:c>
    </x:row>
    <x:row r="2552" ht="36" customHeight="1">
      <x:c r="A2552" s="19" t="str">
        <x:v>GRID55</x:v>
      </x:c>
      <x:c r="B2552" s="19" t="str">
        <x:v>GRID55_report.md</x:v>
      </x:c>
      <x:c r="C2552" s="19" t="str">
        <x:v>2. GRID55 八个已暴露日期的旧新配对与共有缓存比较</x:v>
      </x:c>
      <x:c r="D2552" s="19" t="str">
        <x:v>方法=LOCAL_GNN0；对照=SOFTGNN0</x:v>
      </x:c>
      <x:c r="E2552" s="19" t="str">
        <x:v>宏平均提速</x:v>
      </x:c>
      <x:c r="F2552" s="19" t="str">
        <x:v>2.539%</x:v>
      </x:c>
      <x:c r="G2552" s="19" t="str">
        <x:v>速度/计算</x:v>
      </x:c>
      <x:c r="H2552" s="19" t="str">
        <x:v>D:/Codex/GRL研究/outputs/grid55/GRID55_report.md</x:v>
      </x:c>
    </x:row>
    <x:row r="2553" ht="36" customHeight="1">
      <x:c r="A2553" s="19" t="str">
        <x:v>GRID55</x:v>
      </x:c>
      <x:c r="B2553" s="19" t="str">
        <x:v>GRID55_report.md</x:v>
      </x:c>
      <x:c r="C2553" s="19" t="str">
        <x:v>2. GRID55 八个已暴露日期的旧新配对与共有缓存比较</x:v>
      </x:c>
      <x:c r="D2553" s="19" t="str">
        <x:v>方法=LOCAL_GNN0；对照=SOFTGNN0</x:v>
      </x:c>
      <x:c r="E2553" s="19" t="str">
        <x:v>家族bootstrap95%</x:v>
      </x:c>
      <x:c r="F2553" s="19" t="str">
        <x:v>[-0.329%, 5.756%]</x:v>
      </x:c>
      <x:c r="G2553" s="19" t="str">
        <x:v>速度/计算</x:v>
      </x:c>
      <x:c r="H2553" s="19" t="str">
        <x:v>D:/Codex/GRL研究/outputs/grid55/GRID55_report.md</x:v>
      </x:c>
    </x:row>
    <x:row r="2554" ht="36" customHeight="1">
      <x:c r="A2554" s="19" t="str">
        <x:v>GRID55</x:v>
      </x:c>
      <x:c r="B2554" s="19" t="str">
        <x:v>GRID55_report.md</x:v>
      </x:c>
      <x:c r="C2554" s="19" t="str">
        <x:v>2. GRID55 八个已暴露日期的旧新配对与共有缓存比较</x:v>
      </x:c>
      <x:c r="D2554" s="19" t="str">
        <x:v>方法=LOCAL_GNN0；对照=SOFTGNN0</x:v>
      </x:c>
      <x:c r="E2554" s="19" t="str">
        <x:v>时间正向家族</x:v>
      </x:c>
      <x:c r="F2554" s="19" t="str">
        <x:v>5</x:v>
      </x:c>
      <x:c r="G2554" s="19" t="str">
        <x:v>速度/计算</x:v>
      </x:c>
      <x:c r="H2554" s="19" t="str">
        <x:v>D:/Codex/GRL研究/outputs/grid55/GRID55_report.md</x:v>
      </x:c>
    </x:row>
    <x:row r="2555" ht="36" customHeight="1">
      <x:c r="A2555" s="19" t="str">
        <x:v>GRID55</x:v>
      </x:c>
      <x:c r="B2555" s="19" t="str">
        <x:v>GRID55_report.md</x:v>
      </x:c>
      <x:c r="C2555" s="19" t="str">
        <x:v>2. GRID55 八个已暴露日期的旧新配对与共有缓存比较</x:v>
      </x:c>
      <x:c r="D2555" s="19" t="str">
        <x:v>方法=LOCAL_GNN0；对照=SOFTGNN1</x:v>
      </x:c>
      <x:c r="E2555" s="19" t="str">
        <x:v>对照</x:v>
      </x:c>
      <x:c r="F2555" s="19" t="str">
        <x:v>SOFTGNN1</x:v>
      </x:c>
      <x:c r="G2555" s="19" t="str">
        <x:v>其他/配置</x:v>
      </x:c>
      <x:c r="H2555" s="19" t="str">
        <x:v>D:/Codex/GRL研究/outputs/grid55/GRID55_report.md</x:v>
      </x:c>
    </x:row>
    <x:row r="2556" ht="36" customHeight="1">
      <x:c r="A2556" s="19" t="str">
        <x:v>GRID55</x:v>
      </x:c>
      <x:c r="B2556" s="19" t="str">
        <x:v>GRID55_report.md</x:v>
      </x:c>
      <x:c r="C2556" s="19" t="str">
        <x:v>2. GRID55 八个已暴露日期的旧新配对与共有缓存比较</x:v>
      </x:c>
      <x:c r="D2556" s="19" t="str">
        <x:v>方法=LOCAL_GNN0；对照=SOFTGNN1</x:v>
      </x:c>
      <x:c r="E2556" s="19" t="str">
        <x:v>可比家族</x:v>
      </x:c>
      <x:c r="F2556" s="19" t="str">
        <x:v>8</x:v>
      </x:c>
      <x:c r="G2556" s="19" t="str">
        <x:v>其他/配置</x:v>
      </x:c>
      <x:c r="H2556" s="19" t="str">
        <x:v>D:/Codex/GRL研究/outputs/grid55/GRID55_report.md</x:v>
      </x:c>
    </x:row>
    <x:row r="2557" ht="36" customHeight="1">
      <x:c r="A2557" s="19" t="str">
        <x:v>GRID55</x:v>
      </x:c>
      <x:c r="B2557" s="19" t="str">
        <x:v>GRID55_report.md</x:v>
      </x:c>
      <x:c r="C2557" s="19" t="str">
        <x:v>2. GRID55 八个已暴露日期的旧新配对与共有缓存比较</x:v>
      </x:c>
      <x:c r="D2557" s="19" t="str">
        <x:v>方法=LOCAL_GNN0；对照=SOFTGNN1</x:v>
      </x:c>
      <x:c r="E2557" s="19" t="str">
        <x:v>宏平均提速</x:v>
      </x:c>
      <x:c r="F2557" s="19" t="str">
        <x:v>2.164%</x:v>
      </x:c>
      <x:c r="G2557" s="19" t="str">
        <x:v>速度/计算</x:v>
      </x:c>
      <x:c r="H2557" s="19" t="str">
        <x:v>D:/Codex/GRL研究/outputs/grid55/GRID55_report.md</x:v>
      </x:c>
    </x:row>
    <x:row r="2558" ht="36" customHeight="1">
      <x:c r="A2558" s="19" t="str">
        <x:v>GRID55</x:v>
      </x:c>
      <x:c r="B2558" s="19" t="str">
        <x:v>GRID55_report.md</x:v>
      </x:c>
      <x:c r="C2558" s="19" t="str">
        <x:v>2. GRID55 八个已暴露日期的旧新配对与共有缓存比较</x:v>
      </x:c>
      <x:c r="D2558" s="19" t="str">
        <x:v>方法=LOCAL_GNN0；对照=SOFTGNN1</x:v>
      </x:c>
      <x:c r="E2558" s="19" t="str">
        <x:v>家族bootstrap95%</x:v>
      </x:c>
      <x:c r="F2558" s="19" t="str">
        <x:v>[-1.147%, 6.292%]</x:v>
      </x:c>
      <x:c r="G2558" s="19" t="str">
        <x:v>速度/计算</x:v>
      </x:c>
      <x:c r="H2558" s="19" t="str">
        <x:v>D:/Codex/GRL研究/outputs/grid55/GRID55_report.md</x:v>
      </x:c>
    </x:row>
    <x:row r="2559" ht="36" customHeight="1">
      <x:c r="A2559" s="19" t="str">
        <x:v>GRID55</x:v>
      </x:c>
      <x:c r="B2559" s="19" t="str">
        <x:v>GRID55_report.md</x:v>
      </x:c>
      <x:c r="C2559" s="19" t="str">
        <x:v>2. GRID55 八个已暴露日期的旧新配对与共有缓存比较</x:v>
      </x:c>
      <x:c r="D2559" s="19" t="str">
        <x:v>方法=LOCAL_GNN0；对照=SOFTGNN1</x:v>
      </x:c>
      <x:c r="E2559" s="19" t="str">
        <x:v>时间正向家族</x:v>
      </x:c>
      <x:c r="F2559" s="19" t="str">
        <x:v>6</x:v>
      </x:c>
      <x:c r="G2559" s="19" t="str">
        <x:v>速度/计算</x:v>
      </x:c>
      <x:c r="H2559" s="19" t="str">
        <x:v>D:/Codex/GRL研究/outputs/grid55/GRID55_report.md</x:v>
      </x:c>
    </x:row>
    <x:row r="2560" ht="36" customHeight="1">
      <x:c r="A2560" s="19" t="str">
        <x:v>GRID55</x:v>
      </x:c>
      <x:c r="B2560" s="19" t="str">
        <x:v>GRID55_report.md</x:v>
      </x:c>
      <x:c r="C2560" s="19" t="str">
        <x:v>2. GRID55 八个已暴露日期的旧新配对与共有缓存比较</x:v>
      </x:c>
      <x:c r="D2560" s="19" t="str">
        <x:v>方法=LOCAL_GNN1；对照=LOCAL_PPO</x:v>
      </x:c>
      <x:c r="E2560" s="19" t="str">
        <x:v>对照</x:v>
      </x:c>
      <x:c r="F2560" s="19" t="str">
        <x:v>LOCAL_PPO</x:v>
      </x:c>
      <x:c r="G2560" s="19" t="str">
        <x:v>其他/配置</x:v>
      </x:c>
      <x:c r="H2560" s="19" t="str">
        <x:v>D:/Codex/GRL研究/outputs/grid55/GRID55_report.md</x:v>
      </x:c>
    </x:row>
    <x:row r="2561" ht="36" customHeight="1">
      <x:c r="A2561" s="19" t="str">
        <x:v>GRID55</x:v>
      </x:c>
      <x:c r="B2561" s="19" t="str">
        <x:v>GRID55_report.md</x:v>
      </x:c>
      <x:c r="C2561" s="19" t="str">
        <x:v>2. GRID55 八个已暴露日期的旧新配对与共有缓存比较</x:v>
      </x:c>
      <x:c r="D2561" s="19" t="str">
        <x:v>方法=LOCAL_GNN1；对照=LOCAL_PPO</x:v>
      </x:c>
      <x:c r="E2561" s="19" t="str">
        <x:v>可比家族</x:v>
      </x:c>
      <x:c r="F2561" s="19" t="str">
        <x:v>8</x:v>
      </x:c>
      <x:c r="G2561" s="19" t="str">
        <x:v>其他/配置</x:v>
      </x:c>
      <x:c r="H2561" s="19" t="str">
        <x:v>D:/Codex/GRL研究/outputs/grid55/GRID55_report.md</x:v>
      </x:c>
    </x:row>
    <x:row r="2562" ht="36" customHeight="1">
      <x:c r="A2562" s="19" t="str">
        <x:v>GRID55</x:v>
      </x:c>
      <x:c r="B2562" s="19" t="str">
        <x:v>GRID55_report.md</x:v>
      </x:c>
      <x:c r="C2562" s="19" t="str">
        <x:v>2. GRID55 八个已暴露日期的旧新配对与共有缓存比较</x:v>
      </x:c>
      <x:c r="D2562" s="19" t="str">
        <x:v>方法=LOCAL_GNN1；对照=LOCAL_PPO</x:v>
      </x:c>
      <x:c r="E2562" s="19" t="str">
        <x:v>宏平均提速</x:v>
      </x:c>
      <x:c r="F2562" s="19" t="str">
        <x:v>3.121%</x:v>
      </x:c>
      <x:c r="G2562" s="19" t="str">
        <x:v>速度/计算</x:v>
      </x:c>
      <x:c r="H2562" s="19" t="str">
        <x:v>D:/Codex/GRL研究/outputs/grid55/GRID55_report.md</x:v>
      </x:c>
    </x:row>
    <x:row r="2563" ht="36" customHeight="1">
      <x:c r="A2563" s="19" t="str">
        <x:v>GRID55</x:v>
      </x:c>
      <x:c r="B2563" s="19" t="str">
        <x:v>GRID55_report.md</x:v>
      </x:c>
      <x:c r="C2563" s="19" t="str">
        <x:v>2. GRID55 八个已暴露日期的旧新配对与共有缓存比较</x:v>
      </x:c>
      <x:c r="D2563" s="19" t="str">
        <x:v>方法=LOCAL_GNN1；对照=LOCAL_PPO</x:v>
      </x:c>
      <x:c r="E2563" s="19" t="str">
        <x:v>家族bootstrap95%</x:v>
      </x:c>
      <x:c r="F2563" s="19" t="str">
        <x:v>[-1.387%, 9.374%]</x:v>
      </x:c>
      <x:c r="G2563" s="19" t="str">
        <x:v>速度/计算</x:v>
      </x:c>
      <x:c r="H2563" s="19" t="str">
        <x:v>D:/Codex/GRL研究/outputs/grid55/GRID55_report.md</x:v>
      </x:c>
    </x:row>
    <x:row r="2564" ht="36" customHeight="1">
      <x:c r="A2564" s="19" t="str">
        <x:v>GRID55</x:v>
      </x:c>
      <x:c r="B2564" s="19" t="str">
        <x:v>GRID55_report.md</x:v>
      </x:c>
      <x:c r="C2564" s="19" t="str">
        <x:v>2. GRID55 八个已暴露日期的旧新配对与共有缓存比较</x:v>
      </x:c>
      <x:c r="D2564" s="19" t="str">
        <x:v>方法=LOCAL_GNN1；对照=LOCAL_PPO</x:v>
      </x:c>
      <x:c r="E2564" s="19" t="str">
        <x:v>时间正向家族</x:v>
      </x:c>
      <x:c r="F2564" s="19" t="str">
        <x:v>7</x:v>
      </x:c>
      <x:c r="G2564" s="19" t="str">
        <x:v>速度/计算</x:v>
      </x:c>
      <x:c r="H2564" s="19" t="str">
        <x:v>D:/Codex/GRL研究/outputs/grid55/GRID55_report.md</x:v>
      </x:c>
    </x:row>
    <x:row r="2565" ht="36" customHeight="1">
      <x:c r="A2565" s="19" t="str">
        <x:v>GRID55</x:v>
      </x:c>
      <x:c r="B2565" s="19" t="str">
        <x:v>GRID55_report.md</x:v>
      </x:c>
      <x:c r="C2565" s="19" t="str">
        <x:v>2. GRID55 八个已暴露日期的旧新配对与共有缓存比较</x:v>
      </x:c>
      <x:c r="D2565" s="19" t="str">
        <x:v>方法=LOCAL_GNN1；对照=SOFTGNN0</x:v>
      </x:c>
      <x:c r="E2565" s="19" t="str">
        <x:v>对照</x:v>
      </x:c>
      <x:c r="F2565" s="19" t="str">
        <x:v>SOFTGNN0</x:v>
      </x:c>
      <x:c r="G2565" s="19" t="str">
        <x:v>其他/配置</x:v>
      </x:c>
      <x:c r="H2565" s="19" t="str">
        <x:v>D:/Codex/GRL研究/outputs/grid55/GRID55_report.md</x:v>
      </x:c>
    </x:row>
    <x:row r="2566" ht="36" customHeight="1">
      <x:c r="A2566" s="19" t="str">
        <x:v>GRID55</x:v>
      </x:c>
      <x:c r="B2566" s="19" t="str">
        <x:v>GRID55_report.md</x:v>
      </x:c>
      <x:c r="C2566" s="19" t="str">
        <x:v>2. GRID55 八个已暴露日期的旧新配对与共有缓存比较</x:v>
      </x:c>
      <x:c r="D2566" s="19" t="str">
        <x:v>方法=LOCAL_GNN1；对照=SOFTGNN0</x:v>
      </x:c>
      <x:c r="E2566" s="19" t="str">
        <x:v>可比家族</x:v>
      </x:c>
      <x:c r="F2566" s="19" t="str">
        <x:v>8</x:v>
      </x:c>
      <x:c r="G2566" s="19" t="str">
        <x:v>其他/配置</x:v>
      </x:c>
      <x:c r="H2566" s="19" t="str">
        <x:v>D:/Codex/GRL研究/outputs/grid55/GRID55_report.md</x:v>
      </x:c>
    </x:row>
    <x:row r="2567" ht="36" customHeight="1">
      <x:c r="A2567" s="19" t="str">
        <x:v>GRID55</x:v>
      </x:c>
      <x:c r="B2567" s="19" t="str">
        <x:v>GRID55_report.md</x:v>
      </x:c>
      <x:c r="C2567" s="19" t="str">
        <x:v>2. GRID55 八个已暴露日期的旧新配对与共有缓存比较</x:v>
      </x:c>
      <x:c r="D2567" s="19" t="str">
        <x:v>方法=LOCAL_GNN1；对照=SOFTGNN0</x:v>
      </x:c>
      <x:c r="E2567" s="19" t="str">
        <x:v>宏平均提速</x:v>
      </x:c>
      <x:c r="F2567" s="19" t="str">
        <x:v>2.702%</x:v>
      </x:c>
      <x:c r="G2567" s="19" t="str">
        <x:v>速度/计算</x:v>
      </x:c>
      <x:c r="H2567" s="19" t="str">
        <x:v>D:/Codex/GRL研究/outputs/grid55/GRID55_report.md</x:v>
      </x:c>
    </x:row>
    <x:row r="2568" ht="36" customHeight="1">
      <x:c r="A2568" s="19" t="str">
        <x:v>GRID55</x:v>
      </x:c>
      <x:c r="B2568" s="19" t="str">
        <x:v>GRID55_report.md</x:v>
      </x:c>
      <x:c r="C2568" s="19" t="str">
        <x:v>2. GRID55 八个已暴露日期的旧新配对与共有缓存比较</x:v>
      </x:c>
      <x:c r="D2568" s="19" t="str">
        <x:v>方法=LOCAL_GNN1；对照=SOFTGNN0</x:v>
      </x:c>
      <x:c r="E2568" s="19" t="str">
        <x:v>家族bootstrap95%</x:v>
      </x:c>
      <x:c r="F2568" s="19" t="str">
        <x:v>[-0.033%, 5.561%]</x:v>
      </x:c>
      <x:c r="G2568" s="19" t="str">
        <x:v>速度/计算</x:v>
      </x:c>
      <x:c r="H2568" s="19" t="str">
        <x:v>D:/Codex/GRL研究/outputs/grid55/GRID55_report.md</x:v>
      </x:c>
    </x:row>
    <x:row r="2569" ht="36" customHeight="1">
      <x:c r="A2569" s="19" t="str">
        <x:v>GRID55</x:v>
      </x:c>
      <x:c r="B2569" s="19" t="str">
        <x:v>GRID55_report.md</x:v>
      </x:c>
      <x:c r="C2569" s="19" t="str">
        <x:v>2. GRID55 八个已暴露日期的旧新配对与共有缓存比较</x:v>
      </x:c>
      <x:c r="D2569" s="19" t="str">
        <x:v>方法=LOCAL_GNN1；对照=SOFTGNN0</x:v>
      </x:c>
      <x:c r="E2569" s="19" t="str">
        <x:v>时间正向家族</x:v>
      </x:c>
      <x:c r="F2569" s="19" t="str">
        <x:v>6</x:v>
      </x:c>
      <x:c r="G2569" s="19" t="str">
        <x:v>速度/计算</x:v>
      </x:c>
      <x:c r="H2569" s="19" t="str">
        <x:v>D:/Codex/GRL研究/outputs/grid55/GRID55_report.md</x:v>
      </x:c>
    </x:row>
    <x:row r="2570" ht="36" customHeight="1">
      <x:c r="A2570" s="19" t="str">
        <x:v>GRID55</x:v>
      </x:c>
      <x:c r="B2570" s="19" t="str">
        <x:v>GRID55_report.md</x:v>
      </x:c>
      <x:c r="C2570" s="19" t="str">
        <x:v>2. GRID55 八个已暴露日期的旧新配对与共有缓存比较</x:v>
      </x:c>
      <x:c r="D2570" s="19" t="str">
        <x:v>方法=LOCAL_GNN1；对照=SOFTGNN1</x:v>
      </x:c>
      <x:c r="E2570" s="19" t="str">
        <x:v>对照</x:v>
      </x:c>
      <x:c r="F2570" s="19" t="str">
        <x:v>SOFTGNN1</x:v>
      </x:c>
      <x:c r="G2570" s="19" t="str">
        <x:v>其他/配置</x:v>
      </x:c>
      <x:c r="H2570" s="19" t="str">
        <x:v>D:/Codex/GRL研究/outputs/grid55/GRID55_report.md</x:v>
      </x:c>
    </x:row>
    <x:row r="2571" ht="36" customHeight="1">
      <x:c r="A2571" s="19" t="str">
        <x:v>GRID55</x:v>
      </x:c>
      <x:c r="B2571" s="19" t="str">
        <x:v>GRID55_report.md</x:v>
      </x:c>
      <x:c r="C2571" s="19" t="str">
        <x:v>2. GRID55 八个已暴露日期的旧新配对与共有缓存比较</x:v>
      </x:c>
      <x:c r="D2571" s="19" t="str">
        <x:v>方法=LOCAL_GNN1；对照=SOFTGNN1</x:v>
      </x:c>
      <x:c r="E2571" s="19" t="str">
        <x:v>可比家族</x:v>
      </x:c>
      <x:c r="F2571" s="19" t="str">
        <x:v>8</x:v>
      </x:c>
      <x:c r="G2571" s="19" t="str">
        <x:v>其他/配置</x:v>
      </x:c>
      <x:c r="H2571" s="19" t="str">
        <x:v>D:/Codex/GRL研究/outputs/grid55/GRID55_report.md</x:v>
      </x:c>
    </x:row>
    <x:row r="2572" ht="36" customHeight="1">
      <x:c r="A2572" s="19" t="str">
        <x:v>GRID55</x:v>
      </x:c>
      <x:c r="B2572" s="19" t="str">
        <x:v>GRID55_report.md</x:v>
      </x:c>
      <x:c r="C2572" s="19" t="str">
        <x:v>2. GRID55 八个已暴露日期的旧新配对与共有缓存比较</x:v>
      </x:c>
      <x:c r="D2572" s="19" t="str">
        <x:v>方法=LOCAL_GNN1；对照=SOFTGNN1</x:v>
      </x:c>
      <x:c r="E2572" s="19" t="str">
        <x:v>宏平均提速</x:v>
      </x:c>
      <x:c r="F2572" s="19" t="str">
        <x:v>2.336%</x:v>
      </x:c>
      <x:c r="G2572" s="19" t="str">
        <x:v>速度/计算</x:v>
      </x:c>
      <x:c r="H2572" s="19" t="str">
        <x:v>D:/Codex/GRL研究/outputs/grid55/GRID55_report.md</x:v>
      </x:c>
    </x:row>
    <x:row r="2573" ht="36" customHeight="1">
      <x:c r="A2573" s="19" t="str">
        <x:v>GRID55</x:v>
      </x:c>
      <x:c r="B2573" s="19" t="str">
        <x:v>GRID55_report.md</x:v>
      </x:c>
      <x:c r="C2573" s="19" t="str">
        <x:v>2. GRID55 八个已暴露日期的旧新配对与共有缓存比较</x:v>
      </x:c>
      <x:c r="D2573" s="19" t="str">
        <x:v>方法=LOCAL_GNN1；对照=SOFTGNN1</x:v>
      </x:c>
      <x:c r="E2573" s="19" t="str">
        <x:v>家族bootstrap95%</x:v>
      </x:c>
      <x:c r="F2573" s="19" t="str">
        <x:v>[-0.829%, 6.128%]</x:v>
      </x:c>
      <x:c r="G2573" s="19" t="str">
        <x:v>速度/计算</x:v>
      </x:c>
      <x:c r="H2573" s="19" t="str">
        <x:v>D:/Codex/GRL研究/outputs/grid55/GRID55_report.md</x:v>
      </x:c>
    </x:row>
    <x:row r="2574" ht="36" customHeight="1">
      <x:c r="A2574" s="19" t="str">
        <x:v>GRID55</x:v>
      </x:c>
      <x:c r="B2574" s="19" t="str">
        <x:v>GRID55_report.md</x:v>
      </x:c>
      <x:c r="C2574" s="19" t="str">
        <x:v>2. GRID55 八个已暴露日期的旧新配对与共有缓存比较</x:v>
      </x:c>
      <x:c r="D2574" s="19" t="str">
        <x:v>方法=LOCAL_GNN1；对照=SOFTGNN1</x:v>
      </x:c>
      <x:c r="E2574" s="19" t="str">
        <x:v>时间正向家族</x:v>
      </x:c>
      <x:c r="F2574" s="19" t="str">
        <x:v>6</x:v>
      </x:c>
      <x:c r="G2574" s="19" t="str">
        <x:v>速度/计算</x:v>
      </x:c>
      <x:c r="H2574" s="19" t="str">
        <x:v>D:/Codex/GRL研究/outputs/grid55/GRID55_report.md</x:v>
      </x:c>
    </x:row>
    <x:row r="2575" ht="36" customHeight="1">
      <x:c r="A2575" s="19" t="str">
        <x:v>GRID55</x:v>
      </x:c>
      <x:c r="B2575" s="19" t="str">
        <x:v>GRID55_report.md</x:v>
      </x:c>
      <x:c r="C2575" s="19" t="str">
        <x:v>2. GRID55 八个已暴露日期的旧新配对与共有缓存比较</x:v>
      </x:c>
      <x:c r="D2575" s="19" t="str">
        <x:v>方法=COMPRESSED_GNN0；对照=LOCAL_PPO</x:v>
      </x:c>
      <x:c r="E2575" s="19" t="str">
        <x:v>对照</x:v>
      </x:c>
      <x:c r="F2575" s="19" t="str">
        <x:v>LOCAL_PPO</x:v>
      </x:c>
      <x:c r="G2575" s="19" t="str">
        <x:v>其他/配置</x:v>
      </x:c>
      <x:c r="H2575" s="19" t="str">
        <x:v>D:/Codex/GRL研究/outputs/grid55/GRID55_report.md</x:v>
      </x:c>
    </x:row>
    <x:row r="2576" ht="36" customHeight="1">
      <x:c r="A2576" s="19" t="str">
        <x:v>GRID55</x:v>
      </x:c>
      <x:c r="B2576" s="19" t="str">
        <x:v>GRID55_report.md</x:v>
      </x:c>
      <x:c r="C2576" s="19" t="str">
        <x:v>2. GRID55 八个已暴露日期的旧新配对与共有缓存比较</x:v>
      </x:c>
      <x:c r="D2576" s="19" t="str">
        <x:v>方法=COMPRESSED_GNN0；对照=LOCAL_PPO</x:v>
      </x:c>
      <x:c r="E2576" s="19" t="str">
        <x:v>可比家族</x:v>
      </x:c>
      <x:c r="F2576" s="19" t="str">
        <x:v>8</x:v>
      </x:c>
      <x:c r="G2576" s="19" t="str">
        <x:v>其他/配置</x:v>
      </x:c>
      <x:c r="H2576" s="19" t="str">
        <x:v>D:/Codex/GRL研究/outputs/grid55/GRID55_report.md</x:v>
      </x:c>
    </x:row>
    <x:row r="2577" ht="36" customHeight="1">
      <x:c r="A2577" s="19" t="str">
        <x:v>GRID55</x:v>
      </x:c>
      <x:c r="B2577" s="19" t="str">
        <x:v>GRID55_report.md</x:v>
      </x:c>
      <x:c r="C2577" s="19" t="str">
        <x:v>2. GRID55 八个已暴露日期的旧新配对与共有缓存比较</x:v>
      </x:c>
      <x:c r="D2577" s="19" t="str">
        <x:v>方法=COMPRESSED_GNN0；对照=LOCAL_PPO</x:v>
      </x:c>
      <x:c r="E2577" s="19" t="str">
        <x:v>宏平均提速</x:v>
      </x:c>
      <x:c r="F2577" s="19" t="str">
        <x:v>-1.690%</x:v>
      </x:c>
      <x:c r="G2577" s="19" t="str">
        <x:v>速度/计算</x:v>
      </x:c>
      <x:c r="H2577" s="19" t="str">
        <x:v>D:/Codex/GRL研究/outputs/grid55/GRID55_report.md</x:v>
      </x:c>
    </x:row>
    <x:row r="2578" ht="36" customHeight="1">
      <x:c r="A2578" s="19" t="str">
        <x:v>GRID55</x:v>
      </x:c>
      <x:c r="B2578" s="19" t="str">
        <x:v>GRID55_report.md</x:v>
      </x:c>
      <x:c r="C2578" s="19" t="str">
        <x:v>2. GRID55 八个已暴露日期的旧新配对与共有缓存比较</x:v>
      </x:c>
      <x:c r="D2578" s="19" t="str">
        <x:v>方法=COMPRESSED_GNN0；对照=LOCAL_PPO</x:v>
      </x:c>
      <x:c r="E2578" s="19" t="str">
        <x:v>家族bootstrap95%</x:v>
      </x:c>
      <x:c r="F2578" s="19" t="str">
        <x:v>[-8.733%, 5.092%]</x:v>
      </x:c>
      <x:c r="G2578" s="19" t="str">
        <x:v>速度/计算</x:v>
      </x:c>
      <x:c r="H2578" s="19" t="str">
        <x:v>D:/Codex/GRL研究/outputs/grid55/GRID55_report.md</x:v>
      </x:c>
    </x:row>
    <x:row r="2579" ht="36" customHeight="1">
      <x:c r="A2579" s="19" t="str">
        <x:v>GRID55</x:v>
      </x:c>
      <x:c r="B2579" s="19" t="str">
        <x:v>GRID55_report.md</x:v>
      </x:c>
      <x:c r="C2579" s="19" t="str">
        <x:v>2. GRID55 八个已暴露日期的旧新配对与共有缓存比较</x:v>
      </x:c>
      <x:c r="D2579" s="19" t="str">
        <x:v>方法=COMPRESSED_GNN0；对照=LOCAL_PPO</x:v>
      </x:c>
      <x:c r="E2579" s="19" t="str">
        <x:v>时间正向家族</x:v>
      </x:c>
      <x:c r="F2579" s="19" t="str">
        <x:v>4</x:v>
      </x:c>
      <x:c r="G2579" s="19" t="str">
        <x:v>速度/计算</x:v>
      </x:c>
      <x:c r="H2579" s="19" t="str">
        <x:v>D:/Codex/GRL研究/outputs/grid55/GRID55_report.md</x:v>
      </x:c>
    </x:row>
    <x:row r="2580" ht="36" customHeight="1">
      <x:c r="A2580" s="19" t="str">
        <x:v>GRID55</x:v>
      </x:c>
      <x:c r="B2580" s="19" t="str">
        <x:v>GRID55_report.md</x:v>
      </x:c>
      <x:c r="C2580" s="19" t="str">
        <x:v>2. GRID55 八个已暴露日期的旧新配对与共有缓存比较</x:v>
      </x:c>
      <x:c r="D2580" s="19" t="str">
        <x:v>方法=COMPRESSED_GNN0；对照=SOFTGNN0</x:v>
      </x:c>
      <x:c r="E2580" s="19" t="str">
        <x:v>对照</x:v>
      </x:c>
      <x:c r="F2580" s="19" t="str">
        <x:v>SOFTGNN0</x:v>
      </x:c>
      <x:c r="G2580" s="19" t="str">
        <x:v>其他/配置</x:v>
      </x:c>
      <x:c r="H2580" s="19" t="str">
        <x:v>D:/Codex/GRL研究/outputs/grid55/GRID55_report.md</x:v>
      </x:c>
    </x:row>
    <x:row r="2581" ht="36" customHeight="1">
      <x:c r="A2581" s="19" t="str">
        <x:v>GRID55</x:v>
      </x:c>
      <x:c r="B2581" s="19" t="str">
        <x:v>GRID55_report.md</x:v>
      </x:c>
      <x:c r="C2581" s="19" t="str">
        <x:v>2. GRID55 八个已暴露日期的旧新配对与共有缓存比较</x:v>
      </x:c>
      <x:c r="D2581" s="19" t="str">
        <x:v>方法=COMPRESSED_GNN0；对照=SOFTGNN0</x:v>
      </x:c>
      <x:c r="E2581" s="19" t="str">
        <x:v>可比家族</x:v>
      </x:c>
      <x:c r="F2581" s="19" t="str">
        <x:v>8</x:v>
      </x:c>
      <x:c r="G2581" s="19" t="str">
        <x:v>其他/配置</x:v>
      </x:c>
      <x:c r="H2581" s="19" t="str">
        <x:v>D:/Codex/GRL研究/outputs/grid55/GRID55_report.md</x:v>
      </x:c>
    </x:row>
    <x:row r="2582" ht="36" customHeight="1">
      <x:c r="A2582" s="19" t="str">
        <x:v>GRID55</x:v>
      </x:c>
      <x:c r="B2582" s="19" t="str">
        <x:v>GRID55_report.md</x:v>
      </x:c>
      <x:c r="C2582" s="19" t="str">
        <x:v>2. GRID55 八个已暴露日期的旧新配对与共有缓存比较</x:v>
      </x:c>
      <x:c r="D2582" s="19" t="str">
        <x:v>方法=COMPRESSED_GNN0；对照=SOFTGNN0</x:v>
      </x:c>
      <x:c r="E2582" s="19" t="str">
        <x:v>宏平均提速</x:v>
      </x:c>
      <x:c r="F2582" s="19" t="str">
        <x:v>-2.284%</x:v>
      </x:c>
      <x:c r="G2582" s="19" t="str">
        <x:v>速度/计算</x:v>
      </x:c>
      <x:c r="H2582" s="19" t="str">
        <x:v>D:/Codex/GRL研究/outputs/grid55/GRID55_report.md</x:v>
      </x:c>
    </x:row>
    <x:row r="2583" ht="36" customHeight="1">
      <x:c r="A2583" s="19" t="str">
        <x:v>GRID55</x:v>
      </x:c>
      <x:c r="B2583" s="19" t="str">
        <x:v>GRID55_report.md</x:v>
      </x:c>
      <x:c r="C2583" s="19" t="str">
        <x:v>2. GRID55 八个已暴露日期的旧新配对与共有缓存比较</x:v>
      </x:c>
      <x:c r="D2583" s="19" t="str">
        <x:v>方法=COMPRESSED_GNN0；对照=SOFTGNN0</x:v>
      </x:c>
      <x:c r="E2583" s="19" t="str">
        <x:v>家族bootstrap95%</x:v>
      </x:c>
      <x:c r="F2583" s="19" t="str">
        <x:v>[-5.246%, 0.905%]</x:v>
      </x:c>
      <x:c r="G2583" s="19" t="str">
        <x:v>速度/计算</x:v>
      </x:c>
      <x:c r="H2583" s="19" t="str">
        <x:v>D:/Codex/GRL研究/outputs/grid55/GRID55_report.md</x:v>
      </x:c>
    </x:row>
    <x:row r="2584" ht="36" customHeight="1">
      <x:c r="A2584" s="19" t="str">
        <x:v>GRID55</x:v>
      </x:c>
      <x:c r="B2584" s="19" t="str">
        <x:v>GRID55_report.md</x:v>
      </x:c>
      <x:c r="C2584" s="19" t="str">
        <x:v>2. GRID55 八个已暴露日期的旧新配对与共有缓存比较</x:v>
      </x:c>
      <x:c r="D2584" s="19" t="str">
        <x:v>方法=COMPRESSED_GNN0；对照=SOFTGNN0</x:v>
      </x:c>
      <x:c r="E2584" s="19" t="str">
        <x:v>时间正向家族</x:v>
      </x:c>
      <x:c r="F2584" s="19" t="str">
        <x:v>2</x:v>
      </x:c>
      <x:c r="G2584" s="19" t="str">
        <x:v>速度/计算</x:v>
      </x:c>
      <x:c r="H2584" s="19" t="str">
        <x:v>D:/Codex/GRL研究/outputs/grid55/GRID55_report.md</x:v>
      </x:c>
    </x:row>
    <x:row r="2585" ht="36" customHeight="1">
      <x:c r="A2585" s="19" t="str">
        <x:v>GRID55</x:v>
      </x:c>
      <x:c r="B2585" s="19" t="str">
        <x:v>GRID55_report.md</x:v>
      </x:c>
      <x:c r="C2585" s="19" t="str">
        <x:v>2. GRID55 八个已暴露日期的旧新配对与共有缓存比较</x:v>
      </x:c>
      <x:c r="D2585" s="19" t="str">
        <x:v>方法=COMPRESSED_GNN0；对照=SOFTGNN1</x:v>
      </x:c>
      <x:c r="E2585" s="19" t="str">
        <x:v>对照</x:v>
      </x:c>
      <x:c r="F2585" s="19" t="str">
        <x:v>SOFTGNN1</x:v>
      </x:c>
      <x:c r="G2585" s="19" t="str">
        <x:v>其他/配置</x:v>
      </x:c>
      <x:c r="H2585" s="19" t="str">
        <x:v>D:/Codex/GRL研究/outputs/grid55/GRID55_report.md</x:v>
      </x:c>
    </x:row>
    <x:row r="2586" ht="36" customHeight="1">
      <x:c r="A2586" s="19" t="str">
        <x:v>GRID55</x:v>
      </x:c>
      <x:c r="B2586" s="19" t="str">
        <x:v>GRID55_report.md</x:v>
      </x:c>
      <x:c r="C2586" s="19" t="str">
        <x:v>2. GRID55 八个已暴露日期的旧新配对与共有缓存比较</x:v>
      </x:c>
      <x:c r="D2586" s="19" t="str">
        <x:v>方法=COMPRESSED_GNN0；对照=SOFTGNN1</x:v>
      </x:c>
      <x:c r="E2586" s="19" t="str">
        <x:v>可比家族</x:v>
      </x:c>
      <x:c r="F2586" s="19" t="str">
        <x:v>8</x:v>
      </x:c>
      <x:c r="G2586" s="19" t="str">
        <x:v>其他/配置</x:v>
      </x:c>
      <x:c r="H2586" s="19" t="str">
        <x:v>D:/Codex/GRL研究/outputs/grid55/GRID55_report.md</x:v>
      </x:c>
    </x:row>
    <x:row r="2587" ht="36" customHeight="1">
      <x:c r="A2587" s="19" t="str">
        <x:v>GRID55</x:v>
      </x:c>
      <x:c r="B2587" s="19" t="str">
        <x:v>GRID55_report.md</x:v>
      </x:c>
      <x:c r="C2587" s="19" t="str">
        <x:v>2. GRID55 八个已暴露日期的旧新配对与共有缓存比较</x:v>
      </x:c>
      <x:c r="D2587" s="19" t="str">
        <x:v>方法=COMPRESSED_GNN0；对照=SOFTGNN1</x:v>
      </x:c>
      <x:c r="E2587" s="19" t="str">
        <x:v>宏平均提速</x:v>
      </x:c>
      <x:c r="F2587" s="19" t="str">
        <x:v>-2.531%</x:v>
      </x:c>
      <x:c r="G2587" s="19" t="str">
        <x:v>速度/计算</x:v>
      </x:c>
      <x:c r="H2587" s="19" t="str">
        <x:v>D:/Codex/GRL研究/outputs/grid55/GRID55_report.md</x:v>
      </x:c>
    </x:row>
    <x:row r="2588" ht="36" customHeight="1">
      <x:c r="A2588" s="19" t="str">
        <x:v>GRID55</x:v>
      </x:c>
      <x:c r="B2588" s="19" t="str">
        <x:v>GRID55_report.md</x:v>
      </x:c>
      <x:c r="C2588" s="19" t="str">
        <x:v>2. GRID55 八个已暴露日期的旧新配对与共有缓存比较</x:v>
      </x:c>
      <x:c r="D2588" s="19" t="str">
        <x:v>方法=COMPRESSED_GNN0；对照=SOFTGNN1</x:v>
      </x:c>
      <x:c r="E2588" s="19" t="str">
        <x:v>家族bootstrap95%</x:v>
      </x:c>
      <x:c r="F2588" s="19" t="str">
        <x:v>[-4.691%, -0.606%]</x:v>
      </x:c>
      <x:c r="G2588" s="19" t="str">
        <x:v>速度/计算</x:v>
      </x:c>
      <x:c r="H2588" s="19" t="str">
        <x:v>D:/Codex/GRL研究/outputs/grid55/GRID55_report.md</x:v>
      </x:c>
    </x:row>
    <x:row r="2589" ht="36" customHeight="1">
      <x:c r="A2589" s="19" t="str">
        <x:v>GRID55</x:v>
      </x:c>
      <x:c r="B2589" s="19" t="str">
        <x:v>GRID55_report.md</x:v>
      </x:c>
      <x:c r="C2589" s="19" t="str">
        <x:v>2. GRID55 八个已暴露日期的旧新配对与共有缓存比较</x:v>
      </x:c>
      <x:c r="D2589" s="19" t="str">
        <x:v>方法=COMPRESSED_GNN0；对照=SOFTGNN1</x:v>
      </x:c>
      <x:c r="E2589" s="19" t="str">
        <x:v>时间正向家族</x:v>
      </x:c>
      <x:c r="F2589" s="19" t="str">
        <x:v>2</x:v>
      </x:c>
      <x:c r="G2589" s="19" t="str">
        <x:v>速度/计算</x:v>
      </x:c>
      <x:c r="H2589" s="19" t="str">
        <x:v>D:/Codex/GRL研究/outputs/grid55/GRID55_report.md</x:v>
      </x:c>
    </x:row>
    <x:row r="2590" ht="36" customHeight="1">
      <x:c r="A2590" s="19" t="str">
        <x:v>GRID55</x:v>
      </x:c>
      <x:c r="B2590" s="19" t="str">
        <x:v>GRID55_report.md</x:v>
      </x:c>
      <x:c r="C2590" s="19" t="str">
        <x:v>2. GRID55 八个已暴露日期的旧新配对与共有缓存比较</x:v>
      </x:c>
      <x:c r="D2590" s="19" t="str">
        <x:v>方法=COMPRESSED_GNN1；对照=LOCAL_PPO</x:v>
      </x:c>
      <x:c r="E2590" s="19" t="str">
        <x:v>对照</x:v>
      </x:c>
      <x:c r="F2590" s="19" t="str">
        <x:v>LOCAL_PPO</x:v>
      </x:c>
      <x:c r="G2590" s="19" t="str">
        <x:v>其他/配置</x:v>
      </x:c>
      <x:c r="H2590" s="19" t="str">
        <x:v>D:/Codex/GRL研究/outputs/grid55/GRID55_report.md</x:v>
      </x:c>
    </x:row>
    <x:row r="2591" ht="36" customHeight="1">
      <x:c r="A2591" s="19" t="str">
        <x:v>GRID55</x:v>
      </x:c>
      <x:c r="B2591" s="19" t="str">
        <x:v>GRID55_report.md</x:v>
      </x:c>
      <x:c r="C2591" s="19" t="str">
        <x:v>2. GRID55 八个已暴露日期的旧新配对与共有缓存比较</x:v>
      </x:c>
      <x:c r="D2591" s="19" t="str">
        <x:v>方法=COMPRESSED_GNN1；对照=LOCAL_PPO</x:v>
      </x:c>
      <x:c r="E2591" s="19" t="str">
        <x:v>可比家族</x:v>
      </x:c>
      <x:c r="F2591" s="19" t="str">
        <x:v>8</x:v>
      </x:c>
      <x:c r="G2591" s="19" t="str">
        <x:v>其他/配置</x:v>
      </x:c>
      <x:c r="H2591" s="19" t="str">
        <x:v>D:/Codex/GRL研究/outputs/grid55/GRID55_report.md</x:v>
      </x:c>
    </x:row>
    <x:row r="2592" ht="36" customHeight="1">
      <x:c r="A2592" s="19" t="str">
        <x:v>GRID55</x:v>
      </x:c>
      <x:c r="B2592" s="19" t="str">
        <x:v>GRID55_report.md</x:v>
      </x:c>
      <x:c r="C2592" s="19" t="str">
        <x:v>2. GRID55 八个已暴露日期的旧新配对与共有缓存比较</x:v>
      </x:c>
      <x:c r="D2592" s="19" t="str">
        <x:v>方法=COMPRESSED_GNN1；对照=LOCAL_PPO</x:v>
      </x:c>
      <x:c r="E2592" s="19" t="str">
        <x:v>宏平均提速</x:v>
      </x:c>
      <x:c r="F2592" s="19" t="str">
        <x:v>-51.359%</x:v>
      </x:c>
      <x:c r="G2592" s="19" t="str">
        <x:v>速度/计算</x:v>
      </x:c>
      <x:c r="H2592" s="19" t="str">
        <x:v>D:/Codex/GRL研究/outputs/grid55/GRID55_report.md</x:v>
      </x:c>
    </x:row>
    <x:row r="2593" ht="36" customHeight="1">
      <x:c r="A2593" s="19" t="str">
        <x:v>GRID55</x:v>
      </x:c>
      <x:c r="B2593" s="19" t="str">
        <x:v>GRID55_report.md</x:v>
      </x:c>
      <x:c r="C2593" s="19" t="str">
        <x:v>2. GRID55 八个已暴露日期的旧新配对与共有缓存比较</x:v>
      </x:c>
      <x:c r="D2593" s="19" t="str">
        <x:v>方法=COMPRESSED_GNN1；对照=LOCAL_PPO</x:v>
      </x:c>
      <x:c r="E2593" s="19" t="str">
        <x:v>家族bootstrap95%</x:v>
      </x:c>
      <x:c r="F2593" s="19" t="str">
        <x:v>[-148.254%, 0.032%]</x:v>
      </x:c>
      <x:c r="G2593" s="19" t="str">
        <x:v>速度/计算</x:v>
      </x:c>
      <x:c r="H2593" s="19" t="str">
        <x:v>D:/Codex/GRL研究/outputs/grid55/GRID55_report.md</x:v>
      </x:c>
    </x:row>
    <x:row r="2594" ht="36" customHeight="1">
      <x:c r="A2594" s="19" t="str">
        <x:v>GRID55</x:v>
      </x:c>
      <x:c r="B2594" s="19" t="str">
        <x:v>GRID55_report.md</x:v>
      </x:c>
      <x:c r="C2594" s="19" t="str">
        <x:v>2. GRID55 八个已暴露日期的旧新配对与共有缓存比较</x:v>
      </x:c>
      <x:c r="D2594" s="19" t="str">
        <x:v>方法=COMPRESSED_GNN1；对照=LOCAL_PPO</x:v>
      </x:c>
      <x:c r="E2594" s="19" t="str">
        <x:v>时间正向家族</x:v>
      </x:c>
      <x:c r="F2594" s="19" t="str">
        <x:v>4</x:v>
      </x:c>
      <x:c r="G2594" s="19" t="str">
        <x:v>速度/计算</x:v>
      </x:c>
      <x:c r="H2594" s="19" t="str">
        <x:v>D:/Codex/GRL研究/outputs/grid55/GRID55_report.md</x:v>
      </x:c>
    </x:row>
    <x:row r="2595" ht="36" customHeight="1">
      <x:c r="A2595" s="19" t="str">
        <x:v>GRID55</x:v>
      </x:c>
      <x:c r="B2595" s="19" t="str">
        <x:v>GRID55_report.md</x:v>
      </x:c>
      <x:c r="C2595" s="19" t="str">
        <x:v>2. GRID55 八个已暴露日期的旧新配对与共有缓存比较</x:v>
      </x:c>
      <x:c r="D2595" s="19" t="str">
        <x:v>方法=COMPRESSED_GNN1；对照=SOFTGNN0</x:v>
      </x:c>
      <x:c r="E2595" s="19" t="str">
        <x:v>对照</x:v>
      </x:c>
      <x:c r="F2595" s="19" t="str">
        <x:v>SOFTGNN0</x:v>
      </x:c>
      <x:c r="G2595" s="19" t="str">
        <x:v>其他/配置</x:v>
      </x:c>
      <x:c r="H2595" s="19" t="str">
        <x:v>D:/Codex/GRL研究/outputs/grid55/GRID55_report.md</x:v>
      </x:c>
    </x:row>
    <x:row r="2596" ht="36" customHeight="1">
      <x:c r="A2596" s="19" t="str">
        <x:v>GRID55</x:v>
      </x:c>
      <x:c r="B2596" s="19" t="str">
        <x:v>GRID55_report.md</x:v>
      </x:c>
      <x:c r="C2596" s="19" t="str">
        <x:v>2. GRID55 八个已暴露日期的旧新配对与共有缓存比较</x:v>
      </x:c>
      <x:c r="D2596" s="19" t="str">
        <x:v>方法=COMPRESSED_GNN1；对照=SOFTGNN0</x:v>
      </x:c>
      <x:c r="E2596" s="19" t="str">
        <x:v>可比家族</x:v>
      </x:c>
      <x:c r="F2596" s="19" t="str">
        <x:v>8</x:v>
      </x:c>
      <x:c r="G2596" s="19" t="str">
        <x:v>其他/配置</x:v>
      </x:c>
      <x:c r="H2596" s="19" t="str">
        <x:v>D:/Codex/GRL研究/outputs/grid55/GRID55_report.md</x:v>
      </x:c>
    </x:row>
    <x:row r="2597" ht="36" customHeight="1">
      <x:c r="A2597" s="19" t="str">
        <x:v>GRID55</x:v>
      </x:c>
      <x:c r="B2597" s="19" t="str">
        <x:v>GRID55_report.md</x:v>
      </x:c>
      <x:c r="C2597" s="19" t="str">
        <x:v>2. GRID55 八个已暴露日期的旧新配对与共有缓存比较</x:v>
      </x:c>
      <x:c r="D2597" s="19" t="str">
        <x:v>方法=COMPRESSED_GNN1；对照=SOFTGNN0</x:v>
      </x:c>
      <x:c r="E2597" s="19" t="str">
        <x:v>宏平均提速</x:v>
      </x:c>
      <x:c r="F2597" s="19" t="str">
        <x:v>-82.249%</x:v>
      </x:c>
      <x:c r="G2597" s="19" t="str">
        <x:v>速度/计算</x:v>
      </x:c>
      <x:c r="H2597" s="19" t="str">
        <x:v>D:/Codex/GRL研究/outputs/grid55/GRID55_report.md</x:v>
      </x:c>
    </x:row>
    <x:row r="2598" ht="36" customHeight="1">
      <x:c r="A2598" s="19" t="str">
        <x:v>GRID55</x:v>
      </x:c>
      <x:c r="B2598" s="19" t="str">
        <x:v>GRID55_report.md</x:v>
      </x:c>
      <x:c r="C2598" s="19" t="str">
        <x:v>2. GRID55 八个已暴露日期的旧新配对与共有缓存比较</x:v>
      </x:c>
      <x:c r="D2598" s="19" t="str">
        <x:v>方法=COMPRESSED_GNN1；对照=SOFTGNN0</x:v>
      </x:c>
      <x:c r="E2598" s="19" t="str">
        <x:v>家族bootstrap95%</x:v>
      </x:c>
      <x:c r="F2598" s="19" t="str">
        <x:v>[-244.976%, 0.887%]</x:v>
      </x:c>
      <x:c r="G2598" s="19" t="str">
        <x:v>速度/计算</x:v>
      </x:c>
      <x:c r="H2598" s="19" t="str">
        <x:v>D:/Codex/GRL研究/outputs/grid55/GRID55_report.md</x:v>
      </x:c>
    </x:row>
    <x:row r="2599" ht="36" customHeight="1">
      <x:c r="A2599" s="19" t="str">
        <x:v>GRID55</x:v>
      </x:c>
      <x:c r="B2599" s="19" t="str">
        <x:v>GRID55_report.md</x:v>
      </x:c>
      <x:c r="C2599" s="19" t="str">
        <x:v>2. GRID55 八个已暴露日期的旧新配对与共有缓存比较</x:v>
      </x:c>
      <x:c r="D2599" s="19" t="str">
        <x:v>方法=COMPRESSED_GNN1；对照=SOFTGNN0</x:v>
      </x:c>
      <x:c r="E2599" s="19" t="str">
        <x:v>时间正向家族</x:v>
      </x:c>
      <x:c r="F2599" s="19" t="str">
        <x:v>3</x:v>
      </x:c>
      <x:c r="G2599" s="19" t="str">
        <x:v>速度/计算</x:v>
      </x:c>
      <x:c r="H2599" s="19" t="str">
        <x:v>D:/Codex/GRL研究/outputs/grid55/GRID55_report.md</x:v>
      </x:c>
    </x:row>
    <x:row r="2600" ht="36" customHeight="1">
      <x:c r="A2600" s="19" t="str">
        <x:v>GRID55</x:v>
      </x:c>
      <x:c r="B2600" s="19" t="str">
        <x:v>GRID55_report.md</x:v>
      </x:c>
      <x:c r="C2600" s="19" t="str">
        <x:v>2. GRID55 八个已暴露日期的旧新配对与共有缓存比较</x:v>
      </x:c>
      <x:c r="D2600" s="19" t="str">
        <x:v>方法=COMPRESSED_GNN1；对照=SOFTGNN1</x:v>
      </x:c>
      <x:c r="E2600" s="19" t="str">
        <x:v>对照</x:v>
      </x:c>
      <x:c r="F2600" s="19" t="str">
        <x:v>SOFTGNN1</x:v>
      </x:c>
      <x:c r="G2600" s="19" t="str">
        <x:v>其他/配置</x:v>
      </x:c>
      <x:c r="H2600" s="19" t="str">
        <x:v>D:/Codex/GRL研究/outputs/grid55/GRID55_report.md</x:v>
      </x:c>
    </x:row>
    <x:row r="2601" ht="36" customHeight="1">
      <x:c r="A2601" s="19" t="str">
        <x:v>GRID55</x:v>
      </x:c>
      <x:c r="B2601" s="19" t="str">
        <x:v>GRID55_report.md</x:v>
      </x:c>
      <x:c r="C2601" s="19" t="str">
        <x:v>2. GRID55 八个已暴露日期的旧新配对与共有缓存比较</x:v>
      </x:c>
      <x:c r="D2601" s="19" t="str">
        <x:v>方法=COMPRESSED_GNN1；对照=SOFTGNN1</x:v>
      </x:c>
      <x:c r="E2601" s="19" t="str">
        <x:v>可比家族</x:v>
      </x:c>
      <x:c r="F2601" s="19" t="str">
        <x:v>8</x:v>
      </x:c>
      <x:c r="G2601" s="19" t="str">
        <x:v>其他/配置</x:v>
      </x:c>
      <x:c r="H2601" s="19" t="str">
        <x:v>D:/Codex/GRL研究/outputs/grid55/GRID55_report.md</x:v>
      </x:c>
    </x:row>
    <x:row r="2602" ht="36" customHeight="1">
      <x:c r="A2602" s="19" t="str">
        <x:v>GRID55</x:v>
      </x:c>
      <x:c r="B2602" s="19" t="str">
        <x:v>GRID55_report.md</x:v>
      </x:c>
      <x:c r="C2602" s="19" t="str">
        <x:v>2. GRID55 八个已暴露日期的旧新配对与共有缓存比较</x:v>
      </x:c>
      <x:c r="D2602" s="19" t="str">
        <x:v>方法=COMPRESSED_GNN1；对照=SOFTGNN1</x:v>
      </x:c>
      <x:c r="E2602" s="19" t="str">
        <x:v>宏平均提速</x:v>
      </x:c>
      <x:c r="F2602" s="19" t="str">
        <x:v>-82.153%</x:v>
      </x:c>
      <x:c r="G2602" s="19" t="str">
        <x:v>速度/计算</x:v>
      </x:c>
      <x:c r="H2602" s="19" t="str">
        <x:v>D:/Codex/GRL研究/outputs/grid55/GRID55_report.md</x:v>
      </x:c>
    </x:row>
    <x:row r="2603" ht="36" customHeight="1">
      <x:c r="A2603" s="19" t="str">
        <x:v>GRID55</x:v>
      </x:c>
      <x:c r="B2603" s="19" t="str">
        <x:v>GRID55_report.md</x:v>
      </x:c>
      <x:c r="C2603" s="19" t="str">
        <x:v>2. GRID55 八个已暴露日期的旧新配对与共有缓存比较</x:v>
      </x:c>
      <x:c r="D2603" s="19" t="str">
        <x:v>方法=COMPRESSED_GNN1；对照=SOFTGNN1</x:v>
      </x:c>
      <x:c r="E2603" s="19" t="str">
        <x:v>家族bootstrap95%</x:v>
      </x:c>
      <x:c r="F2603" s="19" t="str">
        <x:v>[-243.652%, -0.009%]</x:v>
      </x:c>
      <x:c r="G2603" s="19" t="str">
        <x:v>速度/计算</x:v>
      </x:c>
      <x:c r="H2603" s="19" t="str">
        <x:v>D:/Codex/GRL研究/outputs/grid55/GRID55_report.md</x:v>
      </x:c>
    </x:row>
    <x:row r="2604" ht="36" customHeight="1">
      <x:c r="A2604" s="19" t="str">
        <x:v>GRID55</x:v>
      </x:c>
      <x:c r="B2604" s="19" t="str">
        <x:v>GRID55_report.md</x:v>
      </x:c>
      <x:c r="C2604" s="19" t="str">
        <x:v>2. GRID55 八个已暴露日期的旧新配对与共有缓存比较</x:v>
      </x:c>
      <x:c r="D2604" s="19" t="str">
        <x:v>方法=COMPRESSED_GNN1；对照=SOFTGNN1</x:v>
      </x:c>
      <x:c r="E2604" s="19" t="str">
        <x:v>时间正向家族</x:v>
      </x:c>
      <x:c r="F2604" s="19" t="str">
        <x:v>3</x:v>
      </x:c>
      <x:c r="G2604" s="19" t="str">
        <x:v>速度/计算</x:v>
      </x:c>
      <x:c r="H2604" s="19" t="str">
        <x:v>D:/Codex/GRL研究/outputs/grid55/GRID55_report.md</x:v>
      </x:c>
    </x:row>
    <x:row r="2605" ht="36" customHeight="1">
      <x:c r="A2605" s="19" t="str">
        <x:v>GRID55</x:v>
      </x:c>
      <x:c r="B2605" s="19" t="str">
        <x:v>GRID55_report.md</x:v>
      </x:c>
      <x:c r="C2605" s="19" t="str">
        <x:v>2. GRID55 八个已暴露日期的旧新配对与共有缓存比较</x:v>
      </x:c>
      <x:c r="D2605" s="19" t="str">
        <x:v>方法=COMPRESSED_GNN0；对照=LOCAL_GNN0</x:v>
      </x:c>
      <x:c r="E2605" s="19" t="str">
        <x:v>对照</x:v>
      </x:c>
      <x:c r="F2605" s="19" t="str">
        <x:v>LOCAL_GNN0</x:v>
      </x:c>
      <x:c r="G2605" s="19" t="str">
        <x:v>其他/配置</x:v>
      </x:c>
      <x:c r="H2605" s="19" t="str">
        <x:v>D:/Codex/GRL研究/outputs/grid55/GRID55_report.md</x:v>
      </x:c>
    </x:row>
    <x:row r="2606" ht="36" customHeight="1">
      <x:c r="A2606" s="19" t="str">
        <x:v>GRID55</x:v>
      </x:c>
      <x:c r="B2606" s="19" t="str">
        <x:v>GRID55_report.md</x:v>
      </x:c>
      <x:c r="C2606" s="19" t="str">
        <x:v>2. GRID55 八个已暴露日期的旧新配对与共有缓存比较</x:v>
      </x:c>
      <x:c r="D2606" s="19" t="str">
        <x:v>方法=COMPRESSED_GNN0；对照=LOCAL_GNN0</x:v>
      </x:c>
      <x:c r="E2606" s="19" t="str">
        <x:v>可比家族</x:v>
      </x:c>
      <x:c r="F2606" s="19" t="str">
        <x:v>8</x:v>
      </x:c>
      <x:c r="G2606" s="19" t="str">
        <x:v>其他/配置</x:v>
      </x:c>
      <x:c r="H2606" s="19" t="str">
        <x:v>D:/Codex/GRL研究/outputs/grid55/GRID55_report.md</x:v>
      </x:c>
    </x:row>
    <x:row r="2607" ht="36" customHeight="1">
      <x:c r="A2607" s="19" t="str">
        <x:v>GRID55</x:v>
      </x:c>
      <x:c r="B2607" s="19" t="str">
        <x:v>GRID55_report.md</x:v>
      </x:c>
      <x:c r="C2607" s="19" t="str">
        <x:v>2. GRID55 八个已暴露日期的旧新配对与共有缓存比较</x:v>
      </x:c>
      <x:c r="D2607" s="19" t="str">
        <x:v>方法=COMPRESSED_GNN0；对照=LOCAL_GNN0</x:v>
      </x:c>
      <x:c r="E2607" s="19" t="str">
        <x:v>宏平均提速</x:v>
      </x:c>
      <x:c r="F2607" s="19" t="str">
        <x:v>-5.210%</x:v>
      </x:c>
      <x:c r="G2607" s="19" t="str">
        <x:v>速度/计算</x:v>
      </x:c>
      <x:c r="H2607" s="19" t="str">
        <x:v>D:/Codex/GRL研究/outputs/grid55/GRID55_report.md</x:v>
      </x:c>
    </x:row>
    <x:row r="2608" ht="36" customHeight="1">
      <x:c r="A2608" s="19" t="str">
        <x:v>GRID55</x:v>
      </x:c>
      <x:c r="B2608" s="19" t="str">
        <x:v>GRID55_report.md</x:v>
      </x:c>
      <x:c r="C2608" s="19" t="str">
        <x:v>2. GRID55 八个已暴露日期的旧新配对与共有缓存比较</x:v>
      </x:c>
      <x:c r="D2608" s="19" t="str">
        <x:v>方法=COMPRESSED_GNN0；对照=LOCAL_GNN0</x:v>
      </x:c>
      <x:c r="E2608" s="19" t="str">
        <x:v>家族bootstrap95%</x:v>
      </x:c>
      <x:c r="F2608" s="19" t="str">
        <x:v>[-9.825%, -1.223%]</x:v>
      </x:c>
      <x:c r="G2608" s="19" t="str">
        <x:v>速度/计算</x:v>
      </x:c>
      <x:c r="H2608" s="19" t="str">
        <x:v>D:/Codex/GRL研究/outputs/grid55/GRID55_report.md</x:v>
      </x:c>
    </x:row>
    <x:row r="2609" ht="36" customHeight="1">
      <x:c r="A2609" s="19" t="str">
        <x:v>GRID55</x:v>
      </x:c>
      <x:c r="B2609" s="19" t="str">
        <x:v>GRID55_report.md</x:v>
      </x:c>
      <x:c r="C2609" s="19" t="str">
        <x:v>2. GRID55 八个已暴露日期的旧新配对与共有缓存比较</x:v>
      </x:c>
      <x:c r="D2609" s="19" t="str">
        <x:v>方法=COMPRESSED_GNN0；对照=LOCAL_GNN0</x:v>
      </x:c>
      <x:c r="E2609" s="19" t="str">
        <x:v>时间正向家族</x:v>
      </x:c>
      <x:c r="F2609" s="19" t="str">
        <x:v>2</x:v>
      </x:c>
      <x:c r="G2609" s="19" t="str">
        <x:v>速度/计算</x:v>
      </x:c>
      <x:c r="H2609" s="19" t="str">
        <x:v>D:/Codex/GRL研究/outputs/grid55/GRID55_report.md</x:v>
      </x:c>
    </x:row>
    <x:row r="2610" ht="36" customHeight="1">
      <x:c r="A2610" s="19" t="str">
        <x:v>GRID55</x:v>
      </x:c>
      <x:c r="B2610" s="19" t="str">
        <x:v>GRID55_report.md</x:v>
      </x:c>
      <x:c r="C2610" s="19" t="str">
        <x:v>2. GRID55 八个已暴露日期的旧新配对与共有缓存比较</x:v>
      </x:c>
      <x:c r="D2610" s="19" t="str">
        <x:v>方法=COMPRESSED_GNN1；对照=LOCAL_GNN1</x:v>
      </x:c>
      <x:c r="E2610" s="19" t="str">
        <x:v>对照</x:v>
      </x:c>
      <x:c r="F2610" s="19" t="str">
        <x:v>LOCAL_GNN1</x:v>
      </x:c>
      <x:c r="G2610" s="19" t="str">
        <x:v>其他/配置</x:v>
      </x:c>
      <x:c r="H2610" s="19" t="str">
        <x:v>D:/Codex/GRL研究/outputs/grid55/GRID55_report.md</x:v>
      </x:c>
    </x:row>
    <x:row r="2611" ht="36" customHeight="1">
      <x:c r="A2611" s="19" t="str">
        <x:v>GRID55</x:v>
      </x:c>
      <x:c r="B2611" s="19" t="str">
        <x:v>GRID55_report.md</x:v>
      </x:c>
      <x:c r="C2611" s="19" t="str">
        <x:v>2. GRID55 八个已暴露日期的旧新配对与共有缓存比较</x:v>
      </x:c>
      <x:c r="D2611" s="19" t="str">
        <x:v>方法=COMPRESSED_GNN1；对照=LOCAL_GNN1</x:v>
      </x:c>
      <x:c r="E2611" s="19" t="str">
        <x:v>可比家族</x:v>
      </x:c>
      <x:c r="F2611" s="19" t="str">
        <x:v>8</x:v>
      </x:c>
      <x:c r="G2611" s="19" t="str">
        <x:v>其他/配置</x:v>
      </x:c>
      <x:c r="H2611" s="19" t="str">
        <x:v>D:/Codex/GRL研究/outputs/grid55/GRID55_report.md</x:v>
      </x:c>
    </x:row>
    <x:row r="2612" ht="36" customHeight="1">
      <x:c r="A2612" s="19" t="str">
        <x:v>GRID55</x:v>
      </x:c>
      <x:c r="B2612" s="19" t="str">
        <x:v>GRID55_report.md</x:v>
      </x:c>
      <x:c r="C2612" s="19" t="str">
        <x:v>2. GRID55 八个已暴露日期的旧新配对与共有缓存比较</x:v>
      </x:c>
      <x:c r="D2612" s="19" t="str">
        <x:v>方法=COMPRESSED_GNN1；对照=LOCAL_GNN1</x:v>
      </x:c>
      <x:c r="E2612" s="19" t="str">
        <x:v>宏平均提速</x:v>
      </x:c>
      <x:c r="F2612" s="19" t="str">
        <x:v>-94.973%</x:v>
      </x:c>
      <x:c r="G2612" s="19" t="str">
        <x:v>速度/计算</x:v>
      </x:c>
      <x:c r="H2612" s="19" t="str">
        <x:v>D:/Codex/GRL研究/outputs/grid55/GRID55_report.md</x:v>
      </x:c>
    </x:row>
    <x:row r="2613" ht="36" customHeight="1">
      <x:c r="A2613" s="19" t="str">
        <x:v>GRID55</x:v>
      </x:c>
      <x:c r="B2613" s="19" t="str">
        <x:v>GRID55_report.md</x:v>
      </x:c>
      <x:c r="C2613" s="19" t="str">
        <x:v>2. GRID55 八个已暴露日期的旧新配对与共有缓存比较</x:v>
      </x:c>
      <x:c r="D2613" s="19" t="str">
        <x:v>方法=COMPRESSED_GNN1；对照=LOCAL_GNN1</x:v>
      </x:c>
      <x:c r="E2613" s="19" t="str">
        <x:v>家族bootstrap95%</x:v>
      </x:c>
      <x:c r="F2613" s="19" t="str">
        <x:v>[-278.154%, -1.782%]</x:v>
      </x:c>
      <x:c r="G2613" s="19" t="str">
        <x:v>速度/计算</x:v>
      </x:c>
      <x:c r="H2613" s="19" t="str">
        <x:v>D:/Codex/GRL研究/outputs/grid55/GRID55_report.md</x:v>
      </x:c>
    </x:row>
    <x:row r="2614" ht="36" customHeight="1">
      <x:c r="A2614" s="19" t="str">
        <x:v>GRID55</x:v>
      </x:c>
      <x:c r="B2614" s="19" t="str">
        <x:v>GRID55_report.md</x:v>
      </x:c>
      <x:c r="C2614" s="19" t="str">
        <x:v>2. GRID55 八个已暴露日期的旧新配对与共有缓存比较</x:v>
      </x:c>
      <x:c r="D2614" s="19" t="str">
        <x:v>方法=COMPRESSED_GNN1；对照=LOCAL_GNN1</x:v>
      </x:c>
      <x:c r="E2614" s="19" t="str">
        <x:v>时间正向家族</x:v>
      </x:c>
      <x:c r="F2614" s="19" t="str">
        <x:v>0</x:v>
      </x:c>
      <x:c r="G2614" s="19" t="str">
        <x:v>速度/计算</x:v>
      </x:c>
      <x:c r="H2614" s="19" t="str">
        <x:v>D:/Codex/GRL研究/outputs/grid55/GRID55_report.md</x:v>
      </x:c>
    </x:row>
    <x:row r="2615" ht="36" customHeight="1">
      <x:c r="A2615" s="19" t="str">
        <x:v>GRID55B</x:v>
      </x:c>
      <x:c r="B2615" s="19" t="str">
        <x:v>GRID55B_report.md</x:v>
      </x:c>
      <x:c r="C2615" s="19" t="str">
        <x:v>1. GRID55 八个已暴露日期的旧新配对与共有缓存比较</x:v>
      </x:c>
      <x:c r="D2615" s="19" t="str">
        <x:v>方法=FULL；完成=16/16</x:v>
      </x:c>
      <x:c r="E2615" s="19" t="str">
        <x:v>完成</x:v>
      </x:c>
      <x:c r="F2615" s="19" t="str">
        <x:v>16/16</x:v>
      </x:c>
      <x:c r="G2615" s="19" t="str">
        <x:v>质量/成本</x:v>
      </x:c>
      <x:c r="H2615" s="19" t="str">
        <x:v>D:/Codex/GRL研究/outputs/grid55b/GRID55B_report.md</x:v>
      </x:c>
    </x:row>
    <x:row r="2616" ht="36" customHeight="1">
      <x:c r="A2616" s="19" t="str">
        <x:v>GRID55B</x:v>
      </x:c>
      <x:c r="B2616" s="19" t="str">
        <x:v>GRID55B_report.md</x:v>
      </x:c>
      <x:c r="C2616" s="19" t="str">
        <x:v>1. GRID55 八个已暴露日期的旧新配对与共有缓存比较</x:v>
      </x:c>
      <x:c r="D2616" s="19" t="str">
        <x:v>方法=FULL；完成=16/16</x:v>
      </x:c>
      <x:c r="E2616" s="19" t="str">
        <x:v>无提前失败</x:v>
      </x:c>
      <x:c r="F2616" s="19" t="str">
        <x:v>16/16</x:v>
      </x:c>
      <x:c r="G2616" s="19" t="str">
        <x:v>质量/成本</x:v>
      </x:c>
      <x:c r="H2616" s="19" t="str">
        <x:v>D:/Codex/GRL研究/outputs/grid55b/GRID55B_report.md</x:v>
      </x:c>
    </x:row>
    <x:row r="2617" ht="36" customHeight="1">
      <x:c r="A2617" s="19" t="str">
        <x:v>GRID55B</x:v>
      </x:c>
      <x:c r="B2617" s="19" t="str">
        <x:v>GRID55B_report.md</x:v>
      </x:c>
      <x:c r="C2617" s="19" t="str">
        <x:v>1. GRID55 八个已暴露日期的旧新配对与共有缓存比较</x:v>
      </x:c>
      <x:c r="D2617" s="19" t="str">
        <x:v>方法=FULL；完成=16/16</x:v>
      </x:c>
      <x:c r="E2617" s="19" t="str">
        <x:v>质量筛查</x:v>
      </x:c>
      <x:c r="F2617" s="19" t="str">
        <x:v>16/16</x:v>
      </x:c>
      <x:c r="G2617" s="19" t="str">
        <x:v>质量/成本</x:v>
      </x:c>
      <x:c r="H2617" s="19" t="str">
        <x:v>D:/Codex/GRL研究/outputs/grid55b/GRID55B_report.md</x:v>
      </x:c>
    </x:row>
    <x:row r="2618" ht="36" customHeight="1">
      <x:c r="A2618" s="19" t="str">
        <x:v>GRID55B</x:v>
      </x:c>
      <x:c r="B2618" s="19" t="str">
        <x:v>GRID55B_report.md</x:v>
      </x:c>
      <x:c r="C2618" s="19" t="str">
        <x:v>1. GRID55 八个已暴露日期的旧新配对与共有缓存比较</x:v>
      </x:c>
      <x:c r="D2618" s="19" t="str">
        <x:v>方法=FULL；完成=16/16</x:v>
      </x:c>
      <x:c r="E2618" s="19" t="str">
        <x:v>完成周最大成本差</x:v>
      </x:c>
      <x:c r="F2618" s="19" t="str">
        <x:v>0.00000%</x:v>
      </x:c>
      <x:c r="G2618" s="19" t="str">
        <x:v>质量/成本</x:v>
      </x:c>
      <x:c r="H2618" s="19" t="str">
        <x:v>D:/Codex/GRL研究/outputs/grid55b/GRID55B_report.md</x:v>
      </x:c>
    </x:row>
    <x:row r="2619" ht="36" customHeight="1">
      <x:c r="A2619" s="19" t="str">
        <x:v>GRID55B</x:v>
      </x:c>
      <x:c r="B2619" s="19" t="str">
        <x:v>GRID55B_report.md</x:v>
      </x:c>
      <x:c r="C2619" s="19" t="str">
        <x:v>1. GRID55 八个已暴露日期的旧新配对与共有缓存比较</x:v>
      </x:c>
      <x:c r="D2619" s="19" t="str">
        <x:v>方法=FULL；完成=16/16</x:v>
      </x:c>
      <x:c r="E2619" s="19" t="str">
        <x:v>对FULL宏平均控制时间减少</x:v>
      </x:c>
      <x:c r="F2619" s="19" t="str">
        <x:v>参照</x:v>
      </x:c>
      <x:c r="G2619" s="19" t="str">
        <x:v>速度/计算</x:v>
      </x:c>
      <x:c r="H2619" s="19" t="str">
        <x:v>D:/Codex/GRL研究/outputs/grid55b/GRID55B_report.md</x:v>
      </x:c>
    </x:row>
    <x:row r="2620" ht="36" customHeight="1">
      <x:c r="A2620" s="19" t="str">
        <x:v>GRID55B</x:v>
      </x:c>
      <x:c r="B2620" s="19" t="str">
        <x:v>GRID55B_report.md</x:v>
      </x:c>
      <x:c r="C2620" s="19" t="str">
        <x:v>1. GRID55 八个已暴露日期的旧新配对与共有缓存比较</x:v>
      </x:c>
      <x:c r="D2620" s="19" t="str">
        <x:v>方法=SOFTGNN0；完成=16/16</x:v>
      </x:c>
      <x:c r="E2620" s="19" t="str">
        <x:v>完成</x:v>
      </x:c>
      <x:c r="F2620" s="19" t="str">
        <x:v>16/16</x:v>
      </x:c>
      <x:c r="G2620" s="19" t="str">
        <x:v>质量/成本</x:v>
      </x:c>
      <x:c r="H2620" s="19" t="str">
        <x:v>D:/Codex/GRL研究/outputs/grid55b/GRID55B_report.md</x:v>
      </x:c>
    </x:row>
    <x:row r="2621" ht="36" customHeight="1">
      <x:c r="A2621" s="19" t="str">
        <x:v>GRID55B</x:v>
      </x:c>
      <x:c r="B2621" s="19" t="str">
        <x:v>GRID55B_report.md</x:v>
      </x:c>
      <x:c r="C2621" s="19" t="str">
        <x:v>1. GRID55 八个已暴露日期的旧新配对与共有缓存比较</x:v>
      </x:c>
      <x:c r="D2621" s="19" t="str">
        <x:v>方法=SOFTGNN0；完成=16/16</x:v>
      </x:c>
      <x:c r="E2621" s="19" t="str">
        <x:v>无提前失败</x:v>
      </x:c>
      <x:c r="F2621" s="19" t="str">
        <x:v>16/16</x:v>
      </x:c>
      <x:c r="G2621" s="19" t="str">
        <x:v>质量/成本</x:v>
      </x:c>
      <x:c r="H2621" s="19" t="str">
        <x:v>D:/Codex/GRL研究/outputs/grid55b/GRID55B_report.md</x:v>
      </x:c>
    </x:row>
    <x:row r="2622" ht="36" customHeight="1">
      <x:c r="A2622" s="19" t="str">
        <x:v>GRID55B</x:v>
      </x:c>
      <x:c r="B2622" s="19" t="str">
        <x:v>GRID55B_report.md</x:v>
      </x:c>
      <x:c r="C2622" s="19" t="str">
        <x:v>1. GRID55 八个已暴露日期的旧新配对与共有缓存比较</x:v>
      </x:c>
      <x:c r="D2622" s="19" t="str">
        <x:v>方法=SOFTGNN0；完成=16/16</x:v>
      </x:c>
      <x:c r="E2622" s="19" t="str">
        <x:v>质量筛查</x:v>
      </x:c>
      <x:c r="F2622" s="19" t="str">
        <x:v>16/16</x:v>
      </x:c>
      <x:c r="G2622" s="19" t="str">
        <x:v>质量/成本</x:v>
      </x:c>
      <x:c r="H2622" s="19" t="str">
        <x:v>D:/Codex/GRL研究/outputs/grid55b/GRID55B_report.md</x:v>
      </x:c>
    </x:row>
    <x:row r="2623" ht="36" customHeight="1">
      <x:c r="A2623" s="19" t="str">
        <x:v>GRID55B</x:v>
      </x:c>
      <x:c r="B2623" s="19" t="str">
        <x:v>GRID55B_report.md</x:v>
      </x:c>
      <x:c r="C2623" s="19" t="str">
        <x:v>1. GRID55 八个已暴露日期的旧新配对与共有缓存比较</x:v>
      </x:c>
      <x:c r="D2623" s="19" t="str">
        <x:v>方法=SOFTGNN0；完成=16/16</x:v>
      </x:c>
      <x:c r="E2623" s="19" t="str">
        <x:v>完成周最大成本差</x:v>
      </x:c>
      <x:c r="F2623" s="19" t="str">
        <x:v>0.17696%</x:v>
      </x:c>
      <x:c r="G2623" s="19" t="str">
        <x:v>质量/成本</x:v>
      </x:c>
      <x:c r="H2623" s="19" t="str">
        <x:v>D:/Codex/GRL研究/outputs/grid55b/GRID55B_report.md</x:v>
      </x:c>
    </x:row>
    <x:row r="2624" ht="36" customHeight="1">
      <x:c r="A2624" s="19" t="str">
        <x:v>GRID55B</x:v>
      </x:c>
      <x:c r="B2624" s="19" t="str">
        <x:v>GRID55B_report.md</x:v>
      </x:c>
      <x:c r="C2624" s="19" t="str">
        <x:v>1. GRID55 八个已暴露日期的旧新配对与共有缓存比较</x:v>
      </x:c>
      <x:c r="D2624" s="19" t="str">
        <x:v>方法=SOFTGNN0；完成=16/16</x:v>
      </x:c>
      <x:c r="E2624" s="19" t="str">
        <x:v>对FULL宏平均控制时间减少</x:v>
      </x:c>
      <x:c r="F2624" s="19" t="str">
        <x:v>16.775%</x:v>
      </x:c>
      <x:c r="G2624" s="19" t="str">
        <x:v>速度/计算</x:v>
      </x:c>
      <x:c r="H2624" s="19" t="str">
        <x:v>D:/Codex/GRL研究/outputs/grid55b/GRID55B_report.md</x:v>
      </x:c>
    </x:row>
    <x:row r="2625" ht="36" customHeight="1">
      <x:c r="A2625" s="19" t="str">
        <x:v>GRID55B</x:v>
      </x:c>
      <x:c r="B2625" s="19" t="str">
        <x:v>GRID55B_report.md</x:v>
      </x:c>
      <x:c r="C2625" s="19" t="str">
        <x:v>1. GRID55 八个已暴露日期的旧新配对与共有缓存比较</x:v>
      </x:c>
      <x:c r="D2625" s="19" t="str">
        <x:v>方法=SOFTGNN1；完成=16/16</x:v>
      </x:c>
      <x:c r="E2625" s="19" t="str">
        <x:v>完成</x:v>
      </x:c>
      <x:c r="F2625" s="19" t="str">
        <x:v>16/16</x:v>
      </x:c>
      <x:c r="G2625" s="19" t="str">
        <x:v>质量/成本</x:v>
      </x:c>
      <x:c r="H2625" s="19" t="str">
        <x:v>D:/Codex/GRL研究/outputs/grid55b/GRID55B_report.md</x:v>
      </x:c>
    </x:row>
    <x:row r="2626" ht="36" customHeight="1">
      <x:c r="A2626" s="19" t="str">
        <x:v>GRID55B</x:v>
      </x:c>
      <x:c r="B2626" s="19" t="str">
        <x:v>GRID55B_report.md</x:v>
      </x:c>
      <x:c r="C2626" s="19" t="str">
        <x:v>1. GRID55 八个已暴露日期的旧新配对与共有缓存比较</x:v>
      </x:c>
      <x:c r="D2626" s="19" t="str">
        <x:v>方法=SOFTGNN1；完成=16/16</x:v>
      </x:c>
      <x:c r="E2626" s="19" t="str">
        <x:v>无提前失败</x:v>
      </x:c>
      <x:c r="F2626" s="19" t="str">
        <x:v>16/16</x:v>
      </x:c>
      <x:c r="G2626" s="19" t="str">
        <x:v>质量/成本</x:v>
      </x:c>
      <x:c r="H2626" s="19" t="str">
        <x:v>D:/Codex/GRL研究/outputs/grid55b/GRID55B_report.md</x:v>
      </x:c>
    </x:row>
    <x:row r="2627" ht="36" customHeight="1">
      <x:c r="A2627" s="19" t="str">
        <x:v>GRID55B</x:v>
      </x:c>
      <x:c r="B2627" s="19" t="str">
        <x:v>GRID55B_report.md</x:v>
      </x:c>
      <x:c r="C2627" s="19" t="str">
        <x:v>1. GRID55 八个已暴露日期的旧新配对与共有缓存比较</x:v>
      </x:c>
      <x:c r="D2627" s="19" t="str">
        <x:v>方法=SOFTGNN1；完成=16/16</x:v>
      </x:c>
      <x:c r="E2627" s="19" t="str">
        <x:v>质量筛查</x:v>
      </x:c>
      <x:c r="F2627" s="19" t="str">
        <x:v>16/16</x:v>
      </x:c>
      <x:c r="G2627" s="19" t="str">
        <x:v>质量/成本</x:v>
      </x:c>
      <x:c r="H2627" s="19" t="str">
        <x:v>D:/Codex/GRL研究/outputs/grid55b/GRID55B_report.md</x:v>
      </x:c>
    </x:row>
    <x:row r="2628" ht="36" customHeight="1">
      <x:c r="A2628" s="19" t="str">
        <x:v>GRID55B</x:v>
      </x:c>
      <x:c r="B2628" s="19" t="str">
        <x:v>GRID55B_report.md</x:v>
      </x:c>
      <x:c r="C2628" s="19" t="str">
        <x:v>1. GRID55 八个已暴露日期的旧新配对与共有缓存比较</x:v>
      </x:c>
      <x:c r="D2628" s="19" t="str">
        <x:v>方法=SOFTGNN1；完成=16/16</x:v>
      </x:c>
      <x:c r="E2628" s="19" t="str">
        <x:v>完成周最大成本差</x:v>
      </x:c>
      <x:c r="F2628" s="19" t="str">
        <x:v>0.16893%</x:v>
      </x:c>
      <x:c r="G2628" s="19" t="str">
        <x:v>质量/成本</x:v>
      </x:c>
      <x:c r="H2628" s="19" t="str">
        <x:v>D:/Codex/GRL研究/outputs/grid55b/GRID55B_report.md</x:v>
      </x:c>
    </x:row>
    <x:row r="2629" ht="36" customHeight="1">
      <x:c r="A2629" s="19" t="str">
        <x:v>GRID55B</x:v>
      </x:c>
      <x:c r="B2629" s="19" t="str">
        <x:v>GRID55B_report.md</x:v>
      </x:c>
      <x:c r="C2629" s="19" t="str">
        <x:v>1. GRID55 八个已暴露日期的旧新配对与共有缓存比较</x:v>
      </x:c>
      <x:c r="D2629" s="19" t="str">
        <x:v>方法=SOFTGNN1；完成=16/16</x:v>
      </x:c>
      <x:c r="E2629" s="19" t="str">
        <x:v>对FULL宏平均控制时间减少</x:v>
      </x:c>
      <x:c r="F2629" s="19" t="str">
        <x:v>17.062%</x:v>
      </x:c>
      <x:c r="G2629" s="19" t="str">
        <x:v>速度/计算</x:v>
      </x:c>
      <x:c r="H2629" s="19" t="str">
        <x:v>D:/Codex/GRL研究/outputs/grid55b/GRID55B_report.md</x:v>
      </x:c>
    </x:row>
    <x:row r="2630" ht="36" customHeight="1">
      <x:c r="A2630" s="19" t="str">
        <x:v>GRID55B</x:v>
      </x:c>
      <x:c r="B2630" s="19" t="str">
        <x:v>GRID55B_report.md</x:v>
      </x:c>
      <x:c r="C2630" s="19" t="str">
        <x:v>1. GRID55 八个已暴露日期的旧新配对与共有缓存比较</x:v>
      </x:c>
      <x:c r="D2630" s="19" t="str">
        <x:v>方法=LOCAL_PPO；完成=16/16</x:v>
      </x:c>
      <x:c r="E2630" s="19" t="str">
        <x:v>完成</x:v>
      </x:c>
      <x:c r="F2630" s="19" t="str">
        <x:v>16/16</x:v>
      </x:c>
      <x:c r="G2630" s="19" t="str">
        <x:v>质量/成本</x:v>
      </x:c>
      <x:c r="H2630" s="19" t="str">
        <x:v>D:/Codex/GRL研究/outputs/grid55b/GRID55B_report.md</x:v>
      </x:c>
    </x:row>
    <x:row r="2631" ht="36" customHeight="1">
      <x:c r="A2631" s="19" t="str">
        <x:v>GRID55B</x:v>
      </x:c>
      <x:c r="B2631" s="19" t="str">
        <x:v>GRID55B_report.md</x:v>
      </x:c>
      <x:c r="C2631" s="19" t="str">
        <x:v>1. GRID55 八个已暴露日期的旧新配对与共有缓存比较</x:v>
      </x:c>
      <x:c r="D2631" s="19" t="str">
        <x:v>方法=LOCAL_PPO；完成=16/16</x:v>
      </x:c>
      <x:c r="E2631" s="19" t="str">
        <x:v>无提前失败</x:v>
      </x:c>
      <x:c r="F2631" s="19" t="str">
        <x:v>16/16</x:v>
      </x:c>
      <x:c r="G2631" s="19" t="str">
        <x:v>质量/成本</x:v>
      </x:c>
      <x:c r="H2631" s="19" t="str">
        <x:v>D:/Codex/GRL研究/outputs/grid55b/GRID55B_report.md</x:v>
      </x:c>
    </x:row>
    <x:row r="2632" ht="36" customHeight="1">
      <x:c r="A2632" s="19" t="str">
        <x:v>GRID55B</x:v>
      </x:c>
      <x:c r="B2632" s="19" t="str">
        <x:v>GRID55B_report.md</x:v>
      </x:c>
      <x:c r="C2632" s="19" t="str">
        <x:v>1. GRID55 八个已暴露日期的旧新配对与共有缓存比较</x:v>
      </x:c>
      <x:c r="D2632" s="19" t="str">
        <x:v>方法=LOCAL_PPO；完成=16/16</x:v>
      </x:c>
      <x:c r="E2632" s="19" t="str">
        <x:v>质量筛查</x:v>
      </x:c>
      <x:c r="F2632" s="19" t="str">
        <x:v>12/16</x:v>
      </x:c>
      <x:c r="G2632" s="19" t="str">
        <x:v>质量/成本</x:v>
      </x:c>
      <x:c r="H2632" s="19" t="str">
        <x:v>D:/Codex/GRL研究/outputs/grid55b/GRID55B_report.md</x:v>
      </x:c>
    </x:row>
    <x:row r="2633" ht="36" customHeight="1">
      <x:c r="A2633" s="19" t="str">
        <x:v>GRID55B</x:v>
      </x:c>
      <x:c r="B2633" s="19" t="str">
        <x:v>GRID55B_report.md</x:v>
      </x:c>
      <x:c r="C2633" s="19" t="str">
        <x:v>1. GRID55 八个已暴露日期的旧新配对与共有缓存比较</x:v>
      </x:c>
      <x:c r="D2633" s="19" t="str">
        <x:v>方法=LOCAL_PPO；完成=16/16</x:v>
      </x:c>
      <x:c r="E2633" s="19" t="str">
        <x:v>完成周最大成本差</x:v>
      </x:c>
      <x:c r="F2633" s="19" t="str">
        <x:v>12.43418%</x:v>
      </x:c>
      <x:c r="G2633" s="19" t="str">
        <x:v>质量/成本</x:v>
      </x:c>
      <x:c r="H2633" s="19" t="str">
        <x:v>D:/Codex/GRL研究/outputs/grid55b/GRID55B_report.md</x:v>
      </x:c>
    </x:row>
    <x:row r="2634" ht="36" customHeight="1">
      <x:c r="A2634" s="19" t="str">
        <x:v>GRID55B</x:v>
      </x:c>
      <x:c r="B2634" s="19" t="str">
        <x:v>GRID55B_report.md</x:v>
      </x:c>
      <x:c r="C2634" s="19" t="str">
        <x:v>1. GRID55 八个已暴露日期的旧新配对与共有缓存比较</x:v>
      </x:c>
      <x:c r="D2634" s="19" t="str">
        <x:v>方法=LOCAL_PPO；完成=16/16</x:v>
      </x:c>
      <x:c r="E2634" s="19" t="str">
        <x:v>对FULL宏平均控制时间减少</x:v>
      </x:c>
      <x:c r="F2634" s="19" t="str">
        <x:v>18.073%</x:v>
      </x:c>
      <x:c r="G2634" s="19" t="str">
        <x:v>速度/计算</x:v>
      </x:c>
      <x:c r="H2634" s="19" t="str">
        <x:v>D:/Codex/GRL研究/outputs/grid55b/GRID55B_report.md</x:v>
      </x:c>
    </x:row>
    <x:row r="2635" ht="36" customHeight="1">
      <x:c r="A2635" s="19" t="str">
        <x:v>GRID55B</x:v>
      </x:c>
      <x:c r="B2635" s="19" t="str">
        <x:v>GRID55B_report.md</x:v>
      </x:c>
      <x:c r="C2635" s="19" t="str">
        <x:v>1. GRID55 八个已暴露日期的旧新配对与共有缓存比较</x:v>
      </x:c>
      <x:c r="D2635" s="19" t="str">
        <x:v>方法=COMPRESSED_GNN0；完成=16/16</x:v>
      </x:c>
      <x:c r="E2635" s="19" t="str">
        <x:v>完成</x:v>
      </x:c>
      <x:c r="F2635" s="19" t="str">
        <x:v>16/16</x:v>
      </x:c>
      <x:c r="G2635" s="19" t="str">
        <x:v>质量/成本</x:v>
      </x:c>
      <x:c r="H2635" s="19" t="str">
        <x:v>D:/Codex/GRL研究/outputs/grid55b/GRID55B_report.md</x:v>
      </x:c>
    </x:row>
    <x:row r="2636" ht="36" customHeight="1">
      <x:c r="A2636" s="19" t="str">
        <x:v>GRID55B</x:v>
      </x:c>
      <x:c r="B2636" s="19" t="str">
        <x:v>GRID55B_report.md</x:v>
      </x:c>
      <x:c r="C2636" s="19" t="str">
        <x:v>1. GRID55 八个已暴露日期的旧新配对与共有缓存比较</x:v>
      </x:c>
      <x:c r="D2636" s="19" t="str">
        <x:v>方法=COMPRESSED_GNN0；完成=16/16</x:v>
      </x:c>
      <x:c r="E2636" s="19" t="str">
        <x:v>无提前失败</x:v>
      </x:c>
      <x:c r="F2636" s="19" t="str">
        <x:v>16/16</x:v>
      </x:c>
      <x:c r="G2636" s="19" t="str">
        <x:v>质量/成本</x:v>
      </x:c>
      <x:c r="H2636" s="19" t="str">
        <x:v>D:/Codex/GRL研究/outputs/grid55b/GRID55B_report.md</x:v>
      </x:c>
    </x:row>
    <x:row r="2637" ht="36" customHeight="1">
      <x:c r="A2637" s="19" t="str">
        <x:v>GRID55B</x:v>
      </x:c>
      <x:c r="B2637" s="19" t="str">
        <x:v>GRID55B_report.md</x:v>
      </x:c>
      <x:c r="C2637" s="19" t="str">
        <x:v>1. GRID55 八个已暴露日期的旧新配对与共有缓存比较</x:v>
      </x:c>
      <x:c r="D2637" s="19" t="str">
        <x:v>方法=COMPRESSED_GNN0；完成=16/16</x:v>
      </x:c>
      <x:c r="E2637" s="19" t="str">
        <x:v>质量筛查</x:v>
      </x:c>
      <x:c r="F2637" s="19" t="str">
        <x:v>16/16</x:v>
      </x:c>
      <x:c r="G2637" s="19" t="str">
        <x:v>质量/成本</x:v>
      </x:c>
      <x:c r="H2637" s="19" t="str">
        <x:v>D:/Codex/GRL研究/outputs/grid55b/GRID55B_report.md</x:v>
      </x:c>
    </x:row>
    <x:row r="2638" ht="36" customHeight="1">
      <x:c r="A2638" s="19" t="str">
        <x:v>GRID55B</x:v>
      </x:c>
      <x:c r="B2638" s="19" t="str">
        <x:v>GRID55B_report.md</x:v>
      </x:c>
      <x:c r="C2638" s="19" t="str">
        <x:v>1. GRID55 八个已暴露日期的旧新配对与共有缓存比较</x:v>
      </x:c>
      <x:c r="D2638" s="19" t="str">
        <x:v>方法=COMPRESSED_GNN0；完成=16/16</x:v>
      </x:c>
      <x:c r="E2638" s="19" t="str">
        <x:v>完成周最大成本差</x:v>
      </x:c>
      <x:c r="F2638" s="19" t="str">
        <x:v>0.08045%</x:v>
      </x:c>
      <x:c r="G2638" s="19" t="str">
        <x:v>质量/成本</x:v>
      </x:c>
      <x:c r="H2638" s="19" t="str">
        <x:v>D:/Codex/GRL研究/outputs/grid55b/GRID55B_report.md</x:v>
      </x:c>
    </x:row>
    <x:row r="2639" ht="36" customHeight="1">
      <x:c r="A2639" s="19" t="str">
        <x:v>GRID55B</x:v>
      </x:c>
      <x:c r="B2639" s="19" t="str">
        <x:v>GRID55B_report.md</x:v>
      </x:c>
      <x:c r="C2639" s="19" t="str">
        <x:v>1. GRID55 八个已暴露日期的旧新配对与共有缓存比较</x:v>
      </x:c>
      <x:c r="D2639" s="19" t="str">
        <x:v>方法=COMPRESSED_GNN0；完成=16/16</x:v>
      </x:c>
      <x:c r="E2639" s="19" t="str">
        <x:v>对FULL宏平均控制时间减少</x:v>
      </x:c>
      <x:c r="F2639" s="19" t="str">
        <x:v>15.438%</x:v>
      </x:c>
      <x:c r="G2639" s="19" t="str">
        <x:v>速度/计算</x:v>
      </x:c>
      <x:c r="H2639" s="19" t="str">
        <x:v>D:/Codex/GRL研究/outputs/grid55b/GRID55B_report.md</x:v>
      </x:c>
    </x:row>
    <x:row r="2640" ht="36" customHeight="1">
      <x:c r="A2640" s="19" t="str">
        <x:v>GRID55B</x:v>
      </x:c>
      <x:c r="B2640" s="19" t="str">
        <x:v>GRID55B_report.md</x:v>
      </x:c>
      <x:c r="C2640" s="19" t="str">
        <x:v>1. GRID55 八个已暴露日期的旧新配对与共有缓存比较</x:v>
      </x:c>
      <x:c r="D2640" s="19" t="str">
        <x:v>方法=COMPRESSED_GNN1；完成=16/16</x:v>
      </x:c>
      <x:c r="E2640" s="19" t="str">
        <x:v>完成</x:v>
      </x:c>
      <x:c r="F2640" s="19" t="str">
        <x:v>16/16</x:v>
      </x:c>
      <x:c r="G2640" s="19" t="str">
        <x:v>质量/成本</x:v>
      </x:c>
      <x:c r="H2640" s="19" t="str">
        <x:v>D:/Codex/GRL研究/outputs/grid55b/GRID55B_report.md</x:v>
      </x:c>
    </x:row>
    <x:row r="2641" ht="36" customHeight="1">
      <x:c r="A2641" s="19" t="str">
        <x:v>GRID55B</x:v>
      </x:c>
      <x:c r="B2641" s="19" t="str">
        <x:v>GRID55B_report.md</x:v>
      </x:c>
      <x:c r="C2641" s="19" t="str">
        <x:v>1. GRID55 八个已暴露日期的旧新配对与共有缓存比较</x:v>
      </x:c>
      <x:c r="D2641" s="19" t="str">
        <x:v>方法=COMPRESSED_GNN1；完成=16/16</x:v>
      </x:c>
      <x:c r="E2641" s="19" t="str">
        <x:v>无提前失败</x:v>
      </x:c>
      <x:c r="F2641" s="19" t="str">
        <x:v>16/16</x:v>
      </x:c>
      <x:c r="G2641" s="19" t="str">
        <x:v>质量/成本</x:v>
      </x:c>
      <x:c r="H2641" s="19" t="str">
        <x:v>D:/Codex/GRL研究/outputs/grid55b/GRID55B_report.md</x:v>
      </x:c>
    </x:row>
    <x:row r="2642" ht="36" customHeight="1">
      <x:c r="A2642" s="19" t="str">
        <x:v>GRID55B</x:v>
      </x:c>
      <x:c r="B2642" s="19" t="str">
        <x:v>GRID55B_report.md</x:v>
      </x:c>
      <x:c r="C2642" s="19" t="str">
        <x:v>1. GRID55 八个已暴露日期的旧新配对与共有缓存比较</x:v>
      </x:c>
      <x:c r="D2642" s="19" t="str">
        <x:v>方法=COMPRESSED_GNN1；完成=16/16</x:v>
      </x:c>
      <x:c r="E2642" s="19" t="str">
        <x:v>质量筛查</x:v>
      </x:c>
      <x:c r="F2642" s="19" t="str">
        <x:v>16/16</x:v>
      </x:c>
      <x:c r="G2642" s="19" t="str">
        <x:v>质量/成本</x:v>
      </x:c>
      <x:c r="H2642" s="19" t="str">
        <x:v>D:/Codex/GRL研究/outputs/grid55b/GRID55B_report.md</x:v>
      </x:c>
    </x:row>
    <x:row r="2643" ht="36" customHeight="1">
      <x:c r="A2643" s="19" t="str">
        <x:v>GRID55B</x:v>
      </x:c>
      <x:c r="B2643" s="19" t="str">
        <x:v>GRID55B_report.md</x:v>
      </x:c>
      <x:c r="C2643" s="19" t="str">
        <x:v>1. GRID55 八个已暴露日期的旧新配对与共有缓存比较</x:v>
      </x:c>
      <x:c r="D2643" s="19" t="str">
        <x:v>方法=COMPRESSED_GNN1；完成=16/16</x:v>
      </x:c>
      <x:c r="E2643" s="19" t="str">
        <x:v>完成周最大成本差</x:v>
      </x:c>
      <x:c r="F2643" s="19" t="str">
        <x:v>0.08045%</x:v>
      </x:c>
      <x:c r="G2643" s="19" t="str">
        <x:v>质量/成本</x:v>
      </x:c>
      <x:c r="H2643" s="19" t="str">
        <x:v>D:/Codex/GRL研究/outputs/grid55b/GRID55B_report.md</x:v>
      </x:c>
    </x:row>
    <x:row r="2644" ht="36" customHeight="1">
      <x:c r="A2644" s="19" t="str">
        <x:v>GRID55B</x:v>
      </x:c>
      <x:c r="B2644" s="19" t="str">
        <x:v>GRID55B_report.md</x:v>
      </x:c>
      <x:c r="C2644" s="19" t="str">
        <x:v>1. GRID55 八个已暴露日期的旧新配对与共有缓存比较</x:v>
      </x:c>
      <x:c r="D2644" s="19" t="str">
        <x:v>方法=COMPRESSED_GNN1；完成=16/16</x:v>
      </x:c>
      <x:c r="E2644" s="19" t="str">
        <x:v>对FULL宏平均控制时间减少</x:v>
      </x:c>
      <x:c r="F2644" s="19" t="str">
        <x:v>16.065%</x:v>
      </x:c>
      <x:c r="G2644" s="19" t="str">
        <x:v>速度/计算</x:v>
      </x:c>
      <x:c r="H2644" s="19" t="str">
        <x:v>D:/Codex/GRL研究/outputs/grid55b/GRID55B_report.md</x:v>
      </x:c>
    </x:row>
    <x:row r="2645" ht="36" customHeight="1">
      <x:c r="A2645" s="19" t="str">
        <x:v>GRID55B</x:v>
      </x:c>
      <x:c r="B2645" s="19" t="str">
        <x:v>GRID55B_report.md</x:v>
      </x:c>
      <x:c r="C2645" s="19" t="str">
        <x:v>1. GRID55 八个已暴露日期的旧新配对与共有缓存比较</x:v>
      </x:c>
      <x:c r="D2645" s="19" t="str">
        <x:v>方法=LOCAL_GNN0；完成=16/16</x:v>
      </x:c>
      <x:c r="E2645" s="19" t="str">
        <x:v>完成</x:v>
      </x:c>
      <x:c r="F2645" s="19" t="str">
        <x:v>16/16</x:v>
      </x:c>
      <x:c r="G2645" s="19" t="str">
        <x:v>质量/成本</x:v>
      </x:c>
      <x:c r="H2645" s="19" t="str">
        <x:v>D:/Codex/GRL研究/outputs/grid55b/GRID55B_report.md</x:v>
      </x:c>
    </x:row>
    <x:row r="2646" ht="36" customHeight="1">
      <x:c r="A2646" s="19" t="str">
        <x:v>GRID55B</x:v>
      </x:c>
      <x:c r="B2646" s="19" t="str">
        <x:v>GRID55B_report.md</x:v>
      </x:c>
      <x:c r="C2646" s="19" t="str">
        <x:v>1. GRID55 八个已暴露日期的旧新配对与共有缓存比较</x:v>
      </x:c>
      <x:c r="D2646" s="19" t="str">
        <x:v>方法=LOCAL_GNN0；完成=16/16</x:v>
      </x:c>
      <x:c r="E2646" s="19" t="str">
        <x:v>无提前失败</x:v>
      </x:c>
      <x:c r="F2646" s="19" t="str">
        <x:v>16/16</x:v>
      </x:c>
      <x:c r="G2646" s="19" t="str">
        <x:v>质量/成本</x:v>
      </x:c>
      <x:c r="H2646" s="19" t="str">
        <x:v>D:/Codex/GRL研究/outputs/grid55b/GRID55B_report.md</x:v>
      </x:c>
    </x:row>
    <x:row r="2647" ht="36" customHeight="1">
      <x:c r="A2647" s="19" t="str">
        <x:v>GRID55B</x:v>
      </x:c>
      <x:c r="B2647" s="19" t="str">
        <x:v>GRID55B_report.md</x:v>
      </x:c>
      <x:c r="C2647" s="19" t="str">
        <x:v>1. GRID55 八个已暴露日期的旧新配对与共有缓存比较</x:v>
      </x:c>
      <x:c r="D2647" s="19" t="str">
        <x:v>方法=LOCAL_GNN0；完成=16/16</x:v>
      </x:c>
      <x:c r="E2647" s="19" t="str">
        <x:v>质量筛查</x:v>
      </x:c>
      <x:c r="F2647" s="19" t="str">
        <x:v>14/16</x:v>
      </x:c>
      <x:c r="G2647" s="19" t="str">
        <x:v>质量/成本</x:v>
      </x:c>
      <x:c r="H2647" s="19" t="str">
        <x:v>D:/Codex/GRL研究/outputs/grid55b/GRID55B_report.md</x:v>
      </x:c>
    </x:row>
    <x:row r="2648" ht="36" customHeight="1">
      <x:c r="A2648" s="19" t="str">
        <x:v>GRID55B</x:v>
      </x:c>
      <x:c r="B2648" s="19" t="str">
        <x:v>GRID55B_report.md</x:v>
      </x:c>
      <x:c r="C2648" s="19" t="str">
        <x:v>1. GRID55 八个已暴露日期的旧新配对与共有缓存比较</x:v>
      </x:c>
      <x:c r="D2648" s="19" t="str">
        <x:v>方法=LOCAL_GNN0；完成=16/16</x:v>
      </x:c>
      <x:c r="E2648" s="19" t="str">
        <x:v>完成周最大成本差</x:v>
      </x:c>
      <x:c r="F2648" s="19" t="str">
        <x:v>1.74036%</x:v>
      </x:c>
      <x:c r="G2648" s="19" t="str">
        <x:v>质量/成本</x:v>
      </x:c>
      <x:c r="H2648" s="19" t="str">
        <x:v>D:/Codex/GRL研究/outputs/grid55b/GRID55B_report.md</x:v>
      </x:c>
    </x:row>
    <x:row r="2649" ht="36" customHeight="1">
      <x:c r="A2649" s="19" t="str">
        <x:v>GRID55B</x:v>
      </x:c>
      <x:c r="B2649" s="19" t="str">
        <x:v>GRID55B_report.md</x:v>
      </x:c>
      <x:c r="C2649" s="19" t="str">
        <x:v>1. GRID55 八个已暴露日期的旧新配对与共有缓存比较</x:v>
      </x:c>
      <x:c r="D2649" s="19" t="str">
        <x:v>方法=LOCAL_GNN0；完成=16/16</x:v>
      </x:c>
      <x:c r="E2649" s="19" t="str">
        <x:v>对FULL宏平均控制时间减少</x:v>
      </x:c>
      <x:c r="F2649" s="19" t="str">
        <x:v>18.336%</x:v>
      </x:c>
      <x:c r="G2649" s="19" t="str">
        <x:v>速度/计算</x:v>
      </x:c>
      <x:c r="H2649" s="19" t="str">
        <x:v>D:/Codex/GRL研究/outputs/grid55b/GRID55B_report.md</x:v>
      </x:c>
    </x:row>
    <x:row r="2650" ht="36" customHeight="1">
      <x:c r="A2650" s="19" t="str">
        <x:v>GRID55B</x:v>
      </x:c>
      <x:c r="B2650" s="19" t="str">
        <x:v>GRID55B_report.md</x:v>
      </x:c>
      <x:c r="C2650" s="19" t="str">
        <x:v>1. GRID55 八个已暴露日期的旧新配对与共有缓存比较</x:v>
      </x:c>
      <x:c r="D2650" s="19" t="str">
        <x:v>方法=LOCAL_GNN1；完成=16/16</x:v>
      </x:c>
      <x:c r="E2650" s="19" t="str">
        <x:v>完成</x:v>
      </x:c>
      <x:c r="F2650" s="19" t="str">
        <x:v>16/16</x:v>
      </x:c>
      <x:c r="G2650" s="19" t="str">
        <x:v>质量/成本</x:v>
      </x:c>
      <x:c r="H2650" s="19" t="str">
        <x:v>D:/Codex/GRL研究/outputs/grid55b/GRID55B_report.md</x:v>
      </x:c>
    </x:row>
    <x:row r="2651" ht="36" customHeight="1">
      <x:c r="A2651" s="19" t="str">
        <x:v>GRID55B</x:v>
      </x:c>
      <x:c r="B2651" s="19" t="str">
        <x:v>GRID55B_report.md</x:v>
      </x:c>
      <x:c r="C2651" s="19" t="str">
        <x:v>1. GRID55 八个已暴露日期的旧新配对与共有缓存比较</x:v>
      </x:c>
      <x:c r="D2651" s="19" t="str">
        <x:v>方法=LOCAL_GNN1；完成=16/16</x:v>
      </x:c>
      <x:c r="E2651" s="19" t="str">
        <x:v>无提前失败</x:v>
      </x:c>
      <x:c r="F2651" s="19" t="str">
        <x:v>16/16</x:v>
      </x:c>
      <x:c r="G2651" s="19" t="str">
        <x:v>质量/成本</x:v>
      </x:c>
      <x:c r="H2651" s="19" t="str">
        <x:v>D:/Codex/GRL研究/outputs/grid55b/GRID55B_report.md</x:v>
      </x:c>
    </x:row>
    <x:row r="2652" ht="36" customHeight="1">
      <x:c r="A2652" s="19" t="str">
        <x:v>GRID55B</x:v>
      </x:c>
      <x:c r="B2652" s="19" t="str">
        <x:v>GRID55B_report.md</x:v>
      </x:c>
      <x:c r="C2652" s="19" t="str">
        <x:v>1. GRID55 八个已暴露日期的旧新配对与共有缓存比较</x:v>
      </x:c>
      <x:c r="D2652" s="19" t="str">
        <x:v>方法=LOCAL_GNN1；完成=16/16</x:v>
      </x:c>
      <x:c r="E2652" s="19" t="str">
        <x:v>质量筛查</x:v>
      </x:c>
      <x:c r="F2652" s="19" t="str">
        <x:v>14/16</x:v>
      </x:c>
      <x:c r="G2652" s="19" t="str">
        <x:v>质量/成本</x:v>
      </x:c>
      <x:c r="H2652" s="19" t="str">
        <x:v>D:/Codex/GRL研究/outputs/grid55b/GRID55B_report.md</x:v>
      </x:c>
    </x:row>
    <x:row r="2653" ht="36" customHeight="1">
      <x:c r="A2653" s="19" t="str">
        <x:v>GRID55B</x:v>
      </x:c>
      <x:c r="B2653" s="19" t="str">
        <x:v>GRID55B_report.md</x:v>
      </x:c>
      <x:c r="C2653" s="19" t="str">
        <x:v>1. GRID55 八个已暴露日期的旧新配对与共有缓存比较</x:v>
      </x:c>
      <x:c r="D2653" s="19" t="str">
        <x:v>方法=LOCAL_GNN1；完成=16/16</x:v>
      </x:c>
      <x:c r="E2653" s="19" t="str">
        <x:v>完成周最大成本差</x:v>
      </x:c>
      <x:c r="F2653" s="19" t="str">
        <x:v>1.70438%</x:v>
      </x:c>
      <x:c r="G2653" s="19" t="str">
        <x:v>质量/成本</x:v>
      </x:c>
      <x:c r="H2653" s="19" t="str">
        <x:v>D:/Codex/GRL研究/outputs/grid55b/GRID55B_report.md</x:v>
      </x:c>
    </x:row>
    <x:row r="2654" ht="36" customHeight="1">
      <x:c r="A2654" s="19" t="str">
        <x:v>GRID55B</x:v>
      </x:c>
      <x:c r="B2654" s="19" t="str">
        <x:v>GRID55B_report.md</x:v>
      </x:c>
      <x:c r="C2654" s="19" t="str">
        <x:v>1. GRID55 八个已暴露日期的旧新配对与共有缓存比较</x:v>
      </x:c>
      <x:c r="D2654" s="19" t="str">
        <x:v>方法=LOCAL_GNN1；完成=16/16</x:v>
      </x:c>
      <x:c r="E2654" s="19" t="str">
        <x:v>对FULL宏平均控制时间减少</x:v>
      </x:c>
      <x:c r="F2654" s="19" t="str">
        <x:v>18.429%</x:v>
      </x:c>
      <x:c r="G2654" s="19" t="str">
        <x:v>速度/计算</x:v>
      </x:c>
      <x:c r="H2654" s="19" t="str">
        <x:v>D:/Codex/GRL研究/outputs/grid55b/GRID55B_report.md</x:v>
      </x:c>
    </x:row>
    <x:row r="2655" ht="36" customHeight="1">
      <x:c r="A2655" s="19" t="str">
        <x:v>GRID55B</x:v>
      </x:c>
      <x:c r="B2655" s="19" t="str">
        <x:v>GRID55B_report.md</x:v>
      </x:c>
      <x:c r="C2655" s="19" t="str">
        <x:v>2. GRID55 八个已暴露日期的旧新配对与共有缓存比较</x:v>
      </x:c>
      <x:c r="D2655" s="19" t="str">
        <x:v>方法=SOFTGNN0；对照=FULL</x:v>
      </x:c>
      <x:c r="E2655" s="19" t="str">
        <x:v>对照</x:v>
      </x:c>
      <x:c r="F2655" s="19" t="str">
        <x:v>FULL</x:v>
      </x:c>
      <x:c r="G2655" s="19" t="str">
        <x:v>其他/配置</x:v>
      </x:c>
      <x:c r="H2655" s="19" t="str">
        <x:v>D:/Codex/GRL研究/outputs/grid55b/GRID55B_report.md</x:v>
      </x:c>
    </x:row>
    <x:row r="2656" ht="36" customHeight="1">
      <x:c r="A2656" s="19" t="str">
        <x:v>GRID55B</x:v>
      </x:c>
      <x:c r="B2656" s="19" t="str">
        <x:v>GRID55B_report.md</x:v>
      </x:c>
      <x:c r="C2656" s="19" t="str">
        <x:v>2. GRID55 八个已暴露日期的旧新配对与共有缓存比较</x:v>
      </x:c>
      <x:c r="D2656" s="19" t="str">
        <x:v>方法=SOFTGNN0；对照=FULL</x:v>
      </x:c>
      <x:c r="E2656" s="19" t="str">
        <x:v>可比家族</x:v>
      </x:c>
      <x:c r="F2656" s="19" t="str">
        <x:v>8</x:v>
      </x:c>
      <x:c r="G2656" s="19" t="str">
        <x:v>其他/配置</x:v>
      </x:c>
      <x:c r="H2656" s="19" t="str">
        <x:v>D:/Codex/GRL研究/outputs/grid55b/GRID55B_report.md</x:v>
      </x:c>
    </x:row>
    <x:row r="2657" ht="36" customHeight="1">
      <x:c r="A2657" s="19" t="str">
        <x:v>GRID55B</x:v>
      </x:c>
      <x:c r="B2657" s="19" t="str">
        <x:v>GRID55B_report.md</x:v>
      </x:c>
      <x:c r="C2657" s="19" t="str">
        <x:v>2. GRID55 八个已暴露日期的旧新配对与共有缓存比较</x:v>
      </x:c>
      <x:c r="D2657" s="19" t="str">
        <x:v>方法=SOFTGNN0；对照=FULL</x:v>
      </x:c>
      <x:c r="E2657" s="19" t="str">
        <x:v>宏平均提速</x:v>
      </x:c>
      <x:c r="F2657" s="19" t="str">
        <x:v>16.775%</x:v>
      </x:c>
      <x:c r="G2657" s="19" t="str">
        <x:v>速度/计算</x:v>
      </x:c>
      <x:c r="H2657" s="19" t="str">
        <x:v>D:/Codex/GRL研究/outputs/grid55b/GRID55B_report.md</x:v>
      </x:c>
    </x:row>
    <x:row r="2658" ht="36" customHeight="1">
      <x:c r="A2658" s="19" t="str">
        <x:v>GRID55B</x:v>
      </x:c>
      <x:c r="B2658" s="19" t="str">
        <x:v>GRID55B_report.md</x:v>
      </x:c>
      <x:c r="C2658" s="19" t="str">
        <x:v>2. GRID55 八个已暴露日期的旧新配对与共有缓存比较</x:v>
      </x:c>
      <x:c r="D2658" s="19" t="str">
        <x:v>方法=SOFTGNN0；对照=FULL</x:v>
      </x:c>
      <x:c r="E2658" s="19" t="str">
        <x:v>家族bootstrap95%</x:v>
      </x:c>
      <x:c r="F2658" s="19" t="str">
        <x:v>[9.355%, 24.536%]</x:v>
      </x:c>
      <x:c r="G2658" s="19" t="str">
        <x:v>速度/计算</x:v>
      </x:c>
      <x:c r="H2658" s="19" t="str">
        <x:v>D:/Codex/GRL研究/outputs/grid55b/GRID55B_report.md</x:v>
      </x:c>
    </x:row>
    <x:row r="2659" ht="36" customHeight="1">
      <x:c r="A2659" s="19" t="str">
        <x:v>GRID55B</x:v>
      </x:c>
      <x:c r="B2659" s="19" t="str">
        <x:v>GRID55B_report.md</x:v>
      </x:c>
      <x:c r="C2659" s="19" t="str">
        <x:v>2. GRID55 八个已暴露日期的旧新配对与共有缓存比较</x:v>
      </x:c>
      <x:c r="D2659" s="19" t="str">
        <x:v>方法=SOFTGNN0；对照=FULL</x:v>
      </x:c>
      <x:c r="E2659" s="19" t="str">
        <x:v>时间正向家族</x:v>
      </x:c>
      <x:c r="F2659" s="19" t="str">
        <x:v>7</x:v>
      </x:c>
      <x:c r="G2659" s="19" t="str">
        <x:v>速度/计算</x:v>
      </x:c>
      <x:c r="H2659" s="19" t="str">
        <x:v>D:/Codex/GRL研究/outputs/grid55b/GRID55B_report.md</x:v>
      </x:c>
    </x:row>
    <x:row r="2660" ht="36" customHeight="1">
      <x:c r="A2660" s="19" t="str">
        <x:v>GRID55B</x:v>
      </x:c>
      <x:c r="B2660" s="19" t="str">
        <x:v>GRID55B_report.md</x:v>
      </x:c>
      <x:c r="C2660" s="19" t="str">
        <x:v>2. GRID55 八个已暴露日期的旧新配对与共有缓存比较</x:v>
      </x:c>
      <x:c r="D2660" s="19" t="str">
        <x:v>方法=SOFTGNN1；对照=FULL</x:v>
      </x:c>
      <x:c r="E2660" s="19" t="str">
        <x:v>对照</x:v>
      </x:c>
      <x:c r="F2660" s="19" t="str">
        <x:v>FULL</x:v>
      </x:c>
      <x:c r="G2660" s="19" t="str">
        <x:v>其他/配置</x:v>
      </x:c>
      <x:c r="H2660" s="19" t="str">
        <x:v>D:/Codex/GRL研究/outputs/grid55b/GRID55B_report.md</x:v>
      </x:c>
    </x:row>
    <x:row r="2661" ht="36" customHeight="1">
      <x:c r="A2661" s="19" t="str">
        <x:v>GRID55B</x:v>
      </x:c>
      <x:c r="B2661" s="19" t="str">
        <x:v>GRID55B_report.md</x:v>
      </x:c>
      <x:c r="C2661" s="19" t="str">
        <x:v>2. GRID55 八个已暴露日期的旧新配对与共有缓存比较</x:v>
      </x:c>
      <x:c r="D2661" s="19" t="str">
        <x:v>方法=SOFTGNN1；对照=FULL</x:v>
      </x:c>
      <x:c r="E2661" s="19" t="str">
        <x:v>可比家族</x:v>
      </x:c>
      <x:c r="F2661" s="19" t="str">
        <x:v>8</x:v>
      </x:c>
      <x:c r="G2661" s="19" t="str">
        <x:v>其他/配置</x:v>
      </x:c>
      <x:c r="H2661" s="19" t="str">
        <x:v>D:/Codex/GRL研究/outputs/grid55b/GRID55B_report.md</x:v>
      </x:c>
    </x:row>
    <x:row r="2662" ht="36" customHeight="1">
      <x:c r="A2662" s="19" t="str">
        <x:v>GRID55B</x:v>
      </x:c>
      <x:c r="B2662" s="19" t="str">
        <x:v>GRID55B_report.md</x:v>
      </x:c>
      <x:c r="C2662" s="19" t="str">
        <x:v>2. GRID55 八个已暴露日期的旧新配对与共有缓存比较</x:v>
      </x:c>
      <x:c r="D2662" s="19" t="str">
        <x:v>方法=SOFTGNN1；对照=FULL</x:v>
      </x:c>
      <x:c r="E2662" s="19" t="str">
        <x:v>宏平均提速</x:v>
      </x:c>
      <x:c r="F2662" s="19" t="str">
        <x:v>17.062%</x:v>
      </x:c>
      <x:c r="G2662" s="19" t="str">
        <x:v>速度/计算</x:v>
      </x:c>
      <x:c r="H2662" s="19" t="str">
        <x:v>D:/Codex/GRL研究/outputs/grid55b/GRID55B_report.md</x:v>
      </x:c>
    </x:row>
    <x:row r="2663" ht="36" customHeight="1">
      <x:c r="A2663" s="19" t="str">
        <x:v>GRID55B</x:v>
      </x:c>
      <x:c r="B2663" s="19" t="str">
        <x:v>GRID55B_report.md</x:v>
      </x:c>
      <x:c r="C2663" s="19" t="str">
        <x:v>2. GRID55 八个已暴露日期的旧新配对与共有缓存比较</x:v>
      </x:c>
      <x:c r="D2663" s="19" t="str">
        <x:v>方法=SOFTGNN1；对照=FULL</x:v>
      </x:c>
      <x:c r="E2663" s="19" t="str">
        <x:v>家族bootstrap95%</x:v>
      </x:c>
      <x:c r="F2663" s="19" t="str">
        <x:v>[9.853%, 24.207%]</x:v>
      </x:c>
      <x:c r="G2663" s="19" t="str">
        <x:v>速度/计算</x:v>
      </x:c>
      <x:c r="H2663" s="19" t="str">
        <x:v>D:/Codex/GRL研究/outputs/grid55b/GRID55B_report.md</x:v>
      </x:c>
    </x:row>
    <x:row r="2664" ht="36" customHeight="1">
      <x:c r="A2664" s="19" t="str">
        <x:v>GRID55B</x:v>
      </x:c>
      <x:c r="B2664" s="19" t="str">
        <x:v>GRID55B_report.md</x:v>
      </x:c>
      <x:c r="C2664" s="19" t="str">
        <x:v>2. GRID55 八个已暴露日期的旧新配对与共有缓存比较</x:v>
      </x:c>
      <x:c r="D2664" s="19" t="str">
        <x:v>方法=SOFTGNN1；对照=FULL</x:v>
      </x:c>
      <x:c r="E2664" s="19" t="str">
        <x:v>时间正向家族</x:v>
      </x:c>
      <x:c r="F2664" s="19" t="str">
        <x:v>7</x:v>
      </x:c>
      <x:c r="G2664" s="19" t="str">
        <x:v>速度/计算</x:v>
      </x:c>
      <x:c r="H2664" s="19" t="str">
        <x:v>D:/Codex/GRL研究/outputs/grid55b/GRID55B_report.md</x:v>
      </x:c>
    </x:row>
    <x:row r="2665" ht="36" customHeight="1">
      <x:c r="A2665" s="19" t="str">
        <x:v>GRID55B</x:v>
      </x:c>
      <x:c r="B2665" s="19" t="str">
        <x:v>GRID55B_report.md</x:v>
      </x:c>
      <x:c r="C2665" s="19" t="str">
        <x:v>2. GRID55 八个已暴露日期的旧新配对与共有缓存比较</x:v>
      </x:c>
      <x:c r="D2665" s="19" t="str">
        <x:v>方法=LOCAL_PPO；对照=FULL</x:v>
      </x:c>
      <x:c r="E2665" s="19" t="str">
        <x:v>对照</x:v>
      </x:c>
      <x:c r="F2665" s="19" t="str">
        <x:v>FULL</x:v>
      </x:c>
      <x:c r="G2665" s="19" t="str">
        <x:v>其他/配置</x:v>
      </x:c>
      <x:c r="H2665" s="19" t="str">
        <x:v>D:/Codex/GRL研究/outputs/grid55b/GRID55B_report.md</x:v>
      </x:c>
    </x:row>
    <x:row r="2666" ht="36" customHeight="1">
      <x:c r="A2666" s="19" t="str">
        <x:v>GRID55B</x:v>
      </x:c>
      <x:c r="B2666" s="19" t="str">
        <x:v>GRID55B_report.md</x:v>
      </x:c>
      <x:c r="C2666" s="19" t="str">
        <x:v>2. GRID55 八个已暴露日期的旧新配对与共有缓存比较</x:v>
      </x:c>
      <x:c r="D2666" s="19" t="str">
        <x:v>方法=LOCAL_PPO；对照=FULL</x:v>
      </x:c>
      <x:c r="E2666" s="19" t="str">
        <x:v>可比家族</x:v>
      </x:c>
      <x:c r="F2666" s="19" t="str">
        <x:v>8</x:v>
      </x:c>
      <x:c r="G2666" s="19" t="str">
        <x:v>其他/配置</x:v>
      </x:c>
      <x:c r="H2666" s="19" t="str">
        <x:v>D:/Codex/GRL研究/outputs/grid55b/GRID55B_report.md</x:v>
      </x:c>
    </x:row>
    <x:row r="2667" ht="36" customHeight="1">
      <x:c r="A2667" s="19" t="str">
        <x:v>GRID55B</x:v>
      </x:c>
      <x:c r="B2667" s="19" t="str">
        <x:v>GRID55B_report.md</x:v>
      </x:c>
      <x:c r="C2667" s="19" t="str">
        <x:v>2. GRID55 八个已暴露日期的旧新配对与共有缓存比较</x:v>
      </x:c>
      <x:c r="D2667" s="19" t="str">
        <x:v>方法=LOCAL_PPO；对照=FULL</x:v>
      </x:c>
      <x:c r="E2667" s="19" t="str">
        <x:v>宏平均提速</x:v>
      </x:c>
      <x:c r="F2667" s="19" t="str">
        <x:v>18.073%</x:v>
      </x:c>
      <x:c r="G2667" s="19" t="str">
        <x:v>速度/计算</x:v>
      </x:c>
      <x:c r="H2667" s="19" t="str">
        <x:v>D:/Codex/GRL研究/outputs/grid55b/GRID55B_report.md</x:v>
      </x:c>
    </x:row>
    <x:row r="2668" ht="36" customHeight="1">
      <x:c r="A2668" s="19" t="str">
        <x:v>GRID55B</x:v>
      </x:c>
      <x:c r="B2668" s="19" t="str">
        <x:v>GRID55B_report.md</x:v>
      </x:c>
      <x:c r="C2668" s="19" t="str">
        <x:v>2. GRID55 八个已暴露日期的旧新配对与共有缓存比较</x:v>
      </x:c>
      <x:c r="D2668" s="19" t="str">
        <x:v>方法=LOCAL_PPO；对照=FULL</x:v>
      </x:c>
      <x:c r="E2668" s="19" t="str">
        <x:v>家族bootstrap95%</x:v>
      </x:c>
      <x:c r="F2668" s="19" t="str">
        <x:v>[10.237%, 25.608%]</x:v>
      </x:c>
      <x:c r="G2668" s="19" t="str">
        <x:v>速度/计算</x:v>
      </x:c>
      <x:c r="H2668" s="19" t="str">
        <x:v>D:/Codex/GRL研究/outputs/grid55b/GRID55B_report.md</x:v>
      </x:c>
    </x:row>
    <x:row r="2669" ht="36" customHeight="1">
      <x:c r="A2669" s="19" t="str">
        <x:v>GRID55B</x:v>
      </x:c>
      <x:c r="B2669" s="19" t="str">
        <x:v>GRID55B_report.md</x:v>
      </x:c>
      <x:c r="C2669" s="19" t="str">
        <x:v>2. GRID55 八个已暴露日期的旧新配对与共有缓存比较</x:v>
      </x:c>
      <x:c r="D2669" s="19" t="str">
        <x:v>方法=LOCAL_PPO；对照=FULL</x:v>
      </x:c>
      <x:c r="E2669" s="19" t="str">
        <x:v>时间正向家族</x:v>
      </x:c>
      <x:c r="F2669" s="19" t="str">
        <x:v>7</x:v>
      </x:c>
      <x:c r="G2669" s="19" t="str">
        <x:v>速度/计算</x:v>
      </x:c>
      <x:c r="H2669" s="19" t="str">
        <x:v>D:/Codex/GRL研究/outputs/grid55b/GRID55B_report.md</x:v>
      </x:c>
    </x:row>
    <x:row r="2670" ht="36" customHeight="1">
      <x:c r="A2670" s="19" t="str">
        <x:v>GRID55B</x:v>
      </x:c>
      <x:c r="B2670" s="19" t="str">
        <x:v>GRID55B_report.md</x:v>
      </x:c>
      <x:c r="C2670" s="19" t="str">
        <x:v>2. GRID55 八个已暴露日期的旧新配对与共有缓存比较</x:v>
      </x:c>
      <x:c r="D2670" s="19" t="str">
        <x:v>方法=COMPRESSED_GNN0；对照=FULL</x:v>
      </x:c>
      <x:c r="E2670" s="19" t="str">
        <x:v>对照</x:v>
      </x:c>
      <x:c r="F2670" s="19" t="str">
        <x:v>FULL</x:v>
      </x:c>
      <x:c r="G2670" s="19" t="str">
        <x:v>其他/配置</x:v>
      </x:c>
      <x:c r="H2670" s="19" t="str">
        <x:v>D:/Codex/GRL研究/outputs/grid55b/GRID55B_report.md</x:v>
      </x:c>
    </x:row>
    <x:row r="2671" ht="36" customHeight="1">
      <x:c r="A2671" s="19" t="str">
        <x:v>GRID55B</x:v>
      </x:c>
      <x:c r="B2671" s="19" t="str">
        <x:v>GRID55B_report.md</x:v>
      </x:c>
      <x:c r="C2671" s="19" t="str">
        <x:v>2. GRID55 八个已暴露日期的旧新配对与共有缓存比较</x:v>
      </x:c>
      <x:c r="D2671" s="19" t="str">
        <x:v>方法=COMPRESSED_GNN0；对照=FULL</x:v>
      </x:c>
      <x:c r="E2671" s="19" t="str">
        <x:v>可比家族</x:v>
      </x:c>
      <x:c r="F2671" s="19" t="str">
        <x:v>8</x:v>
      </x:c>
      <x:c r="G2671" s="19" t="str">
        <x:v>其他/配置</x:v>
      </x:c>
      <x:c r="H2671" s="19" t="str">
        <x:v>D:/Codex/GRL研究/outputs/grid55b/GRID55B_report.md</x:v>
      </x:c>
    </x:row>
    <x:row r="2672" ht="36" customHeight="1">
      <x:c r="A2672" s="19" t="str">
        <x:v>GRID55B</x:v>
      </x:c>
      <x:c r="B2672" s="19" t="str">
        <x:v>GRID55B_report.md</x:v>
      </x:c>
      <x:c r="C2672" s="19" t="str">
        <x:v>2. GRID55 八个已暴露日期的旧新配对与共有缓存比较</x:v>
      </x:c>
      <x:c r="D2672" s="19" t="str">
        <x:v>方法=COMPRESSED_GNN0；对照=FULL</x:v>
      </x:c>
      <x:c r="E2672" s="19" t="str">
        <x:v>宏平均提速</x:v>
      </x:c>
      <x:c r="F2672" s="19" t="str">
        <x:v>15.438%</x:v>
      </x:c>
      <x:c r="G2672" s="19" t="str">
        <x:v>速度/计算</x:v>
      </x:c>
      <x:c r="H2672" s="19" t="str">
        <x:v>D:/Codex/GRL研究/outputs/grid55b/GRID55B_report.md</x:v>
      </x:c>
    </x:row>
    <x:row r="2673" ht="36" customHeight="1">
      <x:c r="A2673" s="19" t="str">
        <x:v>GRID55B</x:v>
      </x:c>
      <x:c r="B2673" s="19" t="str">
        <x:v>GRID55B_report.md</x:v>
      </x:c>
      <x:c r="C2673" s="19" t="str">
        <x:v>2. GRID55 八个已暴露日期的旧新配对与共有缓存比较</x:v>
      </x:c>
      <x:c r="D2673" s="19" t="str">
        <x:v>方法=COMPRESSED_GNN0；对照=FULL</x:v>
      </x:c>
      <x:c r="E2673" s="19" t="str">
        <x:v>家族bootstrap95%</x:v>
      </x:c>
      <x:c r="F2673" s="19" t="str">
        <x:v>[7.954%, 23.380%]</x:v>
      </x:c>
      <x:c r="G2673" s="19" t="str">
        <x:v>速度/计算</x:v>
      </x:c>
      <x:c r="H2673" s="19" t="str">
        <x:v>D:/Codex/GRL研究/outputs/grid55b/GRID55B_report.md</x:v>
      </x:c>
    </x:row>
    <x:row r="2674" ht="36" customHeight="1">
      <x:c r="A2674" s="19" t="str">
        <x:v>GRID55B</x:v>
      </x:c>
      <x:c r="B2674" s="19" t="str">
        <x:v>GRID55B_report.md</x:v>
      </x:c>
      <x:c r="C2674" s="19" t="str">
        <x:v>2. GRID55 八个已暴露日期的旧新配对与共有缓存比较</x:v>
      </x:c>
      <x:c r="D2674" s="19" t="str">
        <x:v>方法=COMPRESSED_GNN0；对照=FULL</x:v>
      </x:c>
      <x:c r="E2674" s="19" t="str">
        <x:v>时间正向家族</x:v>
      </x:c>
      <x:c r="F2674" s="19" t="str">
        <x:v>7</x:v>
      </x:c>
      <x:c r="G2674" s="19" t="str">
        <x:v>速度/计算</x:v>
      </x:c>
      <x:c r="H2674" s="19" t="str">
        <x:v>D:/Codex/GRL研究/outputs/grid55b/GRID55B_report.md</x:v>
      </x:c>
    </x:row>
    <x:row r="2675" ht="36" customHeight="1">
      <x:c r="A2675" s="19" t="str">
        <x:v>GRID55B</x:v>
      </x:c>
      <x:c r="B2675" s="19" t="str">
        <x:v>GRID55B_report.md</x:v>
      </x:c>
      <x:c r="C2675" s="19" t="str">
        <x:v>2. GRID55 八个已暴露日期的旧新配对与共有缓存比较</x:v>
      </x:c>
      <x:c r="D2675" s="19" t="str">
        <x:v>方法=COMPRESSED_GNN1；对照=FULL</x:v>
      </x:c>
      <x:c r="E2675" s="19" t="str">
        <x:v>对照</x:v>
      </x:c>
      <x:c r="F2675" s="19" t="str">
        <x:v>FULL</x:v>
      </x:c>
      <x:c r="G2675" s="19" t="str">
        <x:v>其他/配置</x:v>
      </x:c>
      <x:c r="H2675" s="19" t="str">
        <x:v>D:/Codex/GRL研究/outputs/grid55b/GRID55B_report.md</x:v>
      </x:c>
    </x:row>
    <x:row r="2676" ht="36" customHeight="1">
      <x:c r="A2676" s="19" t="str">
        <x:v>GRID55B</x:v>
      </x:c>
      <x:c r="B2676" s="19" t="str">
        <x:v>GRID55B_report.md</x:v>
      </x:c>
      <x:c r="C2676" s="19" t="str">
        <x:v>2. GRID55 八个已暴露日期的旧新配对与共有缓存比较</x:v>
      </x:c>
      <x:c r="D2676" s="19" t="str">
        <x:v>方法=COMPRESSED_GNN1；对照=FULL</x:v>
      </x:c>
      <x:c r="E2676" s="19" t="str">
        <x:v>可比家族</x:v>
      </x:c>
      <x:c r="F2676" s="19" t="str">
        <x:v>8</x:v>
      </x:c>
      <x:c r="G2676" s="19" t="str">
        <x:v>其他/配置</x:v>
      </x:c>
      <x:c r="H2676" s="19" t="str">
        <x:v>D:/Codex/GRL研究/outputs/grid55b/GRID55B_report.md</x:v>
      </x:c>
    </x:row>
    <x:row r="2677" ht="36" customHeight="1">
      <x:c r="A2677" s="19" t="str">
        <x:v>GRID55B</x:v>
      </x:c>
      <x:c r="B2677" s="19" t="str">
        <x:v>GRID55B_report.md</x:v>
      </x:c>
      <x:c r="C2677" s="19" t="str">
        <x:v>2. GRID55 八个已暴露日期的旧新配对与共有缓存比较</x:v>
      </x:c>
      <x:c r="D2677" s="19" t="str">
        <x:v>方法=COMPRESSED_GNN1；对照=FULL</x:v>
      </x:c>
      <x:c r="E2677" s="19" t="str">
        <x:v>宏平均提速</x:v>
      </x:c>
      <x:c r="F2677" s="19" t="str">
        <x:v>16.065%</x:v>
      </x:c>
      <x:c r="G2677" s="19" t="str">
        <x:v>速度/计算</x:v>
      </x:c>
      <x:c r="H2677" s="19" t="str">
        <x:v>D:/Codex/GRL研究/outputs/grid55b/GRID55B_report.md</x:v>
      </x:c>
    </x:row>
    <x:row r="2678" ht="36" customHeight="1">
      <x:c r="A2678" s="19" t="str">
        <x:v>GRID55B</x:v>
      </x:c>
      <x:c r="B2678" s="19" t="str">
        <x:v>GRID55B_report.md</x:v>
      </x:c>
      <x:c r="C2678" s="19" t="str">
        <x:v>2. GRID55 八个已暴露日期的旧新配对与共有缓存比较</x:v>
      </x:c>
      <x:c r="D2678" s="19" t="str">
        <x:v>方法=COMPRESSED_GNN1；对照=FULL</x:v>
      </x:c>
      <x:c r="E2678" s="19" t="str">
        <x:v>家族bootstrap95%</x:v>
      </x:c>
      <x:c r="F2678" s="19" t="str">
        <x:v>[8.559%, 23.893%]</x:v>
      </x:c>
      <x:c r="G2678" s="19" t="str">
        <x:v>速度/计算</x:v>
      </x:c>
      <x:c r="H2678" s="19" t="str">
        <x:v>D:/Codex/GRL研究/outputs/grid55b/GRID55B_report.md</x:v>
      </x:c>
    </x:row>
    <x:row r="2679" ht="36" customHeight="1">
      <x:c r="A2679" s="19" t="str">
        <x:v>GRID55B</x:v>
      </x:c>
      <x:c r="B2679" s="19" t="str">
        <x:v>GRID55B_report.md</x:v>
      </x:c>
      <x:c r="C2679" s="19" t="str">
        <x:v>2. GRID55 八个已暴露日期的旧新配对与共有缓存比较</x:v>
      </x:c>
      <x:c r="D2679" s="19" t="str">
        <x:v>方法=COMPRESSED_GNN1；对照=FULL</x:v>
      </x:c>
      <x:c r="E2679" s="19" t="str">
        <x:v>时间正向家族</x:v>
      </x:c>
      <x:c r="F2679" s="19" t="str">
        <x:v>7</x:v>
      </x:c>
      <x:c r="G2679" s="19" t="str">
        <x:v>速度/计算</x:v>
      </x:c>
      <x:c r="H2679" s="19" t="str">
        <x:v>D:/Codex/GRL研究/outputs/grid55b/GRID55B_report.md</x:v>
      </x:c>
    </x:row>
    <x:row r="2680" ht="36" customHeight="1">
      <x:c r="A2680" s="19" t="str">
        <x:v>GRID55B</x:v>
      </x:c>
      <x:c r="B2680" s="19" t="str">
        <x:v>GRID55B_report.md</x:v>
      </x:c>
      <x:c r="C2680" s="19" t="str">
        <x:v>2. GRID55 八个已暴露日期的旧新配对与共有缓存比较</x:v>
      </x:c>
      <x:c r="D2680" s="19" t="str">
        <x:v>方法=LOCAL_GNN0；对照=FULL</x:v>
      </x:c>
      <x:c r="E2680" s="19" t="str">
        <x:v>对照</x:v>
      </x:c>
      <x:c r="F2680" s="19" t="str">
        <x:v>FULL</x:v>
      </x:c>
      <x:c r="G2680" s="19" t="str">
        <x:v>其他/配置</x:v>
      </x:c>
      <x:c r="H2680" s="19" t="str">
        <x:v>D:/Codex/GRL研究/outputs/grid55b/GRID55B_report.md</x:v>
      </x:c>
    </x:row>
    <x:row r="2681" ht="36" customHeight="1">
      <x:c r="A2681" s="19" t="str">
        <x:v>GRID55B</x:v>
      </x:c>
      <x:c r="B2681" s="19" t="str">
        <x:v>GRID55B_report.md</x:v>
      </x:c>
      <x:c r="C2681" s="19" t="str">
        <x:v>2. GRID55 八个已暴露日期的旧新配对与共有缓存比较</x:v>
      </x:c>
      <x:c r="D2681" s="19" t="str">
        <x:v>方法=LOCAL_GNN0；对照=FULL</x:v>
      </x:c>
      <x:c r="E2681" s="19" t="str">
        <x:v>可比家族</x:v>
      </x:c>
      <x:c r="F2681" s="19" t="str">
        <x:v>8</x:v>
      </x:c>
      <x:c r="G2681" s="19" t="str">
        <x:v>其他/配置</x:v>
      </x:c>
      <x:c r="H2681" s="19" t="str">
        <x:v>D:/Codex/GRL研究/outputs/grid55b/GRID55B_report.md</x:v>
      </x:c>
    </x:row>
    <x:row r="2682" ht="36" customHeight="1">
      <x:c r="A2682" s="19" t="str">
        <x:v>GRID55B</x:v>
      </x:c>
      <x:c r="B2682" s="19" t="str">
        <x:v>GRID55B_report.md</x:v>
      </x:c>
      <x:c r="C2682" s="19" t="str">
        <x:v>2. GRID55 八个已暴露日期的旧新配对与共有缓存比较</x:v>
      </x:c>
      <x:c r="D2682" s="19" t="str">
        <x:v>方法=LOCAL_GNN0；对照=FULL</x:v>
      </x:c>
      <x:c r="E2682" s="19" t="str">
        <x:v>宏平均提速</x:v>
      </x:c>
      <x:c r="F2682" s="19" t="str">
        <x:v>18.336%</x:v>
      </x:c>
      <x:c r="G2682" s="19" t="str">
        <x:v>速度/计算</x:v>
      </x:c>
      <x:c r="H2682" s="19" t="str">
        <x:v>D:/Codex/GRL研究/outputs/grid55b/GRID55B_report.md</x:v>
      </x:c>
    </x:row>
    <x:row r="2683" ht="36" customHeight="1">
      <x:c r="A2683" s="19" t="str">
        <x:v>GRID55B</x:v>
      </x:c>
      <x:c r="B2683" s="19" t="str">
        <x:v>GRID55B_report.md</x:v>
      </x:c>
      <x:c r="C2683" s="19" t="str">
        <x:v>2. GRID55 八个已暴露日期的旧新配对与共有缓存比较</x:v>
      </x:c>
      <x:c r="D2683" s="19" t="str">
        <x:v>方法=LOCAL_GNN0；对照=FULL</x:v>
      </x:c>
      <x:c r="E2683" s="19" t="str">
        <x:v>家族bootstrap95%</x:v>
      </x:c>
      <x:c r="F2683" s="19" t="str">
        <x:v>[10.256%, 26.381%]</x:v>
      </x:c>
      <x:c r="G2683" s="19" t="str">
        <x:v>速度/计算</x:v>
      </x:c>
      <x:c r="H2683" s="19" t="str">
        <x:v>D:/Codex/GRL研究/outputs/grid55b/GRID55B_report.md</x:v>
      </x:c>
    </x:row>
    <x:row r="2684" ht="36" customHeight="1">
      <x:c r="A2684" s="19" t="str">
        <x:v>GRID55B</x:v>
      </x:c>
      <x:c r="B2684" s="19" t="str">
        <x:v>GRID55B_report.md</x:v>
      </x:c>
      <x:c r="C2684" s="19" t="str">
        <x:v>2. GRID55 八个已暴露日期的旧新配对与共有缓存比较</x:v>
      </x:c>
      <x:c r="D2684" s="19" t="str">
        <x:v>方法=LOCAL_GNN0；对照=FULL</x:v>
      </x:c>
      <x:c r="E2684" s="19" t="str">
        <x:v>时间正向家族</x:v>
      </x:c>
      <x:c r="F2684" s="19" t="str">
        <x:v>7</x:v>
      </x:c>
      <x:c r="G2684" s="19" t="str">
        <x:v>速度/计算</x:v>
      </x:c>
      <x:c r="H2684" s="19" t="str">
        <x:v>D:/Codex/GRL研究/outputs/grid55b/GRID55B_report.md</x:v>
      </x:c>
    </x:row>
    <x:row r="2685" ht="36" customHeight="1">
      <x:c r="A2685" s="19" t="str">
        <x:v>GRID55B</x:v>
      </x:c>
      <x:c r="B2685" s="19" t="str">
        <x:v>GRID55B_report.md</x:v>
      </x:c>
      <x:c r="C2685" s="19" t="str">
        <x:v>2. GRID55 八个已暴露日期的旧新配对与共有缓存比较</x:v>
      </x:c>
      <x:c r="D2685" s="19" t="str">
        <x:v>方法=LOCAL_GNN1；对照=FULL</x:v>
      </x:c>
      <x:c r="E2685" s="19" t="str">
        <x:v>对照</x:v>
      </x:c>
      <x:c r="F2685" s="19" t="str">
        <x:v>FULL</x:v>
      </x:c>
      <x:c r="G2685" s="19" t="str">
        <x:v>其他/配置</x:v>
      </x:c>
      <x:c r="H2685" s="19" t="str">
        <x:v>D:/Codex/GRL研究/outputs/grid55b/GRID55B_report.md</x:v>
      </x:c>
    </x:row>
    <x:row r="2686" ht="36" customHeight="1">
      <x:c r="A2686" s="19" t="str">
        <x:v>GRID55B</x:v>
      </x:c>
      <x:c r="B2686" s="19" t="str">
        <x:v>GRID55B_report.md</x:v>
      </x:c>
      <x:c r="C2686" s="19" t="str">
        <x:v>2. GRID55 八个已暴露日期的旧新配对与共有缓存比较</x:v>
      </x:c>
      <x:c r="D2686" s="19" t="str">
        <x:v>方法=LOCAL_GNN1；对照=FULL</x:v>
      </x:c>
      <x:c r="E2686" s="19" t="str">
        <x:v>可比家族</x:v>
      </x:c>
      <x:c r="F2686" s="19" t="str">
        <x:v>8</x:v>
      </x:c>
      <x:c r="G2686" s="19" t="str">
        <x:v>其他/配置</x:v>
      </x:c>
      <x:c r="H2686" s="19" t="str">
        <x:v>D:/Codex/GRL研究/outputs/grid55b/GRID55B_report.md</x:v>
      </x:c>
    </x:row>
    <x:row r="2687" ht="36" customHeight="1">
      <x:c r="A2687" s="19" t="str">
        <x:v>GRID55B</x:v>
      </x:c>
      <x:c r="B2687" s="19" t="str">
        <x:v>GRID55B_report.md</x:v>
      </x:c>
      <x:c r="C2687" s="19" t="str">
        <x:v>2. GRID55 八个已暴露日期的旧新配对与共有缓存比较</x:v>
      </x:c>
      <x:c r="D2687" s="19" t="str">
        <x:v>方法=LOCAL_GNN1；对照=FULL</x:v>
      </x:c>
      <x:c r="E2687" s="19" t="str">
        <x:v>宏平均提速</x:v>
      </x:c>
      <x:c r="F2687" s="19" t="str">
        <x:v>18.429%</x:v>
      </x:c>
      <x:c r="G2687" s="19" t="str">
        <x:v>速度/计算</x:v>
      </x:c>
      <x:c r="H2687" s="19" t="str">
        <x:v>D:/Codex/GRL研究/outputs/grid55b/GRID55B_report.md</x:v>
      </x:c>
    </x:row>
    <x:row r="2688" ht="36" customHeight="1">
      <x:c r="A2688" s="19" t="str">
        <x:v>GRID55B</x:v>
      </x:c>
      <x:c r="B2688" s="19" t="str">
        <x:v>GRID55B_report.md</x:v>
      </x:c>
      <x:c r="C2688" s="19" t="str">
        <x:v>2. GRID55 八个已暴露日期的旧新配对与共有缓存比较</x:v>
      </x:c>
      <x:c r="D2688" s="19" t="str">
        <x:v>方法=LOCAL_GNN1；对照=FULL</x:v>
      </x:c>
      <x:c r="E2688" s="19" t="str">
        <x:v>家族bootstrap95%</x:v>
      </x:c>
      <x:c r="F2688" s="19" t="str">
        <x:v>[10.550%, 26.269%]</x:v>
      </x:c>
      <x:c r="G2688" s="19" t="str">
        <x:v>速度/计算</x:v>
      </x:c>
      <x:c r="H2688" s="19" t="str">
        <x:v>D:/Codex/GRL研究/outputs/grid55b/GRID55B_report.md</x:v>
      </x:c>
    </x:row>
    <x:row r="2689" ht="36" customHeight="1">
      <x:c r="A2689" s="19" t="str">
        <x:v>GRID55B</x:v>
      </x:c>
      <x:c r="B2689" s="19" t="str">
        <x:v>GRID55B_report.md</x:v>
      </x:c>
      <x:c r="C2689" s="19" t="str">
        <x:v>2. GRID55 八个已暴露日期的旧新配对与共有缓存比较</x:v>
      </x:c>
      <x:c r="D2689" s="19" t="str">
        <x:v>方法=LOCAL_GNN1；对照=FULL</x:v>
      </x:c>
      <x:c r="E2689" s="19" t="str">
        <x:v>时间正向家族</x:v>
      </x:c>
      <x:c r="F2689" s="19" t="str">
        <x:v>7</x:v>
      </x:c>
      <x:c r="G2689" s="19" t="str">
        <x:v>速度/计算</x:v>
      </x:c>
      <x:c r="H2689" s="19" t="str">
        <x:v>D:/Codex/GRL研究/outputs/grid55b/GRID55B_report.md</x:v>
      </x:c>
    </x:row>
    <x:row r="2690" ht="36" customHeight="1">
      <x:c r="A2690" s="19" t="str">
        <x:v>GRID55B</x:v>
      </x:c>
      <x:c r="B2690" s="19" t="str">
        <x:v>GRID55B_report.md</x:v>
      </x:c>
      <x:c r="C2690" s="19" t="str">
        <x:v>2. GRID55 八个已暴露日期的旧新配对与共有缓存比较</x:v>
      </x:c>
      <x:c r="D2690" s="19" t="str">
        <x:v>方法=LOCAL_GNN0；对照=LOCAL_PPO</x:v>
      </x:c>
      <x:c r="E2690" s="19" t="str">
        <x:v>对照</x:v>
      </x:c>
      <x:c r="F2690" s="19" t="str">
        <x:v>LOCAL_PPO</x:v>
      </x:c>
      <x:c r="G2690" s="19" t="str">
        <x:v>其他/配置</x:v>
      </x:c>
      <x:c r="H2690" s="19" t="str">
        <x:v>D:/Codex/GRL研究/outputs/grid55b/GRID55B_report.md</x:v>
      </x:c>
    </x:row>
    <x:row r="2691" ht="36" customHeight="1">
      <x:c r="A2691" s="19" t="str">
        <x:v>GRID55B</x:v>
      </x:c>
      <x:c r="B2691" s="19" t="str">
        <x:v>GRID55B_report.md</x:v>
      </x:c>
      <x:c r="C2691" s="19" t="str">
        <x:v>2. GRID55 八个已暴露日期的旧新配对与共有缓存比较</x:v>
      </x:c>
      <x:c r="D2691" s="19" t="str">
        <x:v>方法=LOCAL_GNN0；对照=LOCAL_PPO</x:v>
      </x:c>
      <x:c r="E2691" s="19" t="str">
        <x:v>可比家族</x:v>
      </x:c>
      <x:c r="F2691" s="19" t="str">
        <x:v>8</x:v>
      </x:c>
      <x:c r="G2691" s="19" t="str">
        <x:v>其他/配置</x:v>
      </x:c>
      <x:c r="H2691" s="19" t="str">
        <x:v>D:/Codex/GRL研究/outputs/grid55b/GRID55B_report.md</x:v>
      </x:c>
    </x:row>
    <x:row r="2692" ht="36" customHeight="1">
      <x:c r="A2692" s="19" t="str">
        <x:v>GRID55B</x:v>
      </x:c>
      <x:c r="B2692" s="19" t="str">
        <x:v>GRID55B_report.md</x:v>
      </x:c>
      <x:c r="C2692" s="19" t="str">
        <x:v>2. GRID55 八个已暴露日期的旧新配对与共有缓存比较</x:v>
      </x:c>
      <x:c r="D2692" s="19" t="str">
        <x:v>方法=LOCAL_GNN0；对照=LOCAL_PPO</x:v>
      </x:c>
      <x:c r="E2692" s="19" t="str">
        <x:v>宏平均提速</x:v>
      </x:c>
      <x:c r="F2692" s="19" t="str">
        <x:v>0.357%</x:v>
      </x:c>
      <x:c r="G2692" s="19" t="str">
        <x:v>速度/计算</x:v>
      </x:c>
      <x:c r="H2692" s="19" t="str">
        <x:v>D:/Codex/GRL研究/outputs/grid55b/GRID55B_report.md</x:v>
      </x:c>
    </x:row>
    <x:row r="2693" ht="36" customHeight="1">
      <x:c r="A2693" s="19" t="str">
        <x:v>GRID55B</x:v>
      </x:c>
      <x:c r="B2693" s="19" t="str">
        <x:v>GRID55B_report.md</x:v>
      </x:c>
      <x:c r="C2693" s="19" t="str">
        <x:v>2. GRID55 八个已暴露日期的旧新配对与共有缓存比较</x:v>
      </x:c>
      <x:c r="D2693" s="19" t="str">
        <x:v>方法=LOCAL_GNN0；对照=LOCAL_PPO</x:v>
      </x:c>
      <x:c r="E2693" s="19" t="str">
        <x:v>家族bootstrap95%</x:v>
      </x:c>
      <x:c r="F2693" s="19" t="str">
        <x:v>[-2.051%, 1.978%]</x:v>
      </x:c>
      <x:c r="G2693" s="19" t="str">
        <x:v>速度/计算</x:v>
      </x:c>
      <x:c r="H2693" s="19" t="str">
        <x:v>D:/Codex/GRL研究/outputs/grid55b/GRID55B_report.md</x:v>
      </x:c>
    </x:row>
    <x:row r="2694" ht="36" customHeight="1">
      <x:c r="A2694" s="19" t="str">
        <x:v>GRID55B</x:v>
      </x:c>
      <x:c r="B2694" s="19" t="str">
        <x:v>GRID55B_report.md</x:v>
      </x:c>
      <x:c r="C2694" s="19" t="str">
        <x:v>2. GRID55 八个已暴露日期的旧新配对与共有缓存比较</x:v>
      </x:c>
      <x:c r="D2694" s="19" t="str">
        <x:v>方法=LOCAL_GNN0；对照=LOCAL_PPO</x:v>
      </x:c>
      <x:c r="E2694" s="19" t="str">
        <x:v>时间正向家族</x:v>
      </x:c>
      <x:c r="F2694" s="19" t="str">
        <x:v>6</x:v>
      </x:c>
      <x:c r="G2694" s="19" t="str">
        <x:v>速度/计算</x:v>
      </x:c>
      <x:c r="H2694" s="19" t="str">
        <x:v>D:/Codex/GRL研究/outputs/grid55b/GRID55B_report.md</x:v>
      </x:c>
    </x:row>
    <x:row r="2695" ht="36" customHeight="1">
      <x:c r="A2695" s="19" t="str">
        <x:v>GRID55B</x:v>
      </x:c>
      <x:c r="B2695" s="19" t="str">
        <x:v>GRID55B_report.md</x:v>
      </x:c>
      <x:c r="C2695" s="19" t="str">
        <x:v>2. GRID55 八个已暴露日期的旧新配对与共有缓存比较</x:v>
      </x:c>
      <x:c r="D2695" s="19" t="str">
        <x:v>方法=LOCAL_GNN0；对照=SOFTGNN0</x:v>
      </x:c>
      <x:c r="E2695" s="19" t="str">
        <x:v>对照</x:v>
      </x:c>
      <x:c r="F2695" s="19" t="str">
        <x:v>SOFTGNN0</x:v>
      </x:c>
      <x:c r="G2695" s="19" t="str">
        <x:v>其他/配置</x:v>
      </x:c>
      <x:c r="H2695" s="19" t="str">
        <x:v>D:/Codex/GRL研究/outputs/grid55b/GRID55B_report.md</x:v>
      </x:c>
    </x:row>
    <x:row r="2696" ht="36" customHeight="1">
      <x:c r="A2696" s="19" t="str">
        <x:v>GRID55B</x:v>
      </x:c>
      <x:c r="B2696" s="19" t="str">
        <x:v>GRID55B_report.md</x:v>
      </x:c>
      <x:c r="C2696" s="19" t="str">
        <x:v>2. GRID55 八个已暴露日期的旧新配对与共有缓存比较</x:v>
      </x:c>
      <x:c r="D2696" s="19" t="str">
        <x:v>方法=LOCAL_GNN0；对照=SOFTGNN0</x:v>
      </x:c>
      <x:c r="E2696" s="19" t="str">
        <x:v>可比家族</x:v>
      </x:c>
      <x:c r="F2696" s="19" t="str">
        <x:v>8</x:v>
      </x:c>
      <x:c r="G2696" s="19" t="str">
        <x:v>其他/配置</x:v>
      </x:c>
      <x:c r="H2696" s="19" t="str">
        <x:v>D:/Codex/GRL研究/outputs/grid55b/GRID55B_report.md</x:v>
      </x:c>
    </x:row>
    <x:row r="2697" ht="36" customHeight="1">
      <x:c r="A2697" s="19" t="str">
        <x:v>GRID55B</x:v>
      </x:c>
      <x:c r="B2697" s="19" t="str">
        <x:v>GRID55B_report.md</x:v>
      </x:c>
      <x:c r="C2697" s="19" t="str">
        <x:v>2. GRID55 八个已暴露日期的旧新配对与共有缓存比较</x:v>
      </x:c>
      <x:c r="D2697" s="19" t="str">
        <x:v>方法=LOCAL_GNN0；对照=SOFTGNN0</x:v>
      </x:c>
      <x:c r="E2697" s="19" t="str">
        <x:v>宏平均提速</x:v>
      </x:c>
      <x:c r="F2697" s="19" t="str">
        <x:v>1.961%</x:v>
      </x:c>
      <x:c r="G2697" s="19" t="str">
        <x:v>速度/计算</x:v>
      </x:c>
      <x:c r="H2697" s="19" t="str">
        <x:v>D:/Codex/GRL研究/outputs/grid55b/GRID55B_report.md</x:v>
      </x:c>
    </x:row>
    <x:row r="2698" ht="36" customHeight="1">
      <x:c r="A2698" s="19" t="str">
        <x:v>GRID55B</x:v>
      </x:c>
      <x:c r="B2698" s="19" t="str">
        <x:v>GRID55B_report.md</x:v>
      </x:c>
      <x:c r="C2698" s="19" t="str">
        <x:v>2. GRID55 八个已暴露日期的旧新配对与共有缓存比较</x:v>
      </x:c>
      <x:c r="D2698" s="19" t="str">
        <x:v>方法=LOCAL_GNN0；对照=SOFTGNN0</x:v>
      </x:c>
      <x:c r="E2698" s="19" t="str">
        <x:v>家族bootstrap95%</x:v>
      </x:c>
      <x:c r="F2698" s="19" t="str">
        <x:v>[-0.776%, 5.220%]</x:v>
      </x:c>
      <x:c r="G2698" s="19" t="str">
        <x:v>速度/计算</x:v>
      </x:c>
      <x:c r="H2698" s="19" t="str">
        <x:v>D:/Codex/GRL研究/outputs/grid55b/GRID55B_report.md</x:v>
      </x:c>
    </x:row>
    <x:row r="2699" ht="36" customHeight="1">
      <x:c r="A2699" s="19" t="str">
        <x:v>GRID55B</x:v>
      </x:c>
      <x:c r="B2699" s="19" t="str">
        <x:v>GRID55B_report.md</x:v>
      </x:c>
      <x:c r="C2699" s="19" t="str">
        <x:v>2. GRID55 八个已暴露日期的旧新配对与共有缓存比较</x:v>
      </x:c>
      <x:c r="D2699" s="19" t="str">
        <x:v>方法=LOCAL_GNN0；对照=SOFTGNN0</x:v>
      </x:c>
      <x:c r="E2699" s="19" t="str">
        <x:v>时间正向家族</x:v>
      </x:c>
      <x:c r="F2699" s="19" t="str">
        <x:v>5</x:v>
      </x:c>
      <x:c r="G2699" s="19" t="str">
        <x:v>速度/计算</x:v>
      </x:c>
      <x:c r="H2699" s="19" t="str">
        <x:v>D:/Codex/GRL研究/outputs/grid55b/GRID55B_report.md</x:v>
      </x:c>
    </x:row>
    <x:row r="2700" ht="36" customHeight="1">
      <x:c r="A2700" s="19" t="str">
        <x:v>GRID55B</x:v>
      </x:c>
      <x:c r="B2700" s="19" t="str">
        <x:v>GRID55B_report.md</x:v>
      </x:c>
      <x:c r="C2700" s="19" t="str">
        <x:v>2. GRID55 八个已暴露日期的旧新配对与共有缓存比较</x:v>
      </x:c>
      <x:c r="D2700" s="19" t="str">
        <x:v>方法=LOCAL_GNN0；对照=SOFTGNN1</x:v>
      </x:c>
      <x:c r="E2700" s="19" t="str">
        <x:v>对照</x:v>
      </x:c>
      <x:c r="F2700" s="19" t="str">
        <x:v>SOFTGNN1</x:v>
      </x:c>
      <x:c r="G2700" s="19" t="str">
        <x:v>其他/配置</x:v>
      </x:c>
      <x:c r="H2700" s="19" t="str">
        <x:v>D:/Codex/GRL研究/outputs/grid55b/GRID55B_report.md</x:v>
      </x:c>
    </x:row>
    <x:row r="2701" ht="36" customHeight="1">
      <x:c r="A2701" s="19" t="str">
        <x:v>GRID55B</x:v>
      </x:c>
      <x:c r="B2701" s="19" t="str">
        <x:v>GRID55B_report.md</x:v>
      </x:c>
      <x:c r="C2701" s="19" t="str">
        <x:v>2. GRID55 八个已暴露日期的旧新配对与共有缓存比较</x:v>
      </x:c>
      <x:c r="D2701" s="19" t="str">
        <x:v>方法=LOCAL_GNN0；对照=SOFTGNN1</x:v>
      </x:c>
      <x:c r="E2701" s="19" t="str">
        <x:v>可比家族</x:v>
      </x:c>
      <x:c r="F2701" s="19" t="str">
        <x:v>8</x:v>
      </x:c>
      <x:c r="G2701" s="19" t="str">
        <x:v>其他/配置</x:v>
      </x:c>
      <x:c r="H2701" s="19" t="str">
        <x:v>D:/Codex/GRL研究/outputs/grid55b/GRID55B_report.md</x:v>
      </x:c>
    </x:row>
    <x:row r="2702" ht="36" customHeight="1">
      <x:c r="A2702" s="19" t="str">
        <x:v>GRID55B</x:v>
      </x:c>
      <x:c r="B2702" s="19" t="str">
        <x:v>GRID55B_report.md</x:v>
      </x:c>
      <x:c r="C2702" s="19" t="str">
        <x:v>2. GRID55 八个已暴露日期的旧新配对与共有缓存比较</x:v>
      </x:c>
      <x:c r="D2702" s="19" t="str">
        <x:v>方法=LOCAL_GNN0；对照=SOFTGNN1</x:v>
      </x:c>
      <x:c r="E2702" s="19" t="str">
        <x:v>宏平均提速</x:v>
      </x:c>
      <x:c r="F2702" s="19" t="str">
        <x:v>1.604%</x:v>
      </x:c>
      <x:c r="G2702" s="19" t="str">
        <x:v>速度/计算</x:v>
      </x:c>
      <x:c r="H2702" s="19" t="str">
        <x:v>D:/Codex/GRL研究/outputs/grid55b/GRID55B_report.md</x:v>
      </x:c>
    </x:row>
    <x:row r="2703" ht="36" customHeight="1">
      <x:c r="A2703" s="19" t="str">
        <x:v>GRID55B</x:v>
      </x:c>
      <x:c r="B2703" s="19" t="str">
        <x:v>GRID55B_report.md</x:v>
      </x:c>
      <x:c r="C2703" s="19" t="str">
        <x:v>2. GRID55 八个已暴露日期的旧新配对与共有缓存比较</x:v>
      </x:c>
      <x:c r="D2703" s="19" t="str">
        <x:v>方法=LOCAL_GNN0；对照=SOFTGNN1</x:v>
      </x:c>
      <x:c r="E2703" s="19" t="str">
        <x:v>家族bootstrap95%</x:v>
      </x:c>
      <x:c r="F2703" s="19" t="str">
        <x:v>[-1.439%, 5.685%]</x:v>
      </x:c>
      <x:c r="G2703" s="19" t="str">
        <x:v>速度/计算</x:v>
      </x:c>
      <x:c r="H2703" s="19" t="str">
        <x:v>D:/Codex/GRL研究/outputs/grid55b/GRID55B_report.md</x:v>
      </x:c>
    </x:row>
    <x:row r="2704" ht="36" customHeight="1">
      <x:c r="A2704" s="19" t="str">
        <x:v>GRID55B</x:v>
      </x:c>
      <x:c r="B2704" s="19" t="str">
        <x:v>GRID55B_report.md</x:v>
      </x:c>
      <x:c r="C2704" s="19" t="str">
        <x:v>2. GRID55 八个已暴露日期的旧新配对与共有缓存比较</x:v>
      </x:c>
      <x:c r="D2704" s="19" t="str">
        <x:v>方法=LOCAL_GNN0；对照=SOFTGNN1</x:v>
      </x:c>
      <x:c r="E2704" s="19" t="str">
        <x:v>时间正向家族</x:v>
      </x:c>
      <x:c r="F2704" s="19" t="str">
        <x:v>6</x:v>
      </x:c>
      <x:c r="G2704" s="19" t="str">
        <x:v>速度/计算</x:v>
      </x:c>
      <x:c r="H2704" s="19" t="str">
        <x:v>D:/Codex/GRL研究/outputs/grid55b/GRID55B_report.md</x:v>
      </x:c>
    </x:row>
    <x:row r="2705" ht="36" customHeight="1">
      <x:c r="A2705" s="19" t="str">
        <x:v>GRID55B</x:v>
      </x:c>
      <x:c r="B2705" s="19" t="str">
        <x:v>GRID55B_report.md</x:v>
      </x:c>
      <x:c r="C2705" s="19" t="str">
        <x:v>2. GRID55 八个已暴露日期的旧新配对与共有缓存比较</x:v>
      </x:c>
      <x:c r="D2705" s="19" t="str">
        <x:v>方法=LOCAL_GNN1；对照=LOCAL_PPO</x:v>
      </x:c>
      <x:c r="E2705" s="19" t="str">
        <x:v>对照</x:v>
      </x:c>
      <x:c r="F2705" s="19" t="str">
        <x:v>LOCAL_PPO</x:v>
      </x:c>
      <x:c r="G2705" s="19" t="str">
        <x:v>其他/配置</x:v>
      </x:c>
      <x:c r="H2705" s="19" t="str">
        <x:v>D:/Codex/GRL研究/outputs/grid55b/GRID55B_report.md</x:v>
      </x:c>
    </x:row>
    <x:row r="2706" ht="36" customHeight="1">
      <x:c r="A2706" s="19" t="str">
        <x:v>GRID55B</x:v>
      </x:c>
      <x:c r="B2706" s="19" t="str">
        <x:v>GRID55B_report.md</x:v>
      </x:c>
      <x:c r="C2706" s="19" t="str">
        <x:v>2. GRID55 八个已暴露日期的旧新配对与共有缓存比较</x:v>
      </x:c>
      <x:c r="D2706" s="19" t="str">
        <x:v>方法=LOCAL_GNN1；对照=LOCAL_PPO</x:v>
      </x:c>
      <x:c r="E2706" s="19" t="str">
        <x:v>可比家族</x:v>
      </x:c>
      <x:c r="F2706" s="19" t="str">
        <x:v>8</x:v>
      </x:c>
      <x:c r="G2706" s="19" t="str">
        <x:v>其他/配置</x:v>
      </x:c>
      <x:c r="H2706" s="19" t="str">
        <x:v>D:/Codex/GRL研究/outputs/grid55b/GRID55B_report.md</x:v>
      </x:c>
    </x:row>
    <x:row r="2707" ht="36" customHeight="1">
      <x:c r="A2707" s="19" t="str">
        <x:v>GRID55B</x:v>
      </x:c>
      <x:c r="B2707" s="19" t="str">
        <x:v>GRID55B_report.md</x:v>
      </x:c>
      <x:c r="C2707" s="19" t="str">
        <x:v>2. GRID55 八个已暴露日期的旧新配对与共有缓存比较</x:v>
      </x:c>
      <x:c r="D2707" s="19" t="str">
        <x:v>方法=LOCAL_GNN1；对照=LOCAL_PPO</x:v>
      </x:c>
      <x:c r="E2707" s="19" t="str">
        <x:v>宏平均提速</x:v>
      </x:c>
      <x:c r="F2707" s="19" t="str">
        <x:v>0.435%</x:v>
      </x:c>
      <x:c r="G2707" s="19" t="str">
        <x:v>速度/计算</x:v>
      </x:c>
      <x:c r="H2707" s="19" t="str">
        <x:v>D:/Codex/GRL研究/outputs/grid55b/GRID55B_report.md</x:v>
      </x:c>
    </x:row>
    <x:row r="2708" ht="36" customHeight="1">
      <x:c r="A2708" s="19" t="str">
        <x:v>GRID55B</x:v>
      </x:c>
      <x:c r="B2708" s="19" t="str">
        <x:v>GRID55B_report.md</x:v>
      </x:c>
      <x:c r="C2708" s="19" t="str">
        <x:v>2. GRID55 八个已暴露日期的旧新配对与共有缓存比较</x:v>
      </x:c>
      <x:c r="D2708" s="19" t="str">
        <x:v>方法=LOCAL_GNN1；对照=LOCAL_PPO</x:v>
      </x:c>
      <x:c r="E2708" s="19" t="str">
        <x:v>家族bootstrap95%</x:v>
      </x:c>
      <x:c r="F2708" s="19" t="str">
        <x:v>[-1.690%, 1.880%]</x:v>
      </x:c>
      <x:c r="G2708" s="19" t="str">
        <x:v>速度/计算</x:v>
      </x:c>
      <x:c r="H2708" s="19" t="str">
        <x:v>D:/Codex/GRL研究/outputs/grid55b/GRID55B_report.md</x:v>
      </x:c>
    </x:row>
    <x:row r="2709" ht="36" customHeight="1">
      <x:c r="A2709" s="19" t="str">
        <x:v>GRID55B</x:v>
      </x:c>
      <x:c r="B2709" s="19" t="str">
        <x:v>GRID55B_report.md</x:v>
      </x:c>
      <x:c r="C2709" s="19" t="str">
        <x:v>2. GRID55 八个已暴露日期的旧新配对与共有缓存比较</x:v>
      </x:c>
      <x:c r="D2709" s="19" t="str">
        <x:v>方法=LOCAL_GNN1；对照=LOCAL_PPO</x:v>
      </x:c>
      <x:c r="E2709" s="19" t="str">
        <x:v>时间正向家族</x:v>
      </x:c>
      <x:c r="F2709" s="19" t="str">
        <x:v>7</x:v>
      </x:c>
      <x:c r="G2709" s="19" t="str">
        <x:v>速度/计算</x:v>
      </x:c>
      <x:c r="H2709" s="19" t="str">
        <x:v>D:/Codex/GRL研究/outputs/grid55b/GRID55B_report.md</x:v>
      </x:c>
    </x:row>
    <x:row r="2710" ht="36" customHeight="1">
      <x:c r="A2710" s="19" t="str">
        <x:v>GRID55B</x:v>
      </x:c>
      <x:c r="B2710" s="19" t="str">
        <x:v>GRID55B_report.md</x:v>
      </x:c>
      <x:c r="C2710" s="19" t="str">
        <x:v>2. GRID55 八个已暴露日期的旧新配对与共有缓存比较</x:v>
      </x:c>
      <x:c r="D2710" s="19" t="str">
        <x:v>方法=LOCAL_GNN1；对照=SOFTGNN0</x:v>
      </x:c>
      <x:c r="E2710" s="19" t="str">
        <x:v>对照</x:v>
      </x:c>
      <x:c r="F2710" s="19" t="str">
        <x:v>SOFTGNN0</x:v>
      </x:c>
      <x:c r="G2710" s="19" t="str">
        <x:v>其他/配置</x:v>
      </x:c>
      <x:c r="H2710" s="19" t="str">
        <x:v>D:/Codex/GRL研究/outputs/grid55b/GRID55B_report.md</x:v>
      </x:c>
    </x:row>
    <x:row r="2711" ht="36" customHeight="1">
      <x:c r="A2711" s="19" t="str">
        <x:v>GRID55B</x:v>
      </x:c>
      <x:c r="B2711" s="19" t="str">
        <x:v>GRID55B_report.md</x:v>
      </x:c>
      <x:c r="C2711" s="19" t="str">
        <x:v>2. GRID55 八个已暴露日期的旧新配对与共有缓存比较</x:v>
      </x:c>
      <x:c r="D2711" s="19" t="str">
        <x:v>方法=LOCAL_GNN1；对照=SOFTGNN0</x:v>
      </x:c>
      <x:c r="E2711" s="19" t="str">
        <x:v>可比家族</x:v>
      </x:c>
      <x:c r="F2711" s="19" t="str">
        <x:v>8</x:v>
      </x:c>
      <x:c r="G2711" s="19" t="str">
        <x:v>其他/配置</x:v>
      </x:c>
      <x:c r="H2711" s="19" t="str">
        <x:v>D:/Codex/GRL研究/outputs/grid55b/GRID55B_report.md</x:v>
      </x:c>
    </x:row>
    <x:row r="2712" ht="36" customHeight="1">
      <x:c r="A2712" s="19" t="str">
        <x:v>GRID55B</x:v>
      </x:c>
      <x:c r="B2712" s="19" t="str">
        <x:v>GRID55B_report.md</x:v>
      </x:c>
      <x:c r="C2712" s="19" t="str">
        <x:v>2. GRID55 八个已暴露日期的旧新配对与共有缓存比较</x:v>
      </x:c>
      <x:c r="D2712" s="19" t="str">
        <x:v>方法=LOCAL_GNN1；对照=SOFTGNN0</x:v>
      </x:c>
      <x:c r="E2712" s="19" t="str">
        <x:v>宏平均提速</x:v>
      </x:c>
      <x:c r="F2712" s="19" t="str">
        <x:v>2.042%</x:v>
      </x:c>
      <x:c r="G2712" s="19" t="str">
        <x:v>速度/计算</x:v>
      </x:c>
      <x:c r="H2712" s="19" t="str">
        <x:v>D:/Codex/GRL研究/outputs/grid55b/GRID55B_report.md</x:v>
      </x:c>
    </x:row>
    <x:row r="2713" ht="36" customHeight="1">
      <x:c r="A2713" s="19" t="str">
        <x:v>GRID55B</x:v>
      </x:c>
      <x:c r="B2713" s="19" t="str">
        <x:v>GRID55B_report.md</x:v>
      </x:c>
      <x:c r="C2713" s="19" t="str">
        <x:v>2. GRID55 八个已暴露日期的旧新配对与共有缓存比较</x:v>
      </x:c>
      <x:c r="D2713" s="19" t="str">
        <x:v>方法=LOCAL_GNN1；对照=SOFTGNN0</x:v>
      </x:c>
      <x:c r="E2713" s="19" t="str">
        <x:v>家族bootstrap95%</x:v>
      </x:c>
      <x:c r="F2713" s="19" t="str">
        <x:v>[-0.539%, 4.905%]</x:v>
      </x:c>
      <x:c r="G2713" s="19" t="str">
        <x:v>速度/计算</x:v>
      </x:c>
      <x:c r="H2713" s="19" t="str">
        <x:v>D:/Codex/GRL研究/outputs/grid55b/GRID55B_report.md</x:v>
      </x:c>
    </x:row>
    <x:row r="2714" ht="36" customHeight="1">
      <x:c r="A2714" s="19" t="str">
        <x:v>GRID55B</x:v>
      </x:c>
      <x:c r="B2714" s="19" t="str">
        <x:v>GRID55B_report.md</x:v>
      </x:c>
      <x:c r="C2714" s="19" t="str">
        <x:v>2. GRID55 八个已暴露日期的旧新配对与共有缓存比较</x:v>
      </x:c>
      <x:c r="D2714" s="19" t="str">
        <x:v>方法=LOCAL_GNN1；对照=SOFTGNN0</x:v>
      </x:c>
      <x:c r="E2714" s="19" t="str">
        <x:v>时间正向家族</x:v>
      </x:c>
      <x:c r="F2714" s="19" t="str">
        <x:v>6</x:v>
      </x:c>
      <x:c r="G2714" s="19" t="str">
        <x:v>速度/计算</x:v>
      </x:c>
      <x:c r="H2714" s="19" t="str">
        <x:v>D:/Codex/GRL研究/outputs/grid55b/GRID55B_report.md</x:v>
      </x:c>
    </x:row>
    <x:row r="2715" ht="36" customHeight="1">
      <x:c r="A2715" s="19" t="str">
        <x:v>GRID55B</x:v>
      </x:c>
      <x:c r="B2715" s="19" t="str">
        <x:v>GRID55B_report.md</x:v>
      </x:c>
      <x:c r="C2715" s="19" t="str">
        <x:v>2. GRID55 八个已暴露日期的旧新配对与共有缓存比较</x:v>
      </x:c>
      <x:c r="D2715" s="19" t="str">
        <x:v>方法=LOCAL_GNN1；对照=SOFTGNN1</x:v>
      </x:c>
      <x:c r="E2715" s="19" t="str">
        <x:v>对照</x:v>
      </x:c>
      <x:c r="F2715" s="19" t="str">
        <x:v>SOFTGNN1</x:v>
      </x:c>
      <x:c r="G2715" s="19" t="str">
        <x:v>其他/配置</x:v>
      </x:c>
      <x:c r="H2715" s="19" t="str">
        <x:v>D:/Codex/GRL研究/outputs/grid55b/GRID55B_report.md</x:v>
      </x:c>
    </x:row>
    <x:row r="2716" ht="36" customHeight="1">
      <x:c r="A2716" s="19" t="str">
        <x:v>GRID55B</x:v>
      </x:c>
      <x:c r="B2716" s="19" t="str">
        <x:v>GRID55B_report.md</x:v>
      </x:c>
      <x:c r="C2716" s="19" t="str">
        <x:v>2. GRID55 八个已暴露日期的旧新配对与共有缓存比较</x:v>
      </x:c>
      <x:c r="D2716" s="19" t="str">
        <x:v>方法=LOCAL_GNN1；对照=SOFTGNN1</x:v>
      </x:c>
      <x:c r="E2716" s="19" t="str">
        <x:v>可比家族</x:v>
      </x:c>
      <x:c r="F2716" s="19" t="str">
        <x:v>8</x:v>
      </x:c>
      <x:c r="G2716" s="19" t="str">
        <x:v>其他/配置</x:v>
      </x:c>
      <x:c r="H2716" s="19" t="str">
        <x:v>D:/Codex/GRL研究/outputs/grid55b/GRID55B_report.md</x:v>
      </x:c>
    </x:row>
    <x:row r="2717" ht="36" customHeight="1">
      <x:c r="A2717" s="19" t="str">
        <x:v>GRID55B</x:v>
      </x:c>
      <x:c r="B2717" s="19" t="str">
        <x:v>GRID55B_report.md</x:v>
      </x:c>
      <x:c r="C2717" s="19" t="str">
        <x:v>2. GRID55 八个已暴露日期的旧新配对与共有缓存比较</x:v>
      </x:c>
      <x:c r="D2717" s="19" t="str">
        <x:v>方法=LOCAL_GNN1；对照=SOFTGNN1</x:v>
      </x:c>
      <x:c r="E2717" s="19" t="str">
        <x:v>宏平均提速</x:v>
      </x:c>
      <x:c r="F2717" s="19" t="str">
        <x:v>1.694%</x:v>
      </x:c>
      <x:c r="G2717" s="19" t="str">
        <x:v>速度/计算</x:v>
      </x:c>
      <x:c r="H2717" s="19" t="str">
        <x:v>D:/Codex/GRL研究/outputs/grid55b/GRID55B_report.md</x:v>
      </x:c>
    </x:row>
    <x:row r="2718" ht="36" customHeight="1">
      <x:c r="A2718" s="19" t="str">
        <x:v>GRID55B</x:v>
      </x:c>
      <x:c r="B2718" s="19" t="str">
        <x:v>GRID55B_report.md</x:v>
      </x:c>
      <x:c r="C2718" s="19" t="str">
        <x:v>2. GRID55 八个已暴露日期的旧新配对与共有缓存比较</x:v>
      </x:c>
      <x:c r="D2718" s="19" t="str">
        <x:v>方法=LOCAL_GNN1；对照=SOFTGNN1</x:v>
      </x:c>
      <x:c r="E2718" s="19" t="str">
        <x:v>家族bootstrap95%</x:v>
      </x:c>
      <x:c r="F2718" s="19" t="str">
        <x:v>[-1.176%, 5.422%]</x:v>
      </x:c>
      <x:c r="G2718" s="19" t="str">
        <x:v>速度/计算</x:v>
      </x:c>
      <x:c r="H2718" s="19" t="str">
        <x:v>D:/Codex/GRL研究/outputs/grid55b/GRID55B_report.md</x:v>
      </x:c>
    </x:row>
    <x:row r="2719" ht="36" customHeight="1">
      <x:c r="A2719" s="19" t="str">
        <x:v>GRID55B</x:v>
      </x:c>
      <x:c r="B2719" s="19" t="str">
        <x:v>GRID55B_report.md</x:v>
      </x:c>
      <x:c r="C2719" s="19" t="str">
        <x:v>2. GRID55 八个已暴露日期的旧新配对与共有缓存比较</x:v>
      </x:c>
      <x:c r="D2719" s="19" t="str">
        <x:v>方法=LOCAL_GNN1；对照=SOFTGNN1</x:v>
      </x:c>
      <x:c r="E2719" s="19" t="str">
        <x:v>时间正向家族</x:v>
      </x:c>
      <x:c r="F2719" s="19" t="str">
        <x:v>6</x:v>
      </x:c>
      <x:c r="G2719" s="19" t="str">
        <x:v>速度/计算</x:v>
      </x:c>
      <x:c r="H2719" s="19" t="str">
        <x:v>D:/Codex/GRL研究/outputs/grid55b/GRID55B_report.md</x:v>
      </x:c>
    </x:row>
    <x:row r="2720" ht="36" customHeight="1">
      <x:c r="A2720" s="19" t="str">
        <x:v>GRID55B</x:v>
      </x:c>
      <x:c r="B2720" s="19" t="str">
        <x:v>GRID55B_report.md</x:v>
      </x:c>
      <x:c r="C2720" s="19" t="str">
        <x:v>2. GRID55 八个已暴露日期的旧新配对与共有缓存比较</x:v>
      </x:c>
      <x:c r="D2720" s="19" t="str">
        <x:v>方法=COMPRESSED_GNN0；对照=LOCAL_PPO</x:v>
      </x:c>
      <x:c r="E2720" s="19" t="str">
        <x:v>对照</x:v>
      </x:c>
      <x:c r="F2720" s="19" t="str">
        <x:v>LOCAL_PPO</x:v>
      </x:c>
      <x:c r="G2720" s="19" t="str">
        <x:v>其他/配置</x:v>
      </x:c>
      <x:c r="H2720" s="19" t="str">
        <x:v>D:/Codex/GRL研究/outputs/grid55b/GRID55B_report.md</x:v>
      </x:c>
    </x:row>
    <x:row r="2721" ht="36" customHeight="1">
      <x:c r="A2721" s="19" t="str">
        <x:v>GRID55B</x:v>
      </x:c>
      <x:c r="B2721" s="19" t="str">
        <x:v>GRID55B_report.md</x:v>
      </x:c>
      <x:c r="C2721" s="19" t="str">
        <x:v>2. GRID55 八个已暴露日期的旧新配对与共有缓存比较</x:v>
      </x:c>
      <x:c r="D2721" s="19" t="str">
        <x:v>方法=COMPRESSED_GNN0；对照=LOCAL_PPO</x:v>
      </x:c>
      <x:c r="E2721" s="19" t="str">
        <x:v>可比家族</x:v>
      </x:c>
      <x:c r="F2721" s="19" t="str">
        <x:v>8</x:v>
      </x:c>
      <x:c r="G2721" s="19" t="str">
        <x:v>其他/配置</x:v>
      </x:c>
      <x:c r="H2721" s="19" t="str">
        <x:v>D:/Codex/GRL研究/outputs/grid55b/GRID55B_report.md</x:v>
      </x:c>
    </x:row>
    <x:row r="2722" ht="36" customHeight="1">
      <x:c r="A2722" s="19" t="str">
        <x:v>GRID55B</x:v>
      </x:c>
      <x:c r="B2722" s="19" t="str">
        <x:v>GRID55B_report.md</x:v>
      </x:c>
      <x:c r="C2722" s="19" t="str">
        <x:v>2. GRID55 八个已暴露日期的旧新配对与共有缓存比较</x:v>
      </x:c>
      <x:c r="D2722" s="19" t="str">
        <x:v>方法=COMPRESSED_GNN0；对照=LOCAL_PPO</x:v>
      </x:c>
      <x:c r="E2722" s="19" t="str">
        <x:v>宏平均提速</x:v>
      </x:c>
      <x:c r="F2722" s="19" t="str">
        <x:v>-3.525%</x:v>
      </x:c>
      <x:c r="G2722" s="19" t="str">
        <x:v>速度/计算</x:v>
      </x:c>
      <x:c r="H2722" s="19" t="str">
        <x:v>D:/Codex/GRL研究/outputs/grid55b/GRID55B_report.md</x:v>
      </x:c>
    </x:row>
    <x:row r="2723" ht="36" customHeight="1">
      <x:c r="A2723" s="19" t="str">
        <x:v>GRID55B</x:v>
      </x:c>
      <x:c r="B2723" s="19" t="str">
        <x:v>GRID55B_report.md</x:v>
      </x:c>
      <x:c r="C2723" s="19" t="str">
        <x:v>2. GRID55 八个已暴露日期的旧新配对与共有缓存比较</x:v>
      </x:c>
      <x:c r="D2723" s="19" t="str">
        <x:v>方法=COMPRESSED_GNN0；对照=LOCAL_PPO</x:v>
      </x:c>
      <x:c r="E2723" s="19" t="str">
        <x:v>家族bootstrap95%</x:v>
      </x:c>
      <x:c r="F2723" s="19" t="str">
        <x:v>[-9.463%, 1.319%]</x:v>
      </x:c>
      <x:c r="G2723" s="19" t="str">
        <x:v>速度/计算</x:v>
      </x:c>
      <x:c r="H2723" s="19" t="str">
        <x:v>D:/Codex/GRL研究/outputs/grid55b/GRID55B_report.md</x:v>
      </x:c>
    </x:row>
    <x:row r="2724" ht="36" customHeight="1">
      <x:c r="A2724" s="19" t="str">
        <x:v>GRID55B</x:v>
      </x:c>
      <x:c r="B2724" s="19" t="str">
        <x:v>GRID55B_report.md</x:v>
      </x:c>
      <x:c r="C2724" s="19" t="str">
        <x:v>2. GRID55 八个已暴露日期的旧新配对与共有缓存比较</x:v>
      </x:c>
      <x:c r="D2724" s="19" t="str">
        <x:v>方法=COMPRESSED_GNN0；对照=LOCAL_PPO</x:v>
      </x:c>
      <x:c r="E2724" s="19" t="str">
        <x:v>时间正向家族</x:v>
      </x:c>
      <x:c r="F2724" s="19" t="str">
        <x:v>4</x:v>
      </x:c>
      <x:c r="G2724" s="19" t="str">
        <x:v>速度/计算</x:v>
      </x:c>
      <x:c r="H2724" s="19" t="str">
        <x:v>D:/Codex/GRL研究/outputs/grid55b/GRID55B_report.md</x:v>
      </x:c>
    </x:row>
    <x:row r="2725" ht="36" customHeight="1">
      <x:c r="A2725" s="19" t="str">
        <x:v>GRID55B</x:v>
      </x:c>
      <x:c r="B2725" s="19" t="str">
        <x:v>GRID55B_report.md</x:v>
      </x:c>
      <x:c r="C2725" s="19" t="str">
        <x:v>2. GRID55 八个已暴露日期的旧新配对与共有缓存比较</x:v>
      </x:c>
      <x:c r="D2725" s="19" t="str">
        <x:v>方法=COMPRESSED_GNN0；对照=SOFTGNN0</x:v>
      </x:c>
      <x:c r="E2725" s="19" t="str">
        <x:v>对照</x:v>
      </x:c>
      <x:c r="F2725" s="19" t="str">
        <x:v>SOFTGNN0</x:v>
      </x:c>
      <x:c r="G2725" s="19" t="str">
        <x:v>其他/配置</x:v>
      </x:c>
      <x:c r="H2725" s="19" t="str">
        <x:v>D:/Codex/GRL研究/outputs/grid55b/GRID55B_report.md</x:v>
      </x:c>
    </x:row>
    <x:row r="2726" ht="36" customHeight="1">
      <x:c r="A2726" s="19" t="str">
        <x:v>GRID55B</x:v>
      </x:c>
      <x:c r="B2726" s="19" t="str">
        <x:v>GRID55B_report.md</x:v>
      </x:c>
      <x:c r="C2726" s="19" t="str">
        <x:v>2. GRID55 八个已暴露日期的旧新配对与共有缓存比较</x:v>
      </x:c>
      <x:c r="D2726" s="19" t="str">
        <x:v>方法=COMPRESSED_GNN0；对照=SOFTGNN0</x:v>
      </x:c>
      <x:c r="E2726" s="19" t="str">
        <x:v>可比家族</x:v>
      </x:c>
      <x:c r="F2726" s="19" t="str">
        <x:v>8</x:v>
      </x:c>
      <x:c r="G2726" s="19" t="str">
        <x:v>其他/配置</x:v>
      </x:c>
      <x:c r="H2726" s="19" t="str">
        <x:v>D:/Codex/GRL研究/outputs/grid55b/GRID55B_report.md</x:v>
      </x:c>
    </x:row>
    <x:row r="2727" ht="36" customHeight="1">
      <x:c r="A2727" s="19" t="str">
        <x:v>GRID55B</x:v>
      </x:c>
      <x:c r="B2727" s="19" t="str">
        <x:v>GRID55B_report.md</x:v>
      </x:c>
      <x:c r="C2727" s="19" t="str">
        <x:v>2. GRID55 八个已暴露日期的旧新配对与共有缓存比较</x:v>
      </x:c>
      <x:c r="D2727" s="19" t="str">
        <x:v>方法=COMPRESSED_GNN0；对照=SOFTGNN0</x:v>
      </x:c>
      <x:c r="E2727" s="19" t="str">
        <x:v>宏平均提速</x:v>
      </x:c>
      <x:c r="F2727" s="19" t="str">
        <x:v>-1.651%</x:v>
      </x:c>
      <x:c r="G2727" s="19" t="str">
        <x:v>速度/计算</x:v>
      </x:c>
      <x:c r="H2727" s="19" t="str">
        <x:v>D:/Codex/GRL研究/outputs/grid55b/GRID55B_report.md</x:v>
      </x:c>
    </x:row>
    <x:row r="2728" ht="36" customHeight="1">
      <x:c r="A2728" s="19" t="str">
        <x:v>GRID55B</x:v>
      </x:c>
      <x:c r="B2728" s="19" t="str">
        <x:v>GRID55B_report.md</x:v>
      </x:c>
      <x:c r="C2728" s="19" t="str">
        <x:v>2. GRID55 八个已暴露日期的旧新配对与共有缓存比较</x:v>
      </x:c>
      <x:c r="D2728" s="19" t="str">
        <x:v>方法=COMPRESSED_GNN0；对照=SOFTGNN0</x:v>
      </x:c>
      <x:c r="E2728" s="19" t="str">
        <x:v>家族bootstrap95%</x:v>
      </x:c>
      <x:c r="F2728" s="19" t="str">
        <x:v>[-4.831%, 1.534%]</x:v>
      </x:c>
      <x:c r="G2728" s="19" t="str">
        <x:v>速度/计算</x:v>
      </x:c>
      <x:c r="H2728" s="19" t="str">
        <x:v>D:/Codex/GRL研究/outputs/grid55b/GRID55B_report.md</x:v>
      </x:c>
    </x:row>
    <x:row r="2729" ht="36" customHeight="1">
      <x:c r="A2729" s="19" t="str">
        <x:v>GRID55B</x:v>
      </x:c>
      <x:c r="B2729" s="19" t="str">
        <x:v>GRID55B_report.md</x:v>
      </x:c>
      <x:c r="C2729" s="19" t="str">
        <x:v>2. GRID55 八个已暴露日期的旧新配对与共有缓存比较</x:v>
      </x:c>
      <x:c r="D2729" s="19" t="str">
        <x:v>方法=COMPRESSED_GNN0；对照=SOFTGNN0</x:v>
      </x:c>
      <x:c r="E2729" s="19" t="str">
        <x:v>时间正向家族</x:v>
      </x:c>
      <x:c r="F2729" s="19" t="str">
        <x:v>3</x:v>
      </x:c>
      <x:c r="G2729" s="19" t="str">
        <x:v>速度/计算</x:v>
      </x:c>
      <x:c r="H2729" s="19" t="str">
        <x:v>D:/Codex/GRL研究/outputs/grid55b/GRID55B_report.md</x:v>
      </x:c>
    </x:row>
    <x:row r="2730" ht="36" customHeight="1">
      <x:c r="A2730" s="19" t="str">
        <x:v>GRID55B</x:v>
      </x:c>
      <x:c r="B2730" s="19" t="str">
        <x:v>GRID55B_report.md</x:v>
      </x:c>
      <x:c r="C2730" s="19" t="str">
        <x:v>2. GRID55 八个已暴露日期的旧新配对与共有缓存比较</x:v>
      </x:c>
      <x:c r="D2730" s="19" t="str">
        <x:v>方法=COMPRESSED_GNN0；对照=SOFTGNN1</x:v>
      </x:c>
      <x:c r="E2730" s="19" t="str">
        <x:v>对照</x:v>
      </x:c>
      <x:c r="F2730" s="19" t="str">
        <x:v>SOFTGNN1</x:v>
      </x:c>
      <x:c r="G2730" s="19" t="str">
        <x:v>其他/配置</x:v>
      </x:c>
      <x:c r="H2730" s="19" t="str">
        <x:v>D:/Codex/GRL研究/outputs/grid55b/GRID55B_report.md</x:v>
      </x:c>
    </x:row>
    <x:row r="2731" ht="36" customHeight="1">
      <x:c r="A2731" s="19" t="str">
        <x:v>GRID55B</x:v>
      </x:c>
      <x:c r="B2731" s="19" t="str">
        <x:v>GRID55B_report.md</x:v>
      </x:c>
      <x:c r="C2731" s="19" t="str">
        <x:v>2. GRID55 八个已暴露日期的旧新配对与共有缓存比较</x:v>
      </x:c>
      <x:c r="D2731" s="19" t="str">
        <x:v>方法=COMPRESSED_GNN0；对照=SOFTGNN1</x:v>
      </x:c>
      <x:c r="E2731" s="19" t="str">
        <x:v>可比家族</x:v>
      </x:c>
      <x:c r="F2731" s="19" t="str">
        <x:v>8</x:v>
      </x:c>
      <x:c r="G2731" s="19" t="str">
        <x:v>其他/配置</x:v>
      </x:c>
      <x:c r="H2731" s="19" t="str">
        <x:v>D:/Codex/GRL研究/outputs/grid55b/GRID55B_report.md</x:v>
      </x:c>
    </x:row>
    <x:row r="2732" ht="36" customHeight="1">
      <x:c r="A2732" s="19" t="str">
        <x:v>GRID55B</x:v>
      </x:c>
      <x:c r="B2732" s="19" t="str">
        <x:v>GRID55B_report.md</x:v>
      </x:c>
      <x:c r="C2732" s="19" t="str">
        <x:v>2. GRID55 八个已暴露日期的旧新配对与共有缓存比较</x:v>
      </x:c>
      <x:c r="D2732" s="19" t="str">
        <x:v>方法=COMPRESSED_GNN0；对照=SOFTGNN1</x:v>
      </x:c>
      <x:c r="E2732" s="19" t="str">
        <x:v>宏平均提速</x:v>
      </x:c>
      <x:c r="F2732" s="19" t="str">
        <x:v>-1.887%</x:v>
      </x:c>
      <x:c r="G2732" s="19" t="str">
        <x:v>速度/计算</x:v>
      </x:c>
      <x:c r="H2732" s="19" t="str">
        <x:v>D:/Codex/GRL研究/outputs/grid55b/GRID55B_report.md</x:v>
      </x:c>
    </x:row>
    <x:row r="2733" ht="36" customHeight="1">
      <x:c r="A2733" s="19" t="str">
        <x:v>GRID55B</x:v>
      </x:c>
      <x:c r="B2733" s="19" t="str">
        <x:v>GRID55B_report.md</x:v>
      </x:c>
      <x:c r="C2733" s="19" t="str">
        <x:v>2. GRID55 八个已暴露日期的旧新配对与共有缓存比较</x:v>
      </x:c>
      <x:c r="D2733" s="19" t="str">
        <x:v>方法=COMPRESSED_GNN0；对照=SOFTGNN1</x:v>
      </x:c>
      <x:c r="E2733" s="19" t="str">
        <x:v>家族bootstrap95%</x:v>
      </x:c>
      <x:c r="F2733" s="19" t="str">
        <x:v>[-4.374%, 0.335%]</x:v>
      </x:c>
      <x:c r="G2733" s="19" t="str">
        <x:v>速度/计算</x:v>
      </x:c>
      <x:c r="H2733" s="19" t="str">
        <x:v>D:/Codex/GRL研究/outputs/grid55b/GRID55B_report.md</x:v>
      </x:c>
    </x:row>
    <x:row r="2734" ht="36" customHeight="1">
      <x:c r="A2734" s="19" t="str">
        <x:v>GRID55B</x:v>
      </x:c>
      <x:c r="B2734" s="19" t="str">
        <x:v>GRID55B_report.md</x:v>
      </x:c>
      <x:c r="C2734" s="19" t="str">
        <x:v>2. GRID55 八个已暴露日期的旧新配对与共有缓存比较</x:v>
      </x:c>
      <x:c r="D2734" s="19" t="str">
        <x:v>方法=COMPRESSED_GNN0；对照=SOFTGNN1</x:v>
      </x:c>
      <x:c r="E2734" s="19" t="str">
        <x:v>时间正向家族</x:v>
      </x:c>
      <x:c r="F2734" s="19" t="str">
        <x:v>3</x:v>
      </x:c>
      <x:c r="G2734" s="19" t="str">
        <x:v>速度/计算</x:v>
      </x:c>
      <x:c r="H2734" s="19" t="str">
        <x:v>D:/Codex/GRL研究/outputs/grid55b/GRID55B_report.md</x:v>
      </x:c>
    </x:row>
    <x:row r="2735" ht="36" customHeight="1">
      <x:c r="A2735" s="19" t="str">
        <x:v>GRID55B</x:v>
      </x:c>
      <x:c r="B2735" s="19" t="str">
        <x:v>GRID55B_report.md</x:v>
      </x:c>
      <x:c r="C2735" s="19" t="str">
        <x:v>2. GRID55 八个已暴露日期的旧新配对与共有缓存比较</x:v>
      </x:c>
      <x:c r="D2735" s="19" t="str">
        <x:v>方法=COMPRESSED_GNN1；对照=LOCAL_PPO</x:v>
      </x:c>
      <x:c r="E2735" s="19" t="str">
        <x:v>对照</x:v>
      </x:c>
      <x:c r="F2735" s="19" t="str">
        <x:v>LOCAL_PPO</x:v>
      </x:c>
      <x:c r="G2735" s="19" t="str">
        <x:v>其他/配置</x:v>
      </x:c>
      <x:c r="H2735" s="19" t="str">
        <x:v>D:/Codex/GRL研究/outputs/grid55b/GRID55B_report.md</x:v>
      </x:c>
    </x:row>
    <x:row r="2736" ht="36" customHeight="1">
      <x:c r="A2736" s="19" t="str">
        <x:v>GRID55B</x:v>
      </x:c>
      <x:c r="B2736" s="19" t="str">
        <x:v>GRID55B_report.md</x:v>
      </x:c>
      <x:c r="C2736" s="19" t="str">
        <x:v>2. GRID55 八个已暴露日期的旧新配对与共有缓存比较</x:v>
      </x:c>
      <x:c r="D2736" s="19" t="str">
        <x:v>方法=COMPRESSED_GNN1；对照=LOCAL_PPO</x:v>
      </x:c>
      <x:c r="E2736" s="19" t="str">
        <x:v>可比家族</x:v>
      </x:c>
      <x:c r="F2736" s="19" t="str">
        <x:v>8</x:v>
      </x:c>
      <x:c r="G2736" s="19" t="str">
        <x:v>其他/配置</x:v>
      </x:c>
      <x:c r="H2736" s="19" t="str">
        <x:v>D:/Codex/GRL研究/outputs/grid55b/GRID55B_report.md</x:v>
      </x:c>
    </x:row>
    <x:row r="2737" ht="36" customHeight="1">
      <x:c r="A2737" s="19" t="str">
        <x:v>GRID55B</x:v>
      </x:c>
      <x:c r="B2737" s="19" t="str">
        <x:v>GRID55B_report.md</x:v>
      </x:c>
      <x:c r="C2737" s="19" t="str">
        <x:v>2. GRID55 八个已暴露日期的旧新配对与共有缓存比较</x:v>
      </x:c>
      <x:c r="D2737" s="19" t="str">
        <x:v>方法=COMPRESSED_GNN1；对照=LOCAL_PPO</x:v>
      </x:c>
      <x:c r="E2737" s="19" t="str">
        <x:v>宏平均提速</x:v>
      </x:c>
      <x:c r="F2737" s="19" t="str">
        <x:v>-2.748%</x:v>
      </x:c>
      <x:c r="G2737" s="19" t="str">
        <x:v>速度/计算</x:v>
      </x:c>
      <x:c r="H2737" s="19" t="str">
        <x:v>D:/Codex/GRL研究/outputs/grid55b/GRID55B_report.md</x:v>
      </x:c>
    </x:row>
    <x:row r="2738" ht="36" customHeight="1">
      <x:c r="A2738" s="19" t="str">
        <x:v>GRID55B</x:v>
      </x:c>
      <x:c r="B2738" s="19" t="str">
        <x:v>GRID55B_report.md</x:v>
      </x:c>
      <x:c r="C2738" s="19" t="str">
        <x:v>2. GRID55 八个已暴露日期的旧新配对与共有缓存比较</x:v>
      </x:c>
      <x:c r="D2738" s="19" t="str">
        <x:v>方法=COMPRESSED_GNN1；对照=LOCAL_PPO</x:v>
      </x:c>
      <x:c r="E2738" s="19" t="str">
        <x:v>家族bootstrap95%</x:v>
      </x:c>
      <x:c r="F2738" s="19" t="str">
        <x:v>[-8.465%, 1.684%]</x:v>
      </x:c>
      <x:c r="G2738" s="19" t="str">
        <x:v>速度/计算</x:v>
      </x:c>
      <x:c r="H2738" s="19" t="str">
        <x:v>D:/Codex/GRL研究/outputs/grid55b/GRID55B_report.md</x:v>
      </x:c>
    </x:row>
    <x:row r="2739" ht="36" customHeight="1">
      <x:c r="A2739" s="19" t="str">
        <x:v>GRID55B</x:v>
      </x:c>
      <x:c r="B2739" s="19" t="str">
        <x:v>GRID55B_report.md</x:v>
      </x:c>
      <x:c r="C2739" s="19" t="str">
        <x:v>2. GRID55 八个已暴露日期的旧新配对与共有缓存比较</x:v>
      </x:c>
      <x:c r="D2739" s="19" t="str">
        <x:v>方法=COMPRESSED_GNN1；对照=LOCAL_PPO</x:v>
      </x:c>
      <x:c r="E2739" s="19" t="str">
        <x:v>时间正向家族</x:v>
      </x:c>
      <x:c r="F2739" s="19" t="str">
        <x:v>5</x:v>
      </x:c>
      <x:c r="G2739" s="19" t="str">
        <x:v>速度/计算</x:v>
      </x:c>
      <x:c r="H2739" s="19" t="str">
        <x:v>D:/Codex/GRL研究/outputs/grid55b/GRID55B_report.md</x:v>
      </x:c>
    </x:row>
    <x:row r="2740" ht="36" customHeight="1">
      <x:c r="A2740" s="19" t="str">
        <x:v>GRID55B</x:v>
      </x:c>
      <x:c r="B2740" s="19" t="str">
        <x:v>GRID55B_report.md</x:v>
      </x:c>
      <x:c r="C2740" s="19" t="str">
        <x:v>2. GRID55 八个已暴露日期的旧新配对与共有缓存比较</x:v>
      </x:c>
      <x:c r="D2740" s="19" t="str">
        <x:v>方法=COMPRESSED_GNN1；对照=SOFTGNN0</x:v>
      </x:c>
      <x:c r="E2740" s="19" t="str">
        <x:v>对照</x:v>
      </x:c>
      <x:c r="F2740" s="19" t="str">
        <x:v>SOFTGNN0</x:v>
      </x:c>
      <x:c r="G2740" s="19" t="str">
        <x:v>其他/配置</x:v>
      </x:c>
      <x:c r="H2740" s="19" t="str">
        <x:v>D:/Codex/GRL研究/outputs/grid55b/GRID55B_report.md</x:v>
      </x:c>
    </x:row>
    <x:row r="2741" ht="36" customHeight="1">
      <x:c r="A2741" s="19" t="str">
        <x:v>GRID55B</x:v>
      </x:c>
      <x:c r="B2741" s="19" t="str">
        <x:v>GRID55B_report.md</x:v>
      </x:c>
      <x:c r="C2741" s="19" t="str">
        <x:v>2. GRID55 八个已暴露日期的旧新配对与共有缓存比较</x:v>
      </x:c>
      <x:c r="D2741" s="19" t="str">
        <x:v>方法=COMPRESSED_GNN1；对照=SOFTGNN0</x:v>
      </x:c>
      <x:c r="E2741" s="19" t="str">
        <x:v>可比家族</x:v>
      </x:c>
      <x:c r="F2741" s="19" t="str">
        <x:v>8</x:v>
      </x:c>
      <x:c r="G2741" s="19" t="str">
        <x:v>其他/配置</x:v>
      </x:c>
      <x:c r="H2741" s="19" t="str">
        <x:v>D:/Codex/GRL研究/outputs/grid55b/GRID55B_report.md</x:v>
      </x:c>
    </x:row>
    <x:row r="2742" ht="36" customHeight="1">
      <x:c r="A2742" s="19" t="str">
        <x:v>GRID55B</x:v>
      </x:c>
      <x:c r="B2742" s="19" t="str">
        <x:v>GRID55B_report.md</x:v>
      </x:c>
      <x:c r="C2742" s="19" t="str">
        <x:v>2. GRID55 八个已暴露日期的旧新配对与共有缓存比较</x:v>
      </x:c>
      <x:c r="D2742" s="19" t="str">
        <x:v>方法=COMPRESSED_GNN1；对照=SOFTGNN0</x:v>
      </x:c>
      <x:c r="E2742" s="19" t="str">
        <x:v>宏平均提速</x:v>
      </x:c>
      <x:c r="F2742" s="19" t="str">
        <x:v>-0.889%</x:v>
      </x:c>
      <x:c r="G2742" s="19" t="str">
        <x:v>速度/计算</x:v>
      </x:c>
      <x:c r="H2742" s="19" t="str">
        <x:v>D:/Codex/GRL研究/outputs/grid55b/GRID55B_report.md</x:v>
      </x:c>
    </x:row>
    <x:row r="2743" ht="36" customHeight="1">
      <x:c r="A2743" s="19" t="str">
        <x:v>GRID55B</x:v>
      </x:c>
      <x:c r="B2743" s="19" t="str">
        <x:v>GRID55B_report.md</x:v>
      </x:c>
      <x:c r="C2743" s="19" t="str">
        <x:v>2. GRID55 八个已暴露日期的旧新配对与共有缓存比较</x:v>
      </x:c>
      <x:c r="D2743" s="19" t="str">
        <x:v>方法=COMPRESSED_GNN1；对照=SOFTGNN0</x:v>
      </x:c>
      <x:c r="E2743" s="19" t="str">
        <x:v>家族bootstrap95%</x:v>
      </x:c>
      <x:c r="F2743" s="19" t="str">
        <x:v>[-3.946%, 1.971%]</x:v>
      </x:c>
      <x:c r="G2743" s="19" t="str">
        <x:v>速度/计算</x:v>
      </x:c>
      <x:c r="H2743" s="19" t="str">
        <x:v>D:/Codex/GRL研究/outputs/grid55b/GRID55B_report.md</x:v>
      </x:c>
    </x:row>
    <x:row r="2744" ht="36" customHeight="1">
      <x:c r="A2744" s="19" t="str">
        <x:v>GRID55B</x:v>
      </x:c>
      <x:c r="B2744" s="19" t="str">
        <x:v>GRID55B_report.md</x:v>
      </x:c>
      <x:c r="C2744" s="19" t="str">
        <x:v>2. GRID55 八个已暴露日期的旧新配对与共有缓存比较</x:v>
      </x:c>
      <x:c r="D2744" s="19" t="str">
        <x:v>方法=COMPRESSED_GNN1；对照=SOFTGNN0</x:v>
      </x:c>
      <x:c r="E2744" s="19" t="str">
        <x:v>时间正向家族</x:v>
      </x:c>
      <x:c r="F2744" s="19" t="str">
        <x:v>4</x:v>
      </x:c>
      <x:c r="G2744" s="19" t="str">
        <x:v>速度/计算</x:v>
      </x:c>
      <x:c r="H2744" s="19" t="str">
        <x:v>D:/Codex/GRL研究/outputs/grid55b/GRID55B_report.md</x:v>
      </x:c>
    </x:row>
    <x:row r="2745" ht="36" customHeight="1">
      <x:c r="A2745" s="19" t="str">
        <x:v>GRID55B</x:v>
      </x:c>
      <x:c r="B2745" s="19" t="str">
        <x:v>GRID55B_report.md</x:v>
      </x:c>
      <x:c r="C2745" s="19" t="str">
        <x:v>2. GRID55 八个已暴露日期的旧新配对与共有缓存比较</x:v>
      </x:c>
      <x:c r="D2745" s="19" t="str">
        <x:v>方法=COMPRESSED_GNN1；对照=SOFTGNN1</x:v>
      </x:c>
      <x:c r="E2745" s="19" t="str">
        <x:v>对照</x:v>
      </x:c>
      <x:c r="F2745" s="19" t="str">
        <x:v>SOFTGNN1</x:v>
      </x:c>
      <x:c r="G2745" s="19" t="str">
        <x:v>其他/配置</x:v>
      </x:c>
      <x:c r="H2745" s="19" t="str">
        <x:v>D:/Codex/GRL研究/outputs/grid55b/GRID55B_report.md</x:v>
      </x:c>
    </x:row>
    <x:row r="2746" ht="36" customHeight="1">
      <x:c r="A2746" s="19" t="str">
        <x:v>GRID55B</x:v>
      </x:c>
      <x:c r="B2746" s="19" t="str">
        <x:v>GRID55B_report.md</x:v>
      </x:c>
      <x:c r="C2746" s="19" t="str">
        <x:v>2. GRID55 八个已暴露日期的旧新配对与共有缓存比较</x:v>
      </x:c>
      <x:c r="D2746" s="19" t="str">
        <x:v>方法=COMPRESSED_GNN1；对照=SOFTGNN1</x:v>
      </x:c>
      <x:c r="E2746" s="19" t="str">
        <x:v>可比家族</x:v>
      </x:c>
      <x:c r="F2746" s="19" t="str">
        <x:v>8</x:v>
      </x:c>
      <x:c r="G2746" s="19" t="str">
        <x:v>其他/配置</x:v>
      </x:c>
      <x:c r="H2746" s="19" t="str">
        <x:v>D:/Codex/GRL研究/outputs/grid55b/GRID55B_report.md</x:v>
      </x:c>
    </x:row>
    <x:row r="2747" ht="36" customHeight="1">
      <x:c r="A2747" s="19" t="str">
        <x:v>GRID55B</x:v>
      </x:c>
      <x:c r="B2747" s="19" t="str">
        <x:v>GRID55B_report.md</x:v>
      </x:c>
      <x:c r="C2747" s="19" t="str">
        <x:v>2. GRID55 八个已暴露日期的旧新配对与共有缓存比较</x:v>
      </x:c>
      <x:c r="D2747" s="19" t="str">
        <x:v>方法=COMPRESSED_GNN1；对照=SOFTGNN1</x:v>
      </x:c>
      <x:c r="E2747" s="19" t="str">
        <x:v>宏平均提速</x:v>
      </x:c>
      <x:c r="F2747" s="19" t="str">
        <x:v>-1.153%</x:v>
      </x:c>
      <x:c r="G2747" s="19" t="str">
        <x:v>速度/计算</x:v>
      </x:c>
      <x:c r="H2747" s="19" t="str">
        <x:v>D:/Codex/GRL研究/outputs/grid55b/GRID55B_report.md</x:v>
      </x:c>
    </x:row>
    <x:row r="2748" ht="36" customHeight="1">
      <x:c r="A2748" s="19" t="str">
        <x:v>GRID55B</x:v>
      </x:c>
      <x:c r="B2748" s="19" t="str">
        <x:v>GRID55B_report.md</x:v>
      </x:c>
      <x:c r="C2748" s="19" t="str">
        <x:v>2. GRID55 八个已暴露日期的旧新配对与共有缓存比较</x:v>
      </x:c>
      <x:c r="D2748" s="19" t="str">
        <x:v>方法=COMPRESSED_GNN1；对照=SOFTGNN1</x:v>
      </x:c>
      <x:c r="E2748" s="19" t="str">
        <x:v>家族bootstrap95%</x:v>
      </x:c>
      <x:c r="F2748" s="19" t="str">
        <x:v>[-3.830%, 1.173%]</x:v>
      </x:c>
      <x:c r="G2748" s="19" t="str">
        <x:v>速度/计算</x:v>
      </x:c>
      <x:c r="H2748" s="19" t="str">
        <x:v>D:/Codex/GRL研究/outputs/grid55b/GRID55B_report.md</x:v>
      </x:c>
    </x:row>
    <x:row r="2749" ht="36" customHeight="1">
      <x:c r="A2749" s="19" t="str">
        <x:v>GRID55B</x:v>
      </x:c>
      <x:c r="B2749" s="19" t="str">
        <x:v>GRID55B_report.md</x:v>
      </x:c>
      <x:c r="C2749" s="19" t="str">
        <x:v>2. GRID55 八个已暴露日期的旧新配对与共有缓存比较</x:v>
      </x:c>
      <x:c r="D2749" s="19" t="str">
        <x:v>方法=COMPRESSED_GNN1；对照=SOFTGNN1</x:v>
      </x:c>
      <x:c r="E2749" s="19" t="str">
        <x:v>时间正向家族</x:v>
      </x:c>
      <x:c r="F2749" s="19" t="str">
        <x:v>4</x:v>
      </x:c>
      <x:c r="G2749" s="19" t="str">
        <x:v>速度/计算</x:v>
      </x:c>
      <x:c r="H2749" s="19" t="str">
        <x:v>D:/Codex/GRL研究/outputs/grid55b/GRID55B_report.md</x:v>
      </x:c>
    </x:row>
    <x:row r="2750" ht="36" customHeight="1">
      <x:c r="A2750" s="19" t="str">
        <x:v>GRID55B</x:v>
      </x:c>
      <x:c r="B2750" s="19" t="str">
        <x:v>GRID55B_report.md</x:v>
      </x:c>
      <x:c r="C2750" s="19" t="str">
        <x:v>2. GRID55 八个已暴露日期的旧新配对与共有缓存比较</x:v>
      </x:c>
      <x:c r="D2750" s="19" t="str">
        <x:v>方法=COMPRESSED_GNN0；对照=LOCAL_GNN0</x:v>
      </x:c>
      <x:c r="E2750" s="19" t="str">
        <x:v>对照</x:v>
      </x:c>
      <x:c r="F2750" s="19" t="str">
        <x:v>LOCAL_GNN0</x:v>
      </x:c>
      <x:c r="G2750" s="19" t="str">
        <x:v>其他/配置</x:v>
      </x:c>
      <x:c r="H2750" s="19" t="str">
        <x:v>D:/Codex/GRL研究/outputs/grid55b/GRID55B_report.md</x:v>
      </x:c>
    </x:row>
    <x:row r="2751" ht="36" customHeight="1">
      <x:c r="A2751" s="19" t="str">
        <x:v>GRID55B</x:v>
      </x:c>
      <x:c r="B2751" s="19" t="str">
        <x:v>GRID55B_report.md</x:v>
      </x:c>
      <x:c r="C2751" s="19" t="str">
        <x:v>2. GRID55 八个已暴露日期的旧新配对与共有缓存比较</x:v>
      </x:c>
      <x:c r="D2751" s="19" t="str">
        <x:v>方法=COMPRESSED_GNN0；对照=LOCAL_GNN0</x:v>
      </x:c>
      <x:c r="E2751" s="19" t="str">
        <x:v>可比家族</x:v>
      </x:c>
      <x:c r="F2751" s="19" t="str">
        <x:v>8</x:v>
      </x:c>
      <x:c r="G2751" s="19" t="str">
        <x:v>其他/配置</x:v>
      </x:c>
      <x:c r="H2751" s="19" t="str">
        <x:v>D:/Codex/GRL研究/outputs/grid55b/GRID55B_report.md</x:v>
      </x:c>
    </x:row>
    <x:row r="2752" ht="36" customHeight="1">
      <x:c r="A2752" s="19" t="str">
        <x:v>GRID55B</x:v>
      </x:c>
      <x:c r="B2752" s="19" t="str">
        <x:v>GRID55B_report.md</x:v>
      </x:c>
      <x:c r="C2752" s="19" t="str">
        <x:v>2. GRID55 八个已暴露日期的旧新配对与共有缓存比较</x:v>
      </x:c>
      <x:c r="D2752" s="19" t="str">
        <x:v>方法=COMPRESSED_GNN0；对照=LOCAL_GNN0</x:v>
      </x:c>
      <x:c r="E2752" s="19" t="str">
        <x:v>宏平均提速</x:v>
      </x:c>
      <x:c r="F2752" s="19" t="str">
        <x:v>-3.882%</x:v>
      </x:c>
      <x:c r="G2752" s="19" t="str">
        <x:v>速度/计算</x:v>
      </x:c>
      <x:c r="H2752" s="19" t="str">
        <x:v>D:/Codex/GRL研究/outputs/grid55b/GRID55B_report.md</x:v>
      </x:c>
    </x:row>
    <x:row r="2753" ht="36" customHeight="1">
      <x:c r="A2753" s="19" t="str">
        <x:v>GRID55B</x:v>
      </x:c>
      <x:c r="B2753" s="19" t="str">
        <x:v>GRID55B_report.md</x:v>
      </x:c>
      <x:c r="C2753" s="19" t="str">
        <x:v>2. GRID55 八个已暴露日期的旧新配对与共有缓存比较</x:v>
      </x:c>
      <x:c r="D2753" s="19" t="str">
        <x:v>方法=COMPRESSED_GNN0；对照=LOCAL_GNN0</x:v>
      </x:c>
      <x:c r="E2753" s="19" t="str">
        <x:v>家族bootstrap95%</x:v>
      </x:c>
      <x:c r="F2753" s="19" t="str">
        <x:v>[-8.808%, -0.089%]</x:v>
      </x:c>
      <x:c r="G2753" s="19" t="str">
        <x:v>速度/计算</x:v>
      </x:c>
      <x:c r="H2753" s="19" t="str">
        <x:v>D:/Codex/GRL研究/outputs/grid55b/GRID55B_report.md</x:v>
      </x:c>
    </x:row>
    <x:row r="2754" ht="36" customHeight="1">
      <x:c r="A2754" s="19" t="str">
        <x:v>GRID55B</x:v>
      </x:c>
      <x:c r="B2754" s="19" t="str">
        <x:v>GRID55B_report.md</x:v>
      </x:c>
      <x:c r="C2754" s="19" t="str">
        <x:v>2. GRID55 八个已暴露日期的旧新配对与共有缓存比较</x:v>
      </x:c>
      <x:c r="D2754" s="19" t="str">
        <x:v>方法=COMPRESSED_GNN0；对照=LOCAL_GNN0</x:v>
      </x:c>
      <x:c r="E2754" s="19" t="str">
        <x:v>时间正向家族</x:v>
      </x:c>
      <x:c r="F2754" s="19" t="str">
        <x:v>3</x:v>
      </x:c>
      <x:c r="G2754" s="19" t="str">
        <x:v>速度/计算</x:v>
      </x:c>
      <x:c r="H2754" s="19" t="str">
        <x:v>D:/Codex/GRL研究/outputs/grid55b/GRID55B_report.md</x:v>
      </x:c>
    </x:row>
    <x:row r="2755" ht="36" customHeight="1">
      <x:c r="A2755" s="19" t="str">
        <x:v>GRID55B</x:v>
      </x:c>
      <x:c r="B2755" s="19" t="str">
        <x:v>GRID55B_report.md</x:v>
      </x:c>
      <x:c r="C2755" s="19" t="str">
        <x:v>2. GRID55 八个已暴露日期的旧新配对与共有缓存比较</x:v>
      </x:c>
      <x:c r="D2755" s="19" t="str">
        <x:v>方法=COMPRESSED_GNN1；对照=LOCAL_GNN1</x:v>
      </x:c>
      <x:c r="E2755" s="19" t="str">
        <x:v>对照</x:v>
      </x:c>
      <x:c r="F2755" s="19" t="str">
        <x:v>LOCAL_GNN1</x:v>
      </x:c>
      <x:c r="G2755" s="19" t="str">
        <x:v>其他/配置</x:v>
      </x:c>
      <x:c r="H2755" s="19" t="str">
        <x:v>D:/Codex/GRL研究/outputs/grid55b/GRID55B_report.md</x:v>
      </x:c>
    </x:row>
    <x:row r="2756" ht="36" customHeight="1">
      <x:c r="A2756" s="19" t="str">
        <x:v>GRID55B</x:v>
      </x:c>
      <x:c r="B2756" s="19" t="str">
        <x:v>GRID55B_report.md</x:v>
      </x:c>
      <x:c r="C2756" s="19" t="str">
        <x:v>2. GRID55 八个已暴露日期的旧新配对与共有缓存比较</x:v>
      </x:c>
      <x:c r="D2756" s="19" t="str">
        <x:v>方法=COMPRESSED_GNN1；对照=LOCAL_GNN1</x:v>
      </x:c>
      <x:c r="E2756" s="19" t="str">
        <x:v>可比家族</x:v>
      </x:c>
      <x:c r="F2756" s="19" t="str">
        <x:v>8</x:v>
      </x:c>
      <x:c r="G2756" s="19" t="str">
        <x:v>其他/配置</x:v>
      </x:c>
      <x:c r="H2756" s="19" t="str">
        <x:v>D:/Codex/GRL研究/outputs/grid55b/GRID55B_report.md</x:v>
      </x:c>
    </x:row>
    <x:row r="2757" ht="36" customHeight="1">
      <x:c r="A2757" s="19" t="str">
        <x:v>GRID55B</x:v>
      </x:c>
      <x:c r="B2757" s="19" t="str">
        <x:v>GRID55B_report.md</x:v>
      </x:c>
      <x:c r="C2757" s="19" t="str">
        <x:v>2. GRID55 八个已暴露日期的旧新配对与共有缓存比较</x:v>
      </x:c>
      <x:c r="D2757" s="19" t="str">
        <x:v>方法=COMPRESSED_GNN1；对照=LOCAL_GNN1</x:v>
      </x:c>
      <x:c r="E2757" s="19" t="str">
        <x:v>宏平均提速</x:v>
      </x:c>
      <x:c r="F2757" s="19" t="str">
        <x:v>-3.117%</x:v>
      </x:c>
      <x:c r="G2757" s="19" t="str">
        <x:v>速度/计算</x:v>
      </x:c>
      <x:c r="H2757" s="19" t="str">
        <x:v>D:/Codex/GRL研究/outputs/grid55b/GRID55B_report.md</x:v>
      </x:c>
    </x:row>
    <x:row r="2758" ht="36" customHeight="1">
      <x:c r="A2758" s="19" t="str">
        <x:v>GRID55B</x:v>
      </x:c>
      <x:c r="B2758" s="19" t="str">
        <x:v>GRID55B_report.md</x:v>
      </x:c>
      <x:c r="C2758" s="19" t="str">
        <x:v>2. GRID55 八个已暴露日期的旧新配对与共有缓存比较</x:v>
      </x:c>
      <x:c r="D2758" s="19" t="str">
        <x:v>方法=COMPRESSED_GNN1；对照=LOCAL_GNN1</x:v>
      </x:c>
      <x:c r="E2758" s="19" t="str">
        <x:v>家族bootstrap95%</x:v>
      </x:c>
      <x:c r="F2758" s="19" t="str">
        <x:v>[-7.300%, 0.075%]</x:v>
      </x:c>
      <x:c r="G2758" s="19" t="str">
        <x:v>速度/计算</x:v>
      </x:c>
      <x:c r="H2758" s="19" t="str">
        <x:v>D:/Codex/GRL研究/outputs/grid55b/GRID55B_report.md</x:v>
      </x:c>
    </x:row>
    <x:row r="2759" ht="36" customHeight="1">
      <x:c r="A2759" s="19" t="str">
        <x:v>GRID55B</x:v>
      </x:c>
      <x:c r="B2759" s="19" t="str">
        <x:v>GRID55B_report.md</x:v>
      </x:c>
      <x:c r="C2759" s="19" t="str">
        <x:v>2. GRID55 八个已暴露日期的旧新配对与共有缓存比较</x:v>
      </x:c>
      <x:c r="D2759" s="19" t="str">
        <x:v>方法=COMPRESSED_GNN1；对照=LOCAL_GNN1</x:v>
      </x:c>
      <x:c r="E2759" s="19" t="str">
        <x:v>时间正向家族</x:v>
      </x:c>
      <x:c r="F2759" s="19" t="str">
        <x:v>1</x:v>
      </x:c>
      <x:c r="G2759" s="19" t="str">
        <x:v>速度/计算</x:v>
      </x:c>
      <x:c r="H2759" s="19" t="str">
        <x:v>D:/Codex/GRL研究/outputs/grid55b/GRID55B_report.md</x:v>
      </x:c>
    </x:row>
    <x:row r="2760" ht="36" customHeight="1">
      <x:c r="A2760" s="19" t="str">
        <x:v>GRID56</x:v>
      </x:c>
      <x:c r="B2760" s="19" t="str">
        <x:v>GRID56_report.md</x:v>
      </x:c>
      <x:c r="C2760" s="19" t="str">
        <x:v>1. 主版本与主结果</x:v>
      </x:c>
      <x:c r="D2760" s="19" t="str">
        <x:v>方法=FULL；FULL控制时间减少=0.000%</x:v>
      </x:c>
      <x:c r="E2760" s="19" t="str">
        <x:v>FULL控制时间减少</x:v>
      </x:c>
      <x:c r="F2760" s="19" t="str">
        <x:v>0.000%</x:v>
      </x:c>
      <x:c r="G2760" s="19" t="str">
        <x:v>速度/计算</x:v>
      </x:c>
      <x:c r="H2760" s="19" t="str">
        <x:v>D:/Codex/GRL研究/outputs/grid56/GRID56_report.md</x:v>
      </x:c>
    </x:row>
    <x:row r="2761" ht="36" customHeight="1">
      <x:c r="A2761" s="19" t="str">
        <x:v>GRID56</x:v>
      </x:c>
      <x:c r="B2761" s="19" t="str">
        <x:v>GRID56_report.md</x:v>
      </x:c>
      <x:c r="C2761" s="19" t="str">
        <x:v>1. 主版本与主结果</x:v>
      </x:c>
      <x:c r="D2761" s="19" t="str">
        <x:v>方法=FULL；FULL控制时间减少=0.000%</x:v>
      </x:c>
      <x:c r="E2761" s="19" t="str">
        <x:v>查询减少</x:v>
      </x:c>
      <x:c r="F2761" s="19" t="str">
        <x:v>0.000%</x:v>
      </x:c>
      <x:c r="G2761" s="19" t="str">
        <x:v>速度/计算</x:v>
      </x:c>
      <x:c r="H2761" s="19" t="str">
        <x:v>D:/Codex/GRL研究/outputs/grid56/GRID56_report.md</x:v>
      </x:c>
    </x:row>
    <x:row r="2762" ht="36" customHeight="1">
      <x:c r="A2762" s="19" t="str">
        <x:v>GRID56</x:v>
      </x:c>
      <x:c r="B2762" s="19" t="str">
        <x:v>GRID56_report.md</x:v>
      </x:c>
      <x:c r="C2762" s="19" t="str">
        <x:v>1. 主版本与主结果</x:v>
      </x:c>
      <x:c r="D2762" s="19" t="str">
        <x:v>方法=FULL；FULL控制时间减少=0.000%</x:v>
      </x:c>
      <x:c r="E2762" s="19" t="str">
        <x:v>平均成本变化/FULL</x:v>
      </x:c>
      <x:c r="F2762" s="19" t="str">
        <x:v>+0.0000%</x:v>
      </x:c>
      <x:c r="G2762" s="19" t="str">
        <x:v>质量/成本</x:v>
      </x:c>
      <x:c r="H2762" s="19" t="str">
        <x:v>D:/Codex/GRL研究/outputs/grid56/GRID56_report.md</x:v>
      </x:c>
    </x:row>
    <x:row r="2763" ht="36" customHeight="1">
      <x:c r="A2763" s="19" t="str">
        <x:v>GRID56</x:v>
      </x:c>
      <x:c r="B2763" s="19" t="str">
        <x:v>GRID56_report.md</x:v>
      </x:c>
      <x:c r="C2763" s="19" t="str">
        <x:v>1. 主版本与主结果</x:v>
      </x:c>
      <x:c r="D2763" s="19" t="str">
        <x:v>方法=FULL；FULL控制时间减少=0.000%</x:v>
      </x:c>
      <x:c r="E2763" s="19" t="str">
        <x:v>最坏成本变化/FULL</x:v>
      </x:c>
      <x:c r="F2763" s="19" t="str">
        <x:v>+0.00000%</x:v>
      </x:c>
      <x:c r="G2763" s="19" t="str">
        <x:v>质量/成本</x:v>
      </x:c>
      <x:c r="H2763" s="19" t="str">
        <x:v>D:/Codex/GRL研究/outputs/grid56/GRID56_report.md</x:v>
      </x:c>
    </x:row>
    <x:row r="2764" ht="36" customHeight="1">
      <x:c r="A2764" s="19" t="str">
        <x:v>GRID56</x:v>
      </x:c>
      <x:c r="B2764" s="19" t="str">
        <x:v>GRID56_report.md</x:v>
      </x:c>
      <x:c r="C2764" s="19" t="str">
        <x:v>1. 主版本与主结果</x:v>
      </x:c>
      <x:c r="D2764" s="19" t="str">
        <x:v>方法=FULL；FULL控制时间减少=0.000%</x:v>
      </x:c>
      <x:c r="E2764" s="19" t="str">
        <x:v>完成</x:v>
      </x:c>
      <x:c r="F2764" s="19" t="str">
        <x:v>16/16</x:v>
      </x:c>
      <x:c r="G2764" s="19" t="str">
        <x:v>质量/成本</x:v>
      </x:c>
      <x:c r="H2764" s="19" t="str">
        <x:v>D:/Codex/GRL研究/outputs/grid56/GRID56_report.md</x:v>
      </x:c>
    </x:row>
    <x:row r="2765" ht="36" customHeight="1">
      <x:c r="A2765" s="19" t="str">
        <x:v>GRID56</x:v>
      </x:c>
      <x:c r="B2765" s="19" t="str">
        <x:v>GRID56_report.md</x:v>
      </x:c>
      <x:c r="C2765" s="19" t="str">
        <x:v>1. 主版本与主结果</x:v>
      </x:c>
      <x:c r="D2765" s="19" t="str">
        <x:v>方法=FULL；FULL控制时间减少=0.000%</x:v>
      </x:c>
      <x:c r="E2765" s="19" t="str">
        <x:v>质量尺度通过</x:v>
      </x:c>
      <x:c r="F2765" s="19" t="str">
        <x:v>16/16</x:v>
      </x:c>
      <x:c r="G2765" s="19" t="str">
        <x:v>质量/成本</x:v>
      </x:c>
      <x:c r="H2765" s="19" t="str">
        <x:v>D:/Codex/GRL研究/outputs/grid56/GRID56_report.md</x:v>
      </x:c>
    </x:row>
    <x:row r="2766" ht="36" customHeight="1">
      <x:c r="A2766" s="19" t="str">
        <x:v>GRID56</x:v>
      </x:c>
      <x:c r="B2766" s="19" t="str">
        <x:v>GRID56_report.md</x:v>
      </x:c>
      <x:c r="C2766" s="19" t="str">
        <x:v>1. 主版本与主结果</x:v>
      </x:c>
      <x:c r="D2766" s="19" t="str">
        <x:v>方法=SOFTGNN0；FULL控制时间减少=16.775%</x:v>
      </x:c>
      <x:c r="E2766" s="19" t="str">
        <x:v>FULL控制时间减少</x:v>
      </x:c>
      <x:c r="F2766" s="19" t="str">
        <x:v>16.775%</x:v>
      </x:c>
      <x:c r="G2766" s="19" t="str">
        <x:v>速度/计算</x:v>
      </x:c>
      <x:c r="H2766" s="19" t="str">
        <x:v>D:/Codex/GRL研究/outputs/grid56/GRID56_report.md</x:v>
      </x:c>
    </x:row>
    <x:row r="2767" ht="36" customHeight="1">
      <x:c r="A2767" s="19" t="str">
        <x:v>GRID56</x:v>
      </x:c>
      <x:c r="B2767" s="19" t="str">
        <x:v>GRID56_report.md</x:v>
      </x:c>
      <x:c r="C2767" s="19" t="str">
        <x:v>1. 主版本与主结果</x:v>
      </x:c>
      <x:c r="D2767" s="19" t="str">
        <x:v>方法=SOFTGNN0；FULL控制时间减少=16.775%</x:v>
      </x:c>
      <x:c r="E2767" s="19" t="str">
        <x:v>查询减少</x:v>
      </x:c>
      <x:c r="F2767" s="19" t="str">
        <x:v>67.078%</x:v>
      </x:c>
      <x:c r="G2767" s="19" t="str">
        <x:v>速度/计算</x:v>
      </x:c>
      <x:c r="H2767" s="19" t="str">
        <x:v>D:/Codex/GRL研究/outputs/grid56/GRID56_report.md</x:v>
      </x:c>
    </x:row>
    <x:row r="2768" ht="36" customHeight="1">
      <x:c r="A2768" s="19" t="str">
        <x:v>GRID56</x:v>
      </x:c>
      <x:c r="B2768" s="19" t="str">
        <x:v>GRID56_report.md</x:v>
      </x:c>
      <x:c r="C2768" s="19" t="str">
        <x:v>1. 主版本与主结果</x:v>
      </x:c>
      <x:c r="D2768" s="19" t="str">
        <x:v>方法=SOFTGNN0；FULL控制时间减少=16.775%</x:v>
      </x:c>
      <x:c r="E2768" s="19" t="str">
        <x:v>平均成本变化/FULL</x:v>
      </x:c>
      <x:c r="F2768" s="19" t="str">
        <x:v>-0.4431%</x:v>
      </x:c>
      <x:c r="G2768" s="19" t="str">
        <x:v>质量/成本</x:v>
      </x:c>
      <x:c r="H2768" s="19" t="str">
        <x:v>D:/Codex/GRL研究/outputs/grid56/GRID56_report.md</x:v>
      </x:c>
    </x:row>
    <x:row r="2769" ht="36" customHeight="1">
      <x:c r="A2769" s="19" t="str">
        <x:v>GRID56</x:v>
      </x:c>
      <x:c r="B2769" s="19" t="str">
        <x:v>GRID56_report.md</x:v>
      </x:c>
      <x:c r="C2769" s="19" t="str">
        <x:v>1. 主版本与主结果</x:v>
      </x:c>
      <x:c r="D2769" s="19" t="str">
        <x:v>方法=SOFTGNN0；FULL控制时间减少=16.775%</x:v>
      </x:c>
      <x:c r="E2769" s="19" t="str">
        <x:v>最坏成本变化/FULL</x:v>
      </x:c>
      <x:c r="F2769" s="19" t="str">
        <x:v>+0.17696%</x:v>
      </x:c>
      <x:c r="G2769" s="19" t="str">
        <x:v>质量/成本</x:v>
      </x:c>
      <x:c r="H2769" s="19" t="str">
        <x:v>D:/Codex/GRL研究/outputs/grid56/GRID56_report.md</x:v>
      </x:c>
    </x:row>
    <x:row r="2770" ht="36" customHeight="1">
      <x:c r="A2770" s="19" t="str">
        <x:v>GRID56</x:v>
      </x:c>
      <x:c r="B2770" s="19" t="str">
        <x:v>GRID56_report.md</x:v>
      </x:c>
      <x:c r="C2770" s="19" t="str">
        <x:v>1. 主版本与主结果</x:v>
      </x:c>
      <x:c r="D2770" s="19" t="str">
        <x:v>方法=SOFTGNN0；FULL控制时间减少=16.775%</x:v>
      </x:c>
      <x:c r="E2770" s="19" t="str">
        <x:v>完成</x:v>
      </x:c>
      <x:c r="F2770" s="19" t="str">
        <x:v>16/16</x:v>
      </x:c>
      <x:c r="G2770" s="19" t="str">
        <x:v>质量/成本</x:v>
      </x:c>
      <x:c r="H2770" s="19" t="str">
        <x:v>D:/Codex/GRL研究/outputs/grid56/GRID56_report.md</x:v>
      </x:c>
    </x:row>
    <x:row r="2771" ht="36" customHeight="1">
      <x:c r="A2771" s="19" t="str">
        <x:v>GRID56</x:v>
      </x:c>
      <x:c r="B2771" s="19" t="str">
        <x:v>GRID56_report.md</x:v>
      </x:c>
      <x:c r="C2771" s="19" t="str">
        <x:v>1. 主版本与主结果</x:v>
      </x:c>
      <x:c r="D2771" s="19" t="str">
        <x:v>方法=SOFTGNN0；FULL控制时间减少=16.775%</x:v>
      </x:c>
      <x:c r="E2771" s="19" t="str">
        <x:v>质量尺度通过</x:v>
      </x:c>
      <x:c r="F2771" s="19" t="str">
        <x:v>16/16</x:v>
      </x:c>
      <x:c r="G2771" s="19" t="str">
        <x:v>质量/成本</x:v>
      </x:c>
      <x:c r="H2771" s="19" t="str">
        <x:v>D:/Codex/GRL研究/outputs/grid56/GRID56_report.md</x:v>
      </x:c>
    </x:row>
    <x:row r="2772" ht="36" customHeight="1">
      <x:c r="A2772" s="19" t="str">
        <x:v>GRID56</x:v>
      </x:c>
      <x:c r="B2772" s="19" t="str">
        <x:v>GRID56_report.md</x:v>
      </x:c>
      <x:c r="C2772" s="19" t="str">
        <x:v>1. 主版本与主结果</x:v>
      </x:c>
      <x:c r="D2772" s="19" t="str">
        <x:v>方法=SOFTGNN1；FULL控制时间减少=17.062%</x:v>
      </x:c>
      <x:c r="E2772" s="19" t="str">
        <x:v>FULL控制时间减少</x:v>
      </x:c>
      <x:c r="F2772" s="19" t="str">
        <x:v>17.062%</x:v>
      </x:c>
      <x:c r="G2772" s="19" t="str">
        <x:v>速度/计算</x:v>
      </x:c>
      <x:c r="H2772" s="19" t="str">
        <x:v>D:/Codex/GRL研究/outputs/grid56/GRID56_report.md</x:v>
      </x:c>
    </x:row>
    <x:row r="2773" ht="36" customHeight="1">
      <x:c r="A2773" s="19" t="str">
        <x:v>GRID56</x:v>
      </x:c>
      <x:c r="B2773" s="19" t="str">
        <x:v>GRID56_report.md</x:v>
      </x:c>
      <x:c r="C2773" s="19" t="str">
        <x:v>1. 主版本与主结果</x:v>
      </x:c>
      <x:c r="D2773" s="19" t="str">
        <x:v>方法=SOFTGNN1；FULL控制时间减少=17.062%</x:v>
      </x:c>
      <x:c r="E2773" s="19" t="str">
        <x:v>查询减少</x:v>
      </x:c>
      <x:c r="F2773" s="19" t="str">
        <x:v>67.717%</x:v>
      </x:c>
      <x:c r="G2773" s="19" t="str">
        <x:v>速度/计算</x:v>
      </x:c>
      <x:c r="H2773" s="19" t="str">
        <x:v>D:/Codex/GRL研究/outputs/grid56/GRID56_report.md</x:v>
      </x:c>
    </x:row>
    <x:row r="2774" ht="36" customHeight="1">
      <x:c r="A2774" s="19" t="str">
        <x:v>GRID56</x:v>
      </x:c>
      <x:c r="B2774" s="19" t="str">
        <x:v>GRID56_report.md</x:v>
      </x:c>
      <x:c r="C2774" s="19" t="str">
        <x:v>1. 主版本与主结果</x:v>
      </x:c>
      <x:c r="D2774" s="19" t="str">
        <x:v>方法=SOFTGNN1；FULL控制时间减少=17.062%</x:v>
      </x:c>
      <x:c r="E2774" s="19" t="str">
        <x:v>平均成本变化/FULL</x:v>
      </x:c>
      <x:c r="F2774" s="19" t="str">
        <x:v>-0.9811%</x:v>
      </x:c>
      <x:c r="G2774" s="19" t="str">
        <x:v>质量/成本</x:v>
      </x:c>
      <x:c r="H2774" s="19" t="str">
        <x:v>D:/Codex/GRL研究/outputs/grid56/GRID56_report.md</x:v>
      </x:c>
    </x:row>
    <x:row r="2775" ht="36" customHeight="1">
      <x:c r="A2775" s="19" t="str">
        <x:v>GRID56</x:v>
      </x:c>
      <x:c r="B2775" s="19" t="str">
        <x:v>GRID56_report.md</x:v>
      </x:c>
      <x:c r="C2775" s="19" t="str">
        <x:v>1. 主版本与主结果</x:v>
      </x:c>
      <x:c r="D2775" s="19" t="str">
        <x:v>方法=SOFTGNN1；FULL控制时间减少=17.062%</x:v>
      </x:c>
      <x:c r="E2775" s="19" t="str">
        <x:v>最坏成本变化/FULL</x:v>
      </x:c>
      <x:c r="F2775" s="19" t="str">
        <x:v>+0.16893%</x:v>
      </x:c>
      <x:c r="G2775" s="19" t="str">
        <x:v>质量/成本</x:v>
      </x:c>
      <x:c r="H2775" s="19" t="str">
        <x:v>D:/Codex/GRL研究/outputs/grid56/GRID56_report.md</x:v>
      </x:c>
    </x:row>
    <x:row r="2776" ht="36" customHeight="1">
      <x:c r="A2776" s="19" t="str">
        <x:v>GRID56</x:v>
      </x:c>
      <x:c r="B2776" s="19" t="str">
        <x:v>GRID56_report.md</x:v>
      </x:c>
      <x:c r="C2776" s="19" t="str">
        <x:v>1. 主版本与主结果</x:v>
      </x:c>
      <x:c r="D2776" s="19" t="str">
        <x:v>方法=SOFTGNN1；FULL控制时间减少=17.062%</x:v>
      </x:c>
      <x:c r="E2776" s="19" t="str">
        <x:v>完成</x:v>
      </x:c>
      <x:c r="F2776" s="19" t="str">
        <x:v>16/16</x:v>
      </x:c>
      <x:c r="G2776" s="19" t="str">
        <x:v>质量/成本</x:v>
      </x:c>
      <x:c r="H2776" s="19" t="str">
        <x:v>D:/Codex/GRL研究/outputs/grid56/GRID56_report.md</x:v>
      </x:c>
    </x:row>
    <x:row r="2777" ht="36" customHeight="1">
      <x:c r="A2777" s="19" t="str">
        <x:v>GRID56</x:v>
      </x:c>
      <x:c r="B2777" s="19" t="str">
        <x:v>GRID56_report.md</x:v>
      </x:c>
      <x:c r="C2777" s="19" t="str">
        <x:v>1. 主版本与主结果</x:v>
      </x:c>
      <x:c r="D2777" s="19" t="str">
        <x:v>方法=SOFTGNN1；FULL控制时间减少=17.062%</x:v>
      </x:c>
      <x:c r="E2777" s="19" t="str">
        <x:v>质量尺度通过</x:v>
      </x:c>
      <x:c r="F2777" s="19" t="str">
        <x:v>16/16</x:v>
      </x:c>
      <x:c r="G2777" s="19" t="str">
        <x:v>质量/成本</x:v>
      </x:c>
      <x:c r="H2777" s="19" t="str">
        <x:v>D:/Codex/GRL研究/outputs/grid56/GRID56_report.md</x:v>
      </x:c>
    </x:row>
    <x:row r="2778" ht="36" customHeight="1">
      <x:c r="A2778" s="19" t="str">
        <x:v>GRID56</x:v>
      </x:c>
      <x:c r="B2778" s="19" t="str">
        <x:v>GRID56_report.md</x:v>
      </x:c>
      <x:c r="C2778" s="19" t="str">
        <x:v>1. 主版本与主结果</x:v>
      </x:c>
      <x:c r="D2778" s="19" t="str">
        <x:v>方法=LOCAL_PPO；FULL控制时间减少=18.073%</x:v>
      </x:c>
      <x:c r="E2778" s="19" t="str">
        <x:v>FULL控制时间减少</x:v>
      </x:c>
      <x:c r="F2778" s="19" t="str">
        <x:v>18.073%</x:v>
      </x:c>
      <x:c r="G2778" s="19" t="str">
        <x:v>速度/计算</x:v>
      </x:c>
      <x:c r="H2778" s="19" t="str">
        <x:v>D:/Codex/GRL研究/outputs/grid56/GRID56_report.md</x:v>
      </x:c>
    </x:row>
    <x:row r="2779" ht="36" customHeight="1">
      <x:c r="A2779" s="19" t="str">
        <x:v>GRID56</x:v>
      </x:c>
      <x:c r="B2779" s="19" t="str">
        <x:v>GRID56_report.md</x:v>
      </x:c>
      <x:c r="C2779" s="19" t="str">
        <x:v>1. 主版本与主结果</x:v>
      </x:c>
      <x:c r="D2779" s="19" t="str">
        <x:v>方法=LOCAL_PPO；FULL控制时间减少=18.073%</x:v>
      </x:c>
      <x:c r="E2779" s="19" t="str">
        <x:v>查询减少</x:v>
      </x:c>
      <x:c r="F2779" s="19" t="str">
        <x:v>71.673%</x:v>
      </x:c>
      <x:c r="G2779" s="19" t="str">
        <x:v>速度/计算</x:v>
      </x:c>
      <x:c r="H2779" s="19" t="str">
        <x:v>D:/Codex/GRL研究/outputs/grid56/GRID56_report.md</x:v>
      </x:c>
    </x:row>
    <x:row r="2780" ht="36" customHeight="1">
      <x:c r="A2780" s="19" t="str">
        <x:v>GRID56</x:v>
      </x:c>
      <x:c r="B2780" s="19" t="str">
        <x:v>GRID56_report.md</x:v>
      </x:c>
      <x:c r="C2780" s="19" t="str">
        <x:v>1. 主版本与主结果</x:v>
      </x:c>
      <x:c r="D2780" s="19" t="str">
        <x:v>方法=LOCAL_PPO；FULL控制时间减少=18.073%</x:v>
      </x:c>
      <x:c r="E2780" s="19" t="str">
        <x:v>平均成本变化/FULL</x:v>
      </x:c>
      <x:c r="F2780" s="19" t="str">
        <x:v>+1.6457%</x:v>
      </x:c>
      <x:c r="G2780" s="19" t="str">
        <x:v>质量/成本</x:v>
      </x:c>
      <x:c r="H2780" s="19" t="str">
        <x:v>D:/Codex/GRL研究/outputs/grid56/GRID56_report.md</x:v>
      </x:c>
    </x:row>
    <x:row r="2781" ht="36" customHeight="1">
      <x:c r="A2781" s="19" t="str">
        <x:v>GRID56</x:v>
      </x:c>
      <x:c r="B2781" s="19" t="str">
        <x:v>GRID56_report.md</x:v>
      </x:c>
      <x:c r="C2781" s="19" t="str">
        <x:v>1. 主版本与主结果</x:v>
      </x:c>
      <x:c r="D2781" s="19" t="str">
        <x:v>方法=LOCAL_PPO；FULL控制时间减少=18.073%</x:v>
      </x:c>
      <x:c r="E2781" s="19" t="str">
        <x:v>最坏成本变化/FULL</x:v>
      </x:c>
      <x:c r="F2781" s="19" t="str">
        <x:v>+12.43418%</x:v>
      </x:c>
      <x:c r="G2781" s="19" t="str">
        <x:v>质量/成本</x:v>
      </x:c>
      <x:c r="H2781" s="19" t="str">
        <x:v>D:/Codex/GRL研究/outputs/grid56/GRID56_report.md</x:v>
      </x:c>
    </x:row>
    <x:row r="2782" ht="36" customHeight="1">
      <x:c r="A2782" s="19" t="str">
        <x:v>GRID56</x:v>
      </x:c>
      <x:c r="B2782" s="19" t="str">
        <x:v>GRID56_report.md</x:v>
      </x:c>
      <x:c r="C2782" s="19" t="str">
        <x:v>1. 主版本与主结果</x:v>
      </x:c>
      <x:c r="D2782" s="19" t="str">
        <x:v>方法=LOCAL_PPO；FULL控制时间减少=18.073%</x:v>
      </x:c>
      <x:c r="E2782" s="19" t="str">
        <x:v>完成</x:v>
      </x:c>
      <x:c r="F2782" s="19" t="str">
        <x:v>16/16</x:v>
      </x:c>
      <x:c r="G2782" s="19" t="str">
        <x:v>质量/成本</x:v>
      </x:c>
      <x:c r="H2782" s="19" t="str">
        <x:v>D:/Codex/GRL研究/outputs/grid56/GRID56_report.md</x:v>
      </x:c>
    </x:row>
    <x:row r="2783" ht="36" customHeight="1">
      <x:c r="A2783" s="19" t="str">
        <x:v>GRID56</x:v>
      </x:c>
      <x:c r="B2783" s="19" t="str">
        <x:v>GRID56_report.md</x:v>
      </x:c>
      <x:c r="C2783" s="19" t="str">
        <x:v>1. 主版本与主结果</x:v>
      </x:c>
      <x:c r="D2783" s="19" t="str">
        <x:v>方法=LOCAL_PPO；FULL控制时间减少=18.073%</x:v>
      </x:c>
      <x:c r="E2783" s="19" t="str">
        <x:v>质量尺度通过</x:v>
      </x:c>
      <x:c r="F2783" s="19" t="str">
        <x:v>12/16</x:v>
      </x:c>
      <x:c r="G2783" s="19" t="str">
        <x:v>质量/成本</x:v>
      </x:c>
      <x:c r="H2783" s="19" t="str">
        <x:v>D:/Codex/GRL研究/outputs/grid56/GRID56_report.md</x:v>
      </x:c>
    </x:row>
    <x:row r="2784" ht="36" customHeight="1">
      <x:c r="A2784" s="19" t="str">
        <x:v>GRID56</x:v>
      </x:c>
      <x:c r="B2784" s="19" t="str">
        <x:v>GRID56_report.md</x:v>
      </x:c>
      <x:c r="C2784" s="19" t="str">
        <x:v>1. 主版本与主结果</x:v>
      </x:c>
      <x:c r="D2784" s="19" t="str">
        <x:v>方法=COMPRESSED_GNN0；FULL控制时间减少=15.438%</x:v>
      </x:c>
      <x:c r="E2784" s="19" t="str">
        <x:v>FULL控制时间减少</x:v>
      </x:c>
      <x:c r="F2784" s="19" t="str">
        <x:v>15.438%</x:v>
      </x:c>
      <x:c r="G2784" s="19" t="str">
        <x:v>速度/计算</x:v>
      </x:c>
      <x:c r="H2784" s="19" t="str">
        <x:v>D:/Codex/GRL研究/outputs/grid56/GRID56_report.md</x:v>
      </x:c>
    </x:row>
    <x:row r="2785" ht="36" customHeight="1">
      <x:c r="A2785" s="19" t="str">
        <x:v>GRID56</x:v>
      </x:c>
      <x:c r="B2785" s="19" t="str">
        <x:v>GRID56_report.md</x:v>
      </x:c>
      <x:c r="C2785" s="19" t="str">
        <x:v>1. 主版本与主结果</x:v>
      </x:c>
      <x:c r="D2785" s="19" t="str">
        <x:v>方法=COMPRESSED_GNN0；FULL控制时间减少=15.438%</x:v>
      </x:c>
      <x:c r="E2785" s="19" t="str">
        <x:v>查询减少</x:v>
      </x:c>
      <x:c r="F2785" s="19" t="str">
        <x:v>69.998%</x:v>
      </x:c>
      <x:c r="G2785" s="19" t="str">
        <x:v>速度/计算</x:v>
      </x:c>
      <x:c r="H2785" s="19" t="str">
        <x:v>D:/Codex/GRL研究/outputs/grid56/GRID56_report.md</x:v>
      </x:c>
    </x:row>
    <x:row r="2786" ht="36" customHeight="1">
      <x:c r="A2786" s="19" t="str">
        <x:v>GRID56</x:v>
      </x:c>
      <x:c r="B2786" s="19" t="str">
        <x:v>GRID56_report.md</x:v>
      </x:c>
      <x:c r="C2786" s="19" t="str">
        <x:v>1. 主版本与主结果</x:v>
      </x:c>
      <x:c r="D2786" s="19" t="str">
        <x:v>方法=COMPRESSED_GNN0；FULL控制时间减少=15.438%</x:v>
      </x:c>
      <x:c r="E2786" s="19" t="str">
        <x:v>平均成本变化/FULL</x:v>
      </x:c>
      <x:c r="F2786" s="19" t="str">
        <x:v>-0.9367%</x:v>
      </x:c>
      <x:c r="G2786" s="19" t="str">
        <x:v>质量/成本</x:v>
      </x:c>
      <x:c r="H2786" s="19" t="str">
        <x:v>D:/Codex/GRL研究/outputs/grid56/GRID56_report.md</x:v>
      </x:c>
    </x:row>
    <x:row r="2787" ht="36" customHeight="1">
      <x:c r="A2787" s="19" t="str">
        <x:v>GRID56</x:v>
      </x:c>
      <x:c r="B2787" s="19" t="str">
        <x:v>GRID56_report.md</x:v>
      </x:c>
      <x:c r="C2787" s="19" t="str">
        <x:v>1. 主版本与主结果</x:v>
      </x:c>
      <x:c r="D2787" s="19" t="str">
        <x:v>方法=COMPRESSED_GNN0；FULL控制时间减少=15.438%</x:v>
      </x:c>
      <x:c r="E2787" s="19" t="str">
        <x:v>最坏成本变化/FULL</x:v>
      </x:c>
      <x:c r="F2787" s="19" t="str">
        <x:v>+0.08045%</x:v>
      </x:c>
      <x:c r="G2787" s="19" t="str">
        <x:v>质量/成本</x:v>
      </x:c>
      <x:c r="H2787" s="19" t="str">
        <x:v>D:/Codex/GRL研究/outputs/grid56/GRID56_report.md</x:v>
      </x:c>
    </x:row>
    <x:row r="2788" ht="36" customHeight="1">
      <x:c r="A2788" s="19" t="str">
        <x:v>GRID56</x:v>
      </x:c>
      <x:c r="B2788" s="19" t="str">
        <x:v>GRID56_report.md</x:v>
      </x:c>
      <x:c r="C2788" s="19" t="str">
        <x:v>1. 主版本与主结果</x:v>
      </x:c>
      <x:c r="D2788" s="19" t="str">
        <x:v>方法=COMPRESSED_GNN0；FULL控制时间减少=15.438%</x:v>
      </x:c>
      <x:c r="E2788" s="19" t="str">
        <x:v>完成</x:v>
      </x:c>
      <x:c r="F2788" s="19" t="str">
        <x:v>16/16</x:v>
      </x:c>
      <x:c r="G2788" s="19" t="str">
        <x:v>质量/成本</x:v>
      </x:c>
      <x:c r="H2788" s="19" t="str">
        <x:v>D:/Codex/GRL研究/outputs/grid56/GRID56_report.md</x:v>
      </x:c>
    </x:row>
    <x:row r="2789" ht="36" customHeight="1">
      <x:c r="A2789" s="19" t="str">
        <x:v>GRID56</x:v>
      </x:c>
      <x:c r="B2789" s="19" t="str">
        <x:v>GRID56_report.md</x:v>
      </x:c>
      <x:c r="C2789" s="19" t="str">
        <x:v>1. 主版本与主结果</x:v>
      </x:c>
      <x:c r="D2789" s="19" t="str">
        <x:v>方法=COMPRESSED_GNN0；FULL控制时间减少=15.438%</x:v>
      </x:c>
      <x:c r="E2789" s="19" t="str">
        <x:v>质量尺度通过</x:v>
      </x:c>
      <x:c r="F2789" s="19" t="str">
        <x:v>16/16</x:v>
      </x:c>
      <x:c r="G2789" s="19" t="str">
        <x:v>质量/成本</x:v>
      </x:c>
      <x:c r="H2789" s="19" t="str">
        <x:v>D:/Codex/GRL研究/outputs/grid56/GRID56_report.md</x:v>
      </x:c>
    </x:row>
    <x:row r="2790" ht="36" customHeight="1">
      <x:c r="A2790" s="19" t="str">
        <x:v>GRID56</x:v>
      </x:c>
      <x:c r="B2790" s="19" t="str">
        <x:v>GRID56_report.md</x:v>
      </x:c>
      <x:c r="C2790" s="19" t="str">
        <x:v>1. 主版本与主结果</x:v>
      </x:c>
      <x:c r="D2790" s="19" t="str">
        <x:v>方法=COMPRESSED_GNN1；FULL控制时间减少=16.065%</x:v>
      </x:c>
      <x:c r="E2790" s="19" t="str">
        <x:v>FULL控制时间减少</x:v>
      </x:c>
      <x:c r="F2790" s="19" t="str">
        <x:v>16.065%</x:v>
      </x:c>
      <x:c r="G2790" s="19" t="str">
        <x:v>速度/计算</x:v>
      </x:c>
      <x:c r="H2790" s="19" t="str">
        <x:v>D:/Codex/GRL研究/outputs/grid56/GRID56_report.md</x:v>
      </x:c>
    </x:row>
    <x:row r="2791" ht="36" customHeight="1">
      <x:c r="A2791" s="19" t="str">
        <x:v>GRID56</x:v>
      </x:c>
      <x:c r="B2791" s="19" t="str">
        <x:v>GRID56_report.md</x:v>
      </x:c>
      <x:c r="C2791" s="19" t="str">
        <x:v>1. 主版本与主结果</x:v>
      </x:c>
      <x:c r="D2791" s="19" t="str">
        <x:v>方法=COMPRESSED_GNN1；FULL控制时间减少=16.065%</x:v>
      </x:c>
      <x:c r="E2791" s="19" t="str">
        <x:v>查询减少</x:v>
      </x:c>
      <x:c r="F2791" s="19" t="str">
        <x:v>70.620%</x:v>
      </x:c>
      <x:c r="G2791" s="19" t="str">
        <x:v>速度/计算</x:v>
      </x:c>
      <x:c r="H2791" s="19" t="str">
        <x:v>D:/Codex/GRL研究/outputs/grid56/GRID56_report.md</x:v>
      </x:c>
    </x:row>
    <x:row r="2792" ht="36" customHeight="1">
      <x:c r="A2792" s="19" t="str">
        <x:v>GRID56</x:v>
      </x:c>
      <x:c r="B2792" s="19" t="str">
        <x:v>GRID56_report.md</x:v>
      </x:c>
      <x:c r="C2792" s="19" t="str">
        <x:v>1. 主版本与主结果</x:v>
      </x:c>
      <x:c r="D2792" s="19" t="str">
        <x:v>方法=COMPRESSED_GNN1；FULL控制时间减少=16.065%</x:v>
      </x:c>
      <x:c r="E2792" s="19" t="str">
        <x:v>平均成本变化/FULL</x:v>
      </x:c>
      <x:c r="F2792" s="19" t="str">
        <x:v>-1.0361%</x:v>
      </x:c>
      <x:c r="G2792" s="19" t="str">
        <x:v>质量/成本</x:v>
      </x:c>
      <x:c r="H2792" s="19" t="str">
        <x:v>D:/Codex/GRL研究/outputs/grid56/GRID56_report.md</x:v>
      </x:c>
    </x:row>
    <x:row r="2793" ht="36" customHeight="1">
      <x:c r="A2793" s="19" t="str">
        <x:v>GRID56</x:v>
      </x:c>
      <x:c r="B2793" s="19" t="str">
        <x:v>GRID56_report.md</x:v>
      </x:c>
      <x:c r="C2793" s="19" t="str">
        <x:v>1. 主版本与主结果</x:v>
      </x:c>
      <x:c r="D2793" s="19" t="str">
        <x:v>方法=COMPRESSED_GNN1；FULL控制时间减少=16.065%</x:v>
      </x:c>
      <x:c r="E2793" s="19" t="str">
        <x:v>最坏成本变化/FULL</x:v>
      </x:c>
      <x:c r="F2793" s="19" t="str">
        <x:v>+0.08045%</x:v>
      </x:c>
      <x:c r="G2793" s="19" t="str">
        <x:v>质量/成本</x:v>
      </x:c>
      <x:c r="H2793" s="19" t="str">
        <x:v>D:/Codex/GRL研究/outputs/grid56/GRID56_report.md</x:v>
      </x:c>
    </x:row>
    <x:row r="2794" ht="36" customHeight="1">
      <x:c r="A2794" s="19" t="str">
        <x:v>GRID56</x:v>
      </x:c>
      <x:c r="B2794" s="19" t="str">
        <x:v>GRID56_report.md</x:v>
      </x:c>
      <x:c r="C2794" s="19" t="str">
        <x:v>1. 主版本与主结果</x:v>
      </x:c>
      <x:c r="D2794" s="19" t="str">
        <x:v>方法=COMPRESSED_GNN1；FULL控制时间减少=16.065%</x:v>
      </x:c>
      <x:c r="E2794" s="19" t="str">
        <x:v>完成</x:v>
      </x:c>
      <x:c r="F2794" s="19" t="str">
        <x:v>16/16</x:v>
      </x:c>
      <x:c r="G2794" s="19" t="str">
        <x:v>质量/成本</x:v>
      </x:c>
      <x:c r="H2794" s="19" t="str">
        <x:v>D:/Codex/GRL研究/outputs/grid56/GRID56_report.md</x:v>
      </x:c>
    </x:row>
    <x:row r="2795" ht="36" customHeight="1">
      <x:c r="A2795" s="19" t="str">
        <x:v>GRID56</x:v>
      </x:c>
      <x:c r="B2795" s="19" t="str">
        <x:v>GRID56_report.md</x:v>
      </x:c>
      <x:c r="C2795" s="19" t="str">
        <x:v>1. 主版本与主结果</x:v>
      </x:c>
      <x:c r="D2795" s="19" t="str">
        <x:v>方法=COMPRESSED_GNN1；FULL控制时间减少=16.065%</x:v>
      </x:c>
      <x:c r="E2795" s="19" t="str">
        <x:v>质量尺度通过</x:v>
      </x:c>
      <x:c r="F2795" s="19" t="str">
        <x:v>16/16</x:v>
      </x:c>
      <x:c r="G2795" s="19" t="str">
        <x:v>质量/成本</x:v>
      </x:c>
      <x:c r="H2795" s="19" t="str">
        <x:v>D:/Codex/GRL研究/outputs/grid56/GRID56_report.md</x:v>
      </x:c>
    </x:row>
    <x:row r="2796" ht="36" customHeight="1">
      <x:c r="A2796" s="19" t="str">
        <x:v>GRID56</x:v>
      </x:c>
      <x:c r="B2796" s="19" t="str">
        <x:v>GRID56_report.md</x:v>
      </x:c>
      <x:c r="C2796" s="19" t="str">
        <x:v>1. 主版本与主结果</x:v>
      </x:c>
      <x:c r="D2796" s="19" t="str">
        <x:v>方法=LOCAL_GNN0；FULL控制时间减少=18.336%</x:v>
      </x:c>
      <x:c r="E2796" s="19" t="str">
        <x:v>FULL控制时间减少</x:v>
      </x:c>
      <x:c r="F2796" s="19" t="str">
        <x:v>18.336%</x:v>
      </x:c>
      <x:c r="G2796" s="19" t="str">
        <x:v>速度/计算</x:v>
      </x:c>
      <x:c r="H2796" s="19" t="str">
        <x:v>D:/Codex/GRL研究/outputs/grid56/GRID56_report.md</x:v>
      </x:c>
    </x:row>
    <x:row r="2797" ht="36" customHeight="1">
      <x:c r="A2797" s="19" t="str">
        <x:v>GRID56</x:v>
      </x:c>
      <x:c r="B2797" s="19" t="str">
        <x:v>GRID56_report.md</x:v>
      </x:c>
      <x:c r="C2797" s="19" t="str">
        <x:v>1. 主版本与主结果</x:v>
      </x:c>
      <x:c r="D2797" s="19" t="str">
        <x:v>方法=LOCAL_GNN0；FULL控制时间减少=18.336%</x:v>
      </x:c>
      <x:c r="E2797" s="19" t="str">
        <x:v>查询减少</x:v>
      </x:c>
      <x:c r="F2797" s="19" t="str">
        <x:v>69.291%</x:v>
      </x:c>
      <x:c r="G2797" s="19" t="str">
        <x:v>速度/计算</x:v>
      </x:c>
      <x:c r="H2797" s="19" t="str">
        <x:v>D:/Codex/GRL研究/outputs/grid56/GRID56_report.md</x:v>
      </x:c>
    </x:row>
    <x:row r="2798" ht="36" customHeight="1">
      <x:c r="A2798" s="19" t="str">
        <x:v>GRID56</x:v>
      </x:c>
      <x:c r="B2798" s="19" t="str">
        <x:v>GRID56_report.md</x:v>
      </x:c>
      <x:c r="C2798" s="19" t="str">
        <x:v>1. 主版本与主结果</x:v>
      </x:c>
      <x:c r="D2798" s="19" t="str">
        <x:v>方法=LOCAL_GNN0；FULL控制时间减少=18.336%</x:v>
      </x:c>
      <x:c r="E2798" s="19" t="str">
        <x:v>平均成本变化/FULL</x:v>
      </x:c>
      <x:c r="F2798" s="19" t="str">
        <x:v>-0.2715%</x:v>
      </x:c>
      <x:c r="G2798" s="19" t="str">
        <x:v>质量/成本</x:v>
      </x:c>
      <x:c r="H2798" s="19" t="str">
        <x:v>D:/Codex/GRL研究/outputs/grid56/GRID56_report.md</x:v>
      </x:c>
    </x:row>
    <x:row r="2799" ht="36" customHeight="1">
      <x:c r="A2799" s="19" t="str">
        <x:v>GRID56</x:v>
      </x:c>
      <x:c r="B2799" s="19" t="str">
        <x:v>GRID56_report.md</x:v>
      </x:c>
      <x:c r="C2799" s="19" t="str">
        <x:v>1. 主版本与主结果</x:v>
      </x:c>
      <x:c r="D2799" s="19" t="str">
        <x:v>方法=LOCAL_GNN0；FULL控制时间减少=18.336%</x:v>
      </x:c>
      <x:c r="E2799" s="19" t="str">
        <x:v>最坏成本变化/FULL</x:v>
      </x:c>
      <x:c r="F2799" s="19" t="str">
        <x:v>+1.74036%</x:v>
      </x:c>
      <x:c r="G2799" s="19" t="str">
        <x:v>质量/成本</x:v>
      </x:c>
      <x:c r="H2799" s="19" t="str">
        <x:v>D:/Codex/GRL研究/outputs/grid56/GRID56_report.md</x:v>
      </x:c>
    </x:row>
    <x:row r="2800" ht="36" customHeight="1">
      <x:c r="A2800" s="19" t="str">
        <x:v>GRID56</x:v>
      </x:c>
      <x:c r="B2800" s="19" t="str">
        <x:v>GRID56_report.md</x:v>
      </x:c>
      <x:c r="C2800" s="19" t="str">
        <x:v>1. 主版本与主结果</x:v>
      </x:c>
      <x:c r="D2800" s="19" t="str">
        <x:v>方法=LOCAL_GNN0；FULL控制时间减少=18.336%</x:v>
      </x:c>
      <x:c r="E2800" s="19" t="str">
        <x:v>完成</x:v>
      </x:c>
      <x:c r="F2800" s="19" t="str">
        <x:v>16/16</x:v>
      </x:c>
      <x:c r="G2800" s="19" t="str">
        <x:v>质量/成本</x:v>
      </x:c>
      <x:c r="H2800" s="19" t="str">
        <x:v>D:/Codex/GRL研究/outputs/grid56/GRID56_report.md</x:v>
      </x:c>
    </x:row>
    <x:row r="2801" ht="36" customHeight="1">
      <x:c r="A2801" s="19" t="str">
        <x:v>GRID56</x:v>
      </x:c>
      <x:c r="B2801" s="19" t="str">
        <x:v>GRID56_report.md</x:v>
      </x:c>
      <x:c r="C2801" s="19" t="str">
        <x:v>1. 主版本与主结果</x:v>
      </x:c>
      <x:c r="D2801" s="19" t="str">
        <x:v>方法=LOCAL_GNN0；FULL控制时间减少=18.336%</x:v>
      </x:c>
      <x:c r="E2801" s="19" t="str">
        <x:v>质量尺度通过</x:v>
      </x:c>
      <x:c r="F2801" s="19" t="str">
        <x:v>14/16</x:v>
      </x:c>
      <x:c r="G2801" s="19" t="str">
        <x:v>质量/成本</x:v>
      </x:c>
      <x:c r="H2801" s="19" t="str">
        <x:v>D:/Codex/GRL研究/outputs/grid56/GRID56_report.md</x:v>
      </x:c>
    </x:row>
    <x:row r="2802" ht="36" customHeight="1">
      <x:c r="A2802" s="19" t="str">
        <x:v>GRID56</x:v>
      </x:c>
      <x:c r="B2802" s="19" t="str">
        <x:v>GRID56_report.md</x:v>
      </x:c>
      <x:c r="C2802" s="19" t="str">
        <x:v>1. 主版本与主结果</x:v>
      </x:c>
      <x:c r="D2802" s="19" t="str">
        <x:v>方法=LOCAL_GNN1；FULL控制时间减少=18.429%</x:v>
      </x:c>
      <x:c r="E2802" s="19" t="str">
        <x:v>FULL控制时间减少</x:v>
      </x:c>
      <x:c r="F2802" s="19" t="str">
        <x:v>18.429%</x:v>
      </x:c>
      <x:c r="G2802" s="19" t="str">
        <x:v>速度/计算</x:v>
      </x:c>
      <x:c r="H2802" s="19" t="str">
        <x:v>D:/Codex/GRL研究/outputs/grid56/GRID56_report.md</x:v>
      </x:c>
    </x:row>
    <x:row r="2803" ht="36" customHeight="1">
      <x:c r="A2803" s="19" t="str">
        <x:v>GRID56</x:v>
      </x:c>
      <x:c r="B2803" s="19" t="str">
        <x:v>GRID56_report.md</x:v>
      </x:c>
      <x:c r="C2803" s="19" t="str">
        <x:v>1. 主版本与主结果</x:v>
      </x:c>
      <x:c r="D2803" s="19" t="str">
        <x:v>方法=LOCAL_GNN1；FULL控制时间减少=18.429%</x:v>
      </x:c>
      <x:c r="E2803" s="19" t="str">
        <x:v>查询减少</x:v>
      </x:c>
      <x:c r="F2803" s="19" t="str">
        <x:v>69.518%</x:v>
      </x:c>
      <x:c r="G2803" s="19" t="str">
        <x:v>速度/计算</x:v>
      </x:c>
      <x:c r="H2803" s="19" t="str">
        <x:v>D:/Codex/GRL研究/outputs/grid56/GRID56_report.md</x:v>
      </x:c>
    </x:row>
    <x:row r="2804" ht="36" customHeight="1">
      <x:c r="A2804" s="19" t="str">
        <x:v>GRID56</x:v>
      </x:c>
      <x:c r="B2804" s="19" t="str">
        <x:v>GRID56_report.md</x:v>
      </x:c>
      <x:c r="C2804" s="19" t="str">
        <x:v>1. 主版本与主结果</x:v>
      </x:c>
      <x:c r="D2804" s="19" t="str">
        <x:v>方法=LOCAL_GNN1；FULL控制时间减少=18.429%</x:v>
      </x:c>
      <x:c r="E2804" s="19" t="str">
        <x:v>平均成本变化/FULL</x:v>
      </x:c>
      <x:c r="F2804" s="19" t="str">
        <x:v>-0.2779%</x:v>
      </x:c>
      <x:c r="G2804" s="19" t="str">
        <x:v>质量/成本</x:v>
      </x:c>
      <x:c r="H2804" s="19" t="str">
        <x:v>D:/Codex/GRL研究/outputs/grid56/GRID56_report.md</x:v>
      </x:c>
    </x:row>
    <x:row r="2805" ht="36" customHeight="1">
      <x:c r="A2805" s="19" t="str">
        <x:v>GRID56</x:v>
      </x:c>
      <x:c r="B2805" s="19" t="str">
        <x:v>GRID56_report.md</x:v>
      </x:c>
      <x:c r="C2805" s="19" t="str">
        <x:v>1. 主版本与主结果</x:v>
      </x:c>
      <x:c r="D2805" s="19" t="str">
        <x:v>方法=LOCAL_GNN1；FULL控制时间减少=18.429%</x:v>
      </x:c>
      <x:c r="E2805" s="19" t="str">
        <x:v>最坏成本变化/FULL</x:v>
      </x:c>
      <x:c r="F2805" s="19" t="str">
        <x:v>+1.70438%</x:v>
      </x:c>
      <x:c r="G2805" s="19" t="str">
        <x:v>质量/成本</x:v>
      </x:c>
      <x:c r="H2805" s="19" t="str">
        <x:v>D:/Codex/GRL研究/outputs/grid56/GRID56_report.md</x:v>
      </x:c>
    </x:row>
    <x:row r="2806" ht="36" customHeight="1">
      <x:c r="A2806" s="19" t="str">
        <x:v>GRID56</x:v>
      </x:c>
      <x:c r="B2806" s="19" t="str">
        <x:v>GRID56_report.md</x:v>
      </x:c>
      <x:c r="C2806" s="19" t="str">
        <x:v>1. 主版本与主结果</x:v>
      </x:c>
      <x:c r="D2806" s="19" t="str">
        <x:v>方法=LOCAL_GNN1；FULL控制时间减少=18.429%</x:v>
      </x:c>
      <x:c r="E2806" s="19" t="str">
        <x:v>完成</x:v>
      </x:c>
      <x:c r="F2806" s="19" t="str">
        <x:v>16/16</x:v>
      </x:c>
      <x:c r="G2806" s="19" t="str">
        <x:v>质量/成本</x:v>
      </x:c>
      <x:c r="H2806" s="19" t="str">
        <x:v>D:/Codex/GRL研究/outputs/grid56/GRID56_report.md</x:v>
      </x:c>
    </x:row>
    <x:row r="2807" ht="36" customHeight="1">
      <x:c r="A2807" s="19" t="str">
        <x:v>GRID56</x:v>
      </x:c>
      <x:c r="B2807" s="19" t="str">
        <x:v>GRID56_report.md</x:v>
      </x:c>
      <x:c r="C2807" s="19" t="str">
        <x:v>1. 主版本与主结果</x:v>
      </x:c>
      <x:c r="D2807" s="19" t="str">
        <x:v>方法=LOCAL_GNN1；FULL控制时间减少=18.429%</x:v>
      </x:c>
      <x:c r="E2807" s="19" t="str">
        <x:v>质量尺度通过</x:v>
      </x:c>
      <x:c r="F2807" s="19" t="str">
        <x:v>14/16</x:v>
      </x:c>
      <x:c r="G2807" s="19" t="str">
        <x:v>质量/成本</x:v>
      </x:c>
      <x:c r="H2807" s="19" t="str">
        <x:v>D:/Codex/GRL研究/outputs/grid56/GRID56_report.md</x:v>
      </x:c>
    </x:row>
    <x:row r="2808" ht="36" customHeight="1">
      <x:c r="A2808" s="19" t="str">
        <x:v>GRID57</x:v>
      </x:c>
      <x:c r="B2808" s="19" t="str">
        <x:v>GRID57_report.md</x:v>
      </x:c>
      <x:c r="C2808" s="19" t="str">
        <x:v>1. GRID57 最终配置的固定顺序消融</x:v>
      </x:c>
      <x:c r="D2808" s="19" t="str">
        <x:v>日期=2035-01-22_2；STATIC完成=True</x:v>
      </x:c>
      <x:c r="E2808" s="19" t="str">
        <x:v>STATIC完成</x:v>
      </x:c>
      <x:c r="F2808" s="19" t="str">
        <x:v>True</x:v>
      </x:c>
      <x:c r="G2808" s="19" t="str">
        <x:v>质量/成本</x:v>
      </x:c>
      <x:c r="H2808" s="19" t="str">
        <x:v>D:/Codex/GRL研究/outputs/grid57/GRID57_report.md</x:v>
      </x:c>
    </x:row>
    <x:row r="2809" ht="36" customHeight="1">
      <x:c r="A2809" s="19" t="str">
        <x:v>GRID57</x:v>
      </x:c>
      <x:c r="B2809" s="19" t="str">
        <x:v>GRID57_report.md</x:v>
      </x:c>
      <x:c r="C2809" s="19" t="str">
        <x:v>1. GRID57 最终配置的固定顺序消融</x:v>
      </x:c>
      <x:c r="D2809" s="19" t="str">
        <x:v>日期=2035-01-22_2；STATIC完成=True</x:v>
      </x:c>
      <x:c r="E2809" s="19" t="str">
        <x:v>成本变化/FULL</x:v>
      </x:c>
      <x:c r="F2809" s="19" t="str">
        <x:v>-9.0327%</x:v>
      </x:c>
      <x:c r="G2809" s="19" t="str">
        <x:v>质量/成本</x:v>
      </x:c>
      <x:c r="H2809" s="19" t="str">
        <x:v>D:/Codex/GRL研究/outputs/grid57/GRID57_report.md</x:v>
      </x:c>
    </x:row>
    <x:row r="2810" ht="36" customHeight="1">
      <x:c r="A2810" s="19" t="str">
        <x:v>GRID57</x:v>
      </x:c>
      <x:c r="B2810" s="19" t="str">
        <x:v>GRID57_report.md</x:v>
      </x:c>
      <x:c r="C2810" s="19" t="str">
        <x:v>1. GRID57 最终配置的固定顺序消融</x:v>
      </x:c>
      <x:c r="D2810" s="19" t="str">
        <x:v>日期=2035-01-22_2；STATIC完成=True</x:v>
      </x:c>
      <x:c r="E2810" s="19" t="str">
        <x:v>GNN成本增益/FULL</x:v>
      </x:c>
      <x:c r="F2810" s="19" t="str">
        <x:v>-2.1960%</x:v>
      </x:c>
      <x:c r="G2810" s="19" t="str">
        <x:v>质量/成本</x:v>
      </x:c>
      <x:c r="H2810" s="19" t="str">
        <x:v>D:/Codex/GRL研究/outputs/grid57/GRID57_report.md</x:v>
      </x:c>
    </x:row>
    <x:row r="2811" ht="36" customHeight="1">
      <x:c r="A2811" s="19" t="str">
        <x:v>GRID57</x:v>
      </x:c>
      <x:c r="B2811" s="19" t="str">
        <x:v>GRID57_report.md</x:v>
      </x:c>
      <x:c r="C2811" s="19" t="str">
        <x:v>1. GRID57 最终配置的固定顺序消融</x:v>
      </x:c>
      <x:c r="D2811" s="19" t="str">
        <x:v>日期=2035-01-22_2；STATIC完成=True</x:v>
      </x:c>
      <x:c r="E2811" s="19" t="str">
        <x:v>STATIC查询</x:v>
      </x:c>
      <x:c r="F2811" s="19" t="str">
        <x:v>5102</x:v>
      </x:c>
      <x:c r="G2811" s="19" t="str">
        <x:v>速度/计算</x:v>
      </x:c>
      <x:c r="H2811" s="19" t="str">
        <x:v>D:/Codex/GRL研究/outputs/grid57/GRID57_report.md</x:v>
      </x:c>
    </x:row>
    <x:row r="2812" ht="36" customHeight="1">
      <x:c r="A2812" s="19" t="str">
        <x:v>GRID57</x:v>
      </x:c>
      <x:c r="B2812" s="19" t="str">
        <x:v>GRID57_report.md</x:v>
      </x:c>
      <x:c r="C2812" s="19" t="str">
        <x:v>1. GRID57 最终配置的固定顺序消融</x:v>
      </x:c>
      <x:c r="D2812" s="19" t="str">
        <x:v>日期=2035-01-22_2；STATIC完成=True</x:v>
      </x:c>
      <x:c r="E2812" s="19" t="str">
        <x:v>GNN平均查询</x:v>
      </x:c>
      <x:c r="F2812" s="19" t="str">
        <x:v>7011</x:v>
      </x:c>
      <x:c r="G2812" s="19" t="str">
        <x:v>速度/计算</x:v>
      </x:c>
      <x:c r="H2812" s="19" t="str">
        <x:v>D:/Codex/GRL研究/outputs/grid57/GRID57_report.md</x:v>
      </x:c>
    </x:row>
    <x:row r="2813" ht="36" customHeight="1">
      <x:c r="A2813" s="19" t="str">
        <x:v>GRID57</x:v>
      </x:c>
      <x:c r="B2813" s="19" t="str">
        <x:v>GRID57_report.md</x:v>
      </x:c>
      <x:c r="C2813" s="19" t="str">
        <x:v>1. GRID57 最终配置的固定顺序消融</x:v>
      </x:c>
      <x:c r="D2813" s="19" t="str">
        <x:v>日期=2035-01-22_2；STATIC完成=True</x:v>
      </x:c>
      <x:c r="E2813" s="19" t="str">
        <x:v>GNN查询减少</x:v>
      </x:c>
      <x:c r="F2813" s="19" t="str">
        <x:v>-37.417%</x:v>
      </x:c>
      <x:c r="G2813" s="19" t="str">
        <x:v>速度/计算</x:v>
      </x:c>
      <x:c r="H2813" s="19" t="str">
        <x:v>D:/Codex/GRL研究/outputs/grid57/GRID57_report.md</x:v>
      </x:c>
    </x:row>
    <x:row r="2814" ht="36" customHeight="1">
      <x:c r="A2814" s="19" t="str">
        <x:v>GRID57</x:v>
      </x:c>
      <x:c r="B2814" s="19" t="str">
        <x:v>GRID57_report.md</x:v>
      </x:c>
      <x:c r="C2814" s="19" t="str">
        <x:v>1. GRID57 最终配置的固定顺序消融</x:v>
      </x:c>
      <x:c r="D2814" s="19" t="str">
        <x:v>日期=2035-02-26_13；STATIC完成=True</x:v>
      </x:c>
      <x:c r="E2814" s="19" t="str">
        <x:v>STATIC完成</x:v>
      </x:c>
      <x:c r="F2814" s="19" t="str">
        <x:v>True</x:v>
      </x:c>
      <x:c r="G2814" s="19" t="str">
        <x:v>质量/成本</x:v>
      </x:c>
      <x:c r="H2814" s="19" t="str">
        <x:v>D:/Codex/GRL研究/outputs/grid57/GRID57_report.md</x:v>
      </x:c>
    </x:row>
    <x:row r="2815" ht="36" customHeight="1">
      <x:c r="A2815" s="19" t="str">
        <x:v>GRID57</x:v>
      </x:c>
      <x:c r="B2815" s="19" t="str">
        <x:v>GRID57_report.md</x:v>
      </x:c>
      <x:c r="C2815" s="19" t="str">
        <x:v>1. GRID57 最终配置的固定顺序消融</x:v>
      </x:c>
      <x:c r="D2815" s="19" t="str">
        <x:v>日期=2035-02-26_13；STATIC完成=True</x:v>
      </x:c>
      <x:c r="E2815" s="19" t="str">
        <x:v>成本变化/FULL</x:v>
      </x:c>
      <x:c r="F2815" s="19" t="str">
        <x:v>-0.5290%</x:v>
      </x:c>
      <x:c r="G2815" s="19" t="str">
        <x:v>质量/成本</x:v>
      </x:c>
      <x:c r="H2815" s="19" t="str">
        <x:v>D:/Codex/GRL研究/outputs/grid57/GRID57_report.md</x:v>
      </x:c>
    </x:row>
    <x:row r="2816" ht="36" customHeight="1">
      <x:c r="A2816" s="19" t="str">
        <x:v>GRID57</x:v>
      </x:c>
      <x:c r="B2816" s="19" t="str">
        <x:v>GRID57_report.md</x:v>
      </x:c>
      <x:c r="C2816" s="19" t="str">
        <x:v>1. GRID57 最终配置的固定顺序消融</x:v>
      </x:c>
      <x:c r="D2816" s="19" t="str">
        <x:v>日期=2035-02-26_13；STATIC完成=True</x:v>
      </x:c>
      <x:c r="E2816" s="19" t="str">
        <x:v>GNN成本增益/FULL</x:v>
      </x:c>
      <x:c r="F2816" s="19" t="str">
        <x:v>-0.6095%</x:v>
      </x:c>
      <x:c r="G2816" s="19" t="str">
        <x:v>质量/成本</x:v>
      </x:c>
      <x:c r="H2816" s="19" t="str">
        <x:v>D:/Codex/GRL研究/outputs/grid57/GRID57_report.md</x:v>
      </x:c>
    </x:row>
    <x:row r="2817" ht="36" customHeight="1">
      <x:c r="A2817" s="19" t="str">
        <x:v>GRID57</x:v>
      </x:c>
      <x:c r="B2817" s="19" t="str">
        <x:v>GRID57_report.md</x:v>
      </x:c>
      <x:c r="C2817" s="19" t="str">
        <x:v>1. GRID57 最终配置的固定顺序消融</x:v>
      </x:c>
      <x:c r="D2817" s="19" t="str">
        <x:v>日期=2035-02-26_13；STATIC完成=True</x:v>
      </x:c>
      <x:c r="E2817" s="19" t="str">
        <x:v>STATIC查询</x:v>
      </x:c>
      <x:c r="F2817" s="19" t="str">
        <x:v>2748</x:v>
      </x:c>
      <x:c r="G2817" s="19" t="str">
        <x:v>速度/计算</x:v>
      </x:c>
      <x:c r="H2817" s="19" t="str">
        <x:v>D:/Codex/GRL研究/outputs/grid57/GRID57_report.md</x:v>
      </x:c>
    </x:row>
    <x:row r="2818" ht="36" customHeight="1">
      <x:c r="A2818" s="19" t="str">
        <x:v>GRID57</x:v>
      </x:c>
      <x:c r="B2818" s="19" t="str">
        <x:v>GRID57_report.md</x:v>
      </x:c>
      <x:c r="C2818" s="19" t="str">
        <x:v>1. GRID57 最终配置的固定顺序消融</x:v>
      </x:c>
      <x:c r="D2818" s="19" t="str">
        <x:v>日期=2035-02-26_13；STATIC完成=True</x:v>
      </x:c>
      <x:c r="E2818" s="19" t="str">
        <x:v>GNN平均查询</x:v>
      </x:c>
      <x:c r="F2818" s="19" t="str">
        <x:v>2546</x:v>
      </x:c>
      <x:c r="G2818" s="19" t="str">
        <x:v>速度/计算</x:v>
      </x:c>
      <x:c r="H2818" s="19" t="str">
        <x:v>D:/Codex/GRL研究/outputs/grid57/GRID57_report.md</x:v>
      </x:c>
    </x:row>
    <x:row r="2819" ht="36" customHeight="1">
      <x:c r="A2819" s="19" t="str">
        <x:v>GRID57</x:v>
      </x:c>
      <x:c r="B2819" s="19" t="str">
        <x:v>GRID57_report.md</x:v>
      </x:c>
      <x:c r="C2819" s="19" t="str">
        <x:v>1. GRID57 最终配置的固定顺序消融</x:v>
      </x:c>
      <x:c r="D2819" s="19" t="str">
        <x:v>日期=2035-02-26_13；STATIC完成=True</x:v>
      </x:c>
      <x:c r="E2819" s="19" t="str">
        <x:v>GNN查询减少</x:v>
      </x:c>
      <x:c r="F2819" s="19" t="str">
        <x:v>7.369%</x:v>
      </x:c>
      <x:c r="G2819" s="19" t="str">
        <x:v>速度/计算</x:v>
      </x:c>
      <x:c r="H2819" s="19" t="str">
        <x:v>D:/Codex/GRL研究/outputs/grid57/GRID57_report.md</x:v>
      </x:c>
    </x:row>
    <x:row r="2820" ht="36" customHeight="1">
      <x:c r="A2820" s="19" t="str">
        <x:v>GRID57</x:v>
      </x:c>
      <x:c r="B2820" s="19" t="str">
        <x:v>GRID57_report.md</x:v>
      </x:c>
      <x:c r="C2820" s="19" t="str">
        <x:v>1. GRID57 最终配置的固定顺序消融</x:v>
      </x:c>
      <x:c r="D2820" s="19" t="str">
        <x:v>日期=2035-05-28_0；STATIC完成=True</x:v>
      </x:c>
      <x:c r="E2820" s="19" t="str">
        <x:v>STATIC完成</x:v>
      </x:c>
      <x:c r="F2820" s="19" t="str">
        <x:v>True</x:v>
      </x:c>
      <x:c r="G2820" s="19" t="str">
        <x:v>质量/成本</x:v>
      </x:c>
      <x:c r="H2820" s="19" t="str">
        <x:v>D:/Codex/GRL研究/outputs/grid57/GRID57_report.md</x:v>
      </x:c>
    </x:row>
    <x:row r="2821" ht="36" customHeight="1">
      <x:c r="A2821" s="19" t="str">
        <x:v>GRID57</x:v>
      </x:c>
      <x:c r="B2821" s="19" t="str">
        <x:v>GRID57_report.md</x:v>
      </x:c>
      <x:c r="C2821" s="19" t="str">
        <x:v>1. GRID57 最终配置的固定顺序消融</x:v>
      </x:c>
      <x:c r="D2821" s="19" t="str">
        <x:v>日期=2035-05-28_0；STATIC完成=True</x:v>
      </x:c>
      <x:c r="E2821" s="19" t="str">
        <x:v>成本变化/FULL</x:v>
      </x:c>
      <x:c r="F2821" s="19" t="str">
        <x:v>+0.0000%</x:v>
      </x:c>
      <x:c r="G2821" s="19" t="str">
        <x:v>质量/成本</x:v>
      </x:c>
      <x:c r="H2821" s="19" t="str">
        <x:v>D:/Codex/GRL研究/outputs/grid57/GRID57_report.md</x:v>
      </x:c>
    </x:row>
    <x:row r="2822" ht="36" customHeight="1">
      <x:c r="A2822" s="19" t="str">
        <x:v>GRID57</x:v>
      </x:c>
      <x:c r="B2822" s="19" t="str">
        <x:v>GRID57_report.md</x:v>
      </x:c>
      <x:c r="C2822" s="19" t="str">
        <x:v>1. GRID57 最终配置的固定顺序消融</x:v>
      </x:c>
      <x:c r="D2822" s="19" t="str">
        <x:v>日期=2035-05-28_0；STATIC完成=True</x:v>
      </x:c>
      <x:c r="E2822" s="19" t="str">
        <x:v>GNN成本增益/FULL</x:v>
      </x:c>
      <x:c r="F2822" s="19" t="str">
        <x:v>+0.0000%</x:v>
      </x:c>
      <x:c r="G2822" s="19" t="str">
        <x:v>质量/成本</x:v>
      </x:c>
      <x:c r="H2822" s="19" t="str">
        <x:v>D:/Codex/GRL研究/outputs/grid57/GRID57_report.md</x:v>
      </x:c>
    </x:row>
    <x:row r="2823" ht="36" customHeight="1">
      <x:c r="A2823" s="19" t="str">
        <x:v>GRID57</x:v>
      </x:c>
      <x:c r="B2823" s="19" t="str">
        <x:v>GRID57_report.md</x:v>
      </x:c>
      <x:c r="C2823" s="19" t="str">
        <x:v>1. GRID57 最终配置的固定顺序消融</x:v>
      </x:c>
      <x:c r="D2823" s="19" t="str">
        <x:v>日期=2035-05-28_0；STATIC完成=True</x:v>
      </x:c>
      <x:c r="E2823" s="19" t="str">
        <x:v>STATIC查询</x:v>
      </x:c>
      <x:c r="F2823" s="19" t="str">
        <x:v>0</x:v>
      </x:c>
      <x:c r="G2823" s="19" t="str">
        <x:v>速度/计算</x:v>
      </x:c>
      <x:c r="H2823" s="19" t="str">
        <x:v>D:/Codex/GRL研究/outputs/grid57/GRID57_report.md</x:v>
      </x:c>
    </x:row>
    <x:row r="2824" ht="36" customHeight="1">
      <x:c r="A2824" s="19" t="str">
        <x:v>GRID57</x:v>
      </x:c>
      <x:c r="B2824" s="19" t="str">
        <x:v>GRID57_report.md</x:v>
      </x:c>
      <x:c r="C2824" s="19" t="str">
        <x:v>1. GRID57 最终配置的固定顺序消融</x:v>
      </x:c>
      <x:c r="D2824" s="19" t="str">
        <x:v>日期=2035-05-28_0；STATIC完成=True</x:v>
      </x:c>
      <x:c r="E2824" s="19" t="str">
        <x:v>GNN平均查询</x:v>
      </x:c>
      <x:c r="F2824" s="19" t="str">
        <x:v>0</x:v>
      </x:c>
      <x:c r="G2824" s="19" t="str">
        <x:v>速度/计算</x:v>
      </x:c>
      <x:c r="H2824" s="19" t="str">
        <x:v>D:/Codex/GRL研究/outputs/grid57/GRID57_report.md</x:v>
      </x:c>
    </x:row>
    <x:row r="2825" ht="36" customHeight="1">
      <x:c r="A2825" s="19" t="str">
        <x:v>GRID57</x:v>
      </x:c>
      <x:c r="B2825" s="19" t="str">
        <x:v>GRID57_report.md</x:v>
      </x:c>
      <x:c r="C2825" s="19" t="str">
        <x:v>1. GRID57 最终配置的固定顺序消融</x:v>
      </x:c>
      <x:c r="D2825" s="19" t="str">
        <x:v>日期=2035-05-28_0；STATIC完成=True</x:v>
      </x:c>
      <x:c r="E2825" s="19" t="str">
        <x:v>GNN查询减少</x:v>
      </x:c>
      <x:c r="F2825" s="19" t="str">
        <x:v>不定义（无查询）</x:v>
      </x:c>
      <x:c r="G2825" s="19" t="str">
        <x:v>速度/计算</x:v>
      </x:c>
      <x:c r="H2825" s="19" t="str">
        <x:v>D:/Codex/GRL研究/outputs/grid57/GRID57_report.md</x:v>
      </x:c>
    </x:row>
    <x:row r="2826" ht="36" customHeight="1">
      <x:c r="A2826" s="19" t="str">
        <x:v>GRID57</x:v>
      </x:c>
      <x:c r="B2826" s="19" t="str">
        <x:v>GRID57_report.md</x:v>
      </x:c>
      <x:c r="C2826" s="19" t="str">
        <x:v>1. GRID57 最终配置的固定顺序消融</x:v>
      </x:c>
      <x:c r="D2826" s="19" t="str">
        <x:v>日期=2035-06-04_6；STATIC完成=True</x:v>
      </x:c>
      <x:c r="E2826" s="19" t="str">
        <x:v>STATIC完成</x:v>
      </x:c>
      <x:c r="F2826" s="19" t="str">
        <x:v>True</x:v>
      </x:c>
      <x:c r="G2826" s="19" t="str">
        <x:v>质量/成本</x:v>
      </x:c>
      <x:c r="H2826" s="19" t="str">
        <x:v>D:/Codex/GRL研究/outputs/grid57/GRID57_report.md</x:v>
      </x:c>
    </x:row>
    <x:row r="2827" ht="36" customHeight="1">
      <x:c r="A2827" s="19" t="str">
        <x:v>GRID57</x:v>
      </x:c>
      <x:c r="B2827" s="19" t="str">
        <x:v>GRID57_report.md</x:v>
      </x:c>
      <x:c r="C2827" s="19" t="str">
        <x:v>1. GRID57 最终配置的固定顺序消融</x:v>
      </x:c>
      <x:c r="D2827" s="19" t="str">
        <x:v>日期=2035-06-04_6；STATIC完成=True</x:v>
      </x:c>
      <x:c r="E2827" s="19" t="str">
        <x:v>成本变化/FULL</x:v>
      </x:c>
      <x:c r="F2827" s="19" t="str">
        <x:v>-0.1765%</x:v>
      </x:c>
      <x:c r="G2827" s="19" t="str">
        <x:v>质量/成本</x:v>
      </x:c>
      <x:c r="H2827" s="19" t="str">
        <x:v>D:/Codex/GRL研究/outputs/grid57/GRID57_report.md</x:v>
      </x:c>
    </x:row>
    <x:row r="2828" ht="36" customHeight="1">
      <x:c r="A2828" s="19" t="str">
        <x:v>GRID57</x:v>
      </x:c>
      <x:c r="B2828" s="19" t="str">
        <x:v>GRID57_report.md</x:v>
      </x:c>
      <x:c r="C2828" s="19" t="str">
        <x:v>1. GRID57 最终配置的固定顺序消融</x:v>
      </x:c>
      <x:c r="D2828" s="19" t="str">
        <x:v>日期=2035-06-04_6；STATIC完成=True</x:v>
      </x:c>
      <x:c r="E2828" s="19" t="str">
        <x:v>GNN成本增益/FULL</x:v>
      </x:c>
      <x:c r="F2828" s="19" t="str">
        <x:v>-0.0021%</x:v>
      </x:c>
      <x:c r="G2828" s="19" t="str">
        <x:v>质量/成本</x:v>
      </x:c>
      <x:c r="H2828" s="19" t="str">
        <x:v>D:/Codex/GRL研究/outputs/grid57/GRID57_report.md</x:v>
      </x:c>
    </x:row>
    <x:row r="2829" ht="36" customHeight="1">
      <x:c r="A2829" s="19" t="str">
        <x:v>GRID57</x:v>
      </x:c>
      <x:c r="B2829" s="19" t="str">
        <x:v>GRID57_report.md</x:v>
      </x:c>
      <x:c r="C2829" s="19" t="str">
        <x:v>1. GRID57 最终配置的固定顺序消融</x:v>
      </x:c>
      <x:c r="D2829" s="19" t="str">
        <x:v>日期=2035-06-04_6；STATIC完成=True</x:v>
      </x:c>
      <x:c r="E2829" s="19" t="str">
        <x:v>STATIC查询</x:v>
      </x:c>
      <x:c r="F2829" s="19" t="str">
        <x:v>1714</x:v>
      </x:c>
      <x:c r="G2829" s="19" t="str">
        <x:v>速度/计算</x:v>
      </x:c>
      <x:c r="H2829" s="19" t="str">
        <x:v>D:/Codex/GRL研究/outputs/grid57/GRID57_report.md</x:v>
      </x:c>
    </x:row>
    <x:row r="2830" ht="36" customHeight="1">
      <x:c r="A2830" s="19" t="str">
        <x:v>GRID57</x:v>
      </x:c>
      <x:c r="B2830" s="19" t="str">
        <x:v>GRID57_report.md</x:v>
      </x:c>
      <x:c r="C2830" s="19" t="str">
        <x:v>1. GRID57 最终配置的固定顺序消融</x:v>
      </x:c>
      <x:c r="D2830" s="19" t="str">
        <x:v>日期=2035-06-04_6；STATIC完成=True</x:v>
      </x:c>
      <x:c r="E2830" s="19" t="str">
        <x:v>GNN平均查询</x:v>
      </x:c>
      <x:c r="F2830" s="19" t="str">
        <x:v>1600</x:v>
      </x:c>
      <x:c r="G2830" s="19" t="str">
        <x:v>速度/计算</x:v>
      </x:c>
      <x:c r="H2830" s="19" t="str">
        <x:v>D:/Codex/GRL研究/outputs/grid57/GRID57_report.md</x:v>
      </x:c>
    </x:row>
    <x:row r="2831" ht="36" customHeight="1">
      <x:c r="A2831" s="19" t="str">
        <x:v>GRID57</x:v>
      </x:c>
      <x:c r="B2831" s="19" t="str">
        <x:v>GRID57_report.md</x:v>
      </x:c>
      <x:c r="C2831" s="19" t="str">
        <x:v>1. GRID57 最终配置的固定顺序消融</x:v>
      </x:c>
      <x:c r="D2831" s="19" t="str">
        <x:v>日期=2035-06-04_6；STATIC完成=True</x:v>
      </x:c>
      <x:c r="E2831" s="19" t="str">
        <x:v>GNN查询减少</x:v>
      </x:c>
      <x:c r="F2831" s="19" t="str">
        <x:v>6.622%</x:v>
      </x:c>
      <x:c r="G2831" s="19" t="str">
        <x:v>速度/计算</x:v>
      </x:c>
      <x:c r="H2831" s="19" t="str">
        <x:v>D:/Codex/GRL研究/outputs/grid57/GRID57_report.md</x:v>
      </x:c>
    </x:row>
    <x:row r="2832" ht="36" customHeight="1">
      <x:c r="A2832" s="19" t="str">
        <x:v>GRID57</x:v>
      </x:c>
      <x:c r="B2832" s="19" t="str">
        <x:v>GRID57_report.md</x:v>
      </x:c>
      <x:c r="C2832" s="19" t="str">
        <x:v>1. GRID57 最终配置的固定顺序消融</x:v>
      </x:c>
      <x:c r="D2832" s="19" t="str">
        <x:v>日期=2035-07-30_12；STATIC完成=True</x:v>
      </x:c>
      <x:c r="E2832" s="19" t="str">
        <x:v>STATIC完成</x:v>
      </x:c>
      <x:c r="F2832" s="19" t="str">
        <x:v>True</x:v>
      </x:c>
      <x:c r="G2832" s="19" t="str">
        <x:v>质量/成本</x:v>
      </x:c>
      <x:c r="H2832" s="19" t="str">
        <x:v>D:/Codex/GRL研究/outputs/grid57/GRID57_report.md</x:v>
      </x:c>
    </x:row>
    <x:row r="2833" ht="36" customHeight="1">
      <x:c r="A2833" s="19" t="str">
        <x:v>GRID57</x:v>
      </x:c>
      <x:c r="B2833" s="19" t="str">
        <x:v>GRID57_report.md</x:v>
      </x:c>
      <x:c r="C2833" s="19" t="str">
        <x:v>1. GRID57 最终配置的固定顺序消融</x:v>
      </x:c>
      <x:c r="D2833" s="19" t="str">
        <x:v>日期=2035-07-30_12；STATIC完成=True</x:v>
      </x:c>
      <x:c r="E2833" s="19" t="str">
        <x:v>成本变化/FULL</x:v>
      </x:c>
      <x:c r="F2833" s="19" t="str">
        <x:v>-0.1734%</x:v>
      </x:c>
      <x:c r="G2833" s="19" t="str">
        <x:v>质量/成本</x:v>
      </x:c>
      <x:c r="H2833" s="19" t="str">
        <x:v>D:/Codex/GRL研究/outputs/grid57/GRID57_report.md</x:v>
      </x:c>
    </x:row>
    <x:row r="2834" ht="36" customHeight="1">
      <x:c r="A2834" s="19" t="str">
        <x:v>GRID57</x:v>
      </x:c>
      <x:c r="B2834" s="19" t="str">
        <x:v>GRID57_report.md</x:v>
      </x:c>
      <x:c r="C2834" s="19" t="str">
        <x:v>1. GRID57 最终配置的固定顺序消融</x:v>
      </x:c>
      <x:c r="D2834" s="19" t="str">
        <x:v>日期=2035-07-30_12；STATIC完成=True</x:v>
      </x:c>
      <x:c r="E2834" s="19" t="str">
        <x:v>GNN成本增益/FULL</x:v>
      </x:c>
      <x:c r="F2834" s="19" t="str">
        <x:v>+0.1088%</x:v>
      </x:c>
      <x:c r="G2834" s="19" t="str">
        <x:v>质量/成本</x:v>
      </x:c>
      <x:c r="H2834" s="19" t="str">
        <x:v>D:/Codex/GRL研究/outputs/grid57/GRID57_report.md</x:v>
      </x:c>
    </x:row>
    <x:row r="2835" ht="36" customHeight="1">
      <x:c r="A2835" s="19" t="str">
        <x:v>GRID57</x:v>
      </x:c>
      <x:c r="B2835" s="19" t="str">
        <x:v>GRID57_report.md</x:v>
      </x:c>
      <x:c r="C2835" s="19" t="str">
        <x:v>1. GRID57 最终配置的固定顺序消融</x:v>
      </x:c>
      <x:c r="D2835" s="19" t="str">
        <x:v>日期=2035-07-30_12；STATIC完成=True</x:v>
      </x:c>
      <x:c r="E2835" s="19" t="str">
        <x:v>STATIC查询</x:v>
      </x:c>
      <x:c r="F2835" s="19" t="str">
        <x:v>1431</x:v>
      </x:c>
      <x:c r="G2835" s="19" t="str">
        <x:v>速度/计算</x:v>
      </x:c>
      <x:c r="H2835" s="19" t="str">
        <x:v>D:/Codex/GRL研究/outputs/grid57/GRID57_report.md</x:v>
      </x:c>
    </x:row>
    <x:row r="2836" ht="36" customHeight="1">
      <x:c r="A2836" s="19" t="str">
        <x:v>GRID57</x:v>
      </x:c>
      <x:c r="B2836" s="19" t="str">
        <x:v>GRID57_report.md</x:v>
      </x:c>
      <x:c r="C2836" s="19" t="str">
        <x:v>1. GRID57 最终配置的固定顺序消融</x:v>
      </x:c>
      <x:c r="D2836" s="19" t="str">
        <x:v>日期=2035-07-30_12；STATIC完成=True</x:v>
      </x:c>
      <x:c r="E2836" s="19" t="str">
        <x:v>GNN平均查询</x:v>
      </x:c>
      <x:c r="F2836" s="19" t="str">
        <x:v>1024</x:v>
      </x:c>
      <x:c r="G2836" s="19" t="str">
        <x:v>速度/计算</x:v>
      </x:c>
      <x:c r="H2836" s="19" t="str">
        <x:v>D:/Codex/GRL研究/outputs/grid57/GRID57_report.md</x:v>
      </x:c>
    </x:row>
    <x:row r="2837" ht="36" customHeight="1">
      <x:c r="A2837" s="19" t="str">
        <x:v>GRID57</x:v>
      </x:c>
      <x:c r="B2837" s="19" t="str">
        <x:v>GRID57_report.md</x:v>
      </x:c>
      <x:c r="C2837" s="19" t="str">
        <x:v>1. GRID57 最终配置的固定顺序消融</x:v>
      </x:c>
      <x:c r="D2837" s="19" t="str">
        <x:v>日期=2035-07-30_12；STATIC完成=True</x:v>
      </x:c>
      <x:c r="E2837" s="19" t="str">
        <x:v>GNN查询减少</x:v>
      </x:c>
      <x:c r="F2837" s="19" t="str">
        <x:v>28.442%</x:v>
      </x:c>
      <x:c r="G2837" s="19" t="str">
        <x:v>速度/计算</x:v>
      </x:c>
      <x:c r="H2837" s="19" t="str">
        <x:v>D:/Codex/GRL研究/outputs/grid57/GRID57_report.md</x:v>
      </x:c>
    </x:row>
    <x:row r="2838" ht="36" customHeight="1">
      <x:c r="A2838" s="19" t="str">
        <x:v>GRID57</x:v>
      </x:c>
      <x:c r="B2838" s="19" t="str">
        <x:v>GRID57_report.md</x:v>
      </x:c>
      <x:c r="C2838" s="19" t="str">
        <x:v>1. GRID57 最终配置的固定顺序消融</x:v>
      </x:c>
      <x:c r="D2838" s="19" t="str">
        <x:v>日期=2035-09-24_4；STATIC完成=True</x:v>
      </x:c>
      <x:c r="E2838" s="19" t="str">
        <x:v>STATIC完成</x:v>
      </x:c>
      <x:c r="F2838" s="19" t="str">
        <x:v>True</x:v>
      </x:c>
      <x:c r="G2838" s="19" t="str">
        <x:v>质量/成本</x:v>
      </x:c>
      <x:c r="H2838" s="19" t="str">
        <x:v>D:/Codex/GRL研究/outputs/grid57/GRID57_report.md</x:v>
      </x:c>
    </x:row>
    <x:row r="2839" ht="36" customHeight="1">
      <x:c r="A2839" s="19" t="str">
        <x:v>GRID57</x:v>
      </x:c>
      <x:c r="B2839" s="19" t="str">
        <x:v>GRID57_report.md</x:v>
      </x:c>
      <x:c r="C2839" s="19" t="str">
        <x:v>1. GRID57 最终配置的固定顺序消融</x:v>
      </x:c>
      <x:c r="D2839" s="19" t="str">
        <x:v>日期=2035-09-24_4；STATIC完成=True</x:v>
      </x:c>
      <x:c r="E2839" s="19" t="str">
        <x:v>成本变化/FULL</x:v>
      </x:c>
      <x:c r="F2839" s="19" t="str">
        <x:v>-0.0973%</x:v>
      </x:c>
      <x:c r="G2839" s="19" t="str">
        <x:v>质量/成本</x:v>
      </x:c>
      <x:c r="H2839" s="19" t="str">
        <x:v>D:/Codex/GRL研究/outputs/grid57/GRID57_report.md</x:v>
      </x:c>
    </x:row>
    <x:row r="2840" ht="36" customHeight="1">
      <x:c r="A2840" s="19" t="str">
        <x:v>GRID57</x:v>
      </x:c>
      <x:c r="B2840" s="19" t="str">
        <x:v>GRID57_report.md</x:v>
      </x:c>
      <x:c r="C2840" s="19" t="str">
        <x:v>1. GRID57 最终配置的固定顺序消融</x:v>
      </x:c>
      <x:c r="D2840" s="19" t="str">
        <x:v>日期=2035-09-24_4；STATIC完成=True</x:v>
      </x:c>
      <x:c r="E2840" s="19" t="str">
        <x:v>GNN成本增益/FULL</x:v>
      </x:c>
      <x:c r="F2840" s="19" t="str">
        <x:v>-0.0887%</x:v>
      </x:c>
      <x:c r="G2840" s="19" t="str">
        <x:v>质量/成本</x:v>
      </x:c>
      <x:c r="H2840" s="19" t="str">
        <x:v>D:/Codex/GRL研究/outputs/grid57/GRID57_report.md</x:v>
      </x:c>
    </x:row>
    <x:row r="2841" ht="36" customHeight="1">
      <x:c r="A2841" s="19" t="str">
        <x:v>GRID57</x:v>
      </x:c>
      <x:c r="B2841" s="19" t="str">
        <x:v>GRID57_report.md</x:v>
      </x:c>
      <x:c r="C2841" s="19" t="str">
        <x:v>1. GRID57 最终配置的固定顺序消融</x:v>
      </x:c>
      <x:c r="D2841" s="19" t="str">
        <x:v>日期=2035-09-24_4；STATIC完成=True</x:v>
      </x:c>
      <x:c r="E2841" s="19" t="str">
        <x:v>STATIC查询</x:v>
      </x:c>
      <x:c r="F2841" s="19" t="str">
        <x:v>1024</x:v>
      </x:c>
      <x:c r="G2841" s="19" t="str">
        <x:v>速度/计算</x:v>
      </x:c>
      <x:c r="H2841" s="19" t="str">
        <x:v>D:/Codex/GRL研究/outputs/grid57/GRID57_report.md</x:v>
      </x:c>
    </x:row>
    <x:row r="2842" ht="36" customHeight="1">
      <x:c r="A2842" s="19" t="str">
        <x:v>GRID57</x:v>
      </x:c>
      <x:c r="B2842" s="19" t="str">
        <x:v>GRID57_report.md</x:v>
      </x:c>
      <x:c r="C2842" s="19" t="str">
        <x:v>1. GRID57 最终配置的固定顺序消融</x:v>
      </x:c>
      <x:c r="D2842" s="19" t="str">
        <x:v>日期=2035-09-24_4；STATIC完成=True</x:v>
      </x:c>
      <x:c r="E2842" s="19" t="str">
        <x:v>GNN平均查询</x:v>
      </x:c>
      <x:c r="F2842" s="19" t="str">
        <x:v>1024</x:v>
      </x:c>
      <x:c r="G2842" s="19" t="str">
        <x:v>速度/计算</x:v>
      </x:c>
      <x:c r="H2842" s="19" t="str">
        <x:v>D:/Codex/GRL研究/outputs/grid57/GRID57_report.md</x:v>
      </x:c>
    </x:row>
    <x:row r="2843" ht="36" customHeight="1">
      <x:c r="A2843" s="19" t="str">
        <x:v>GRID57</x:v>
      </x:c>
      <x:c r="B2843" s="19" t="str">
        <x:v>GRID57_report.md</x:v>
      </x:c>
      <x:c r="C2843" s="19" t="str">
        <x:v>1. GRID57 最终配置的固定顺序消融</x:v>
      </x:c>
      <x:c r="D2843" s="19" t="str">
        <x:v>日期=2035-09-24_4；STATIC完成=True</x:v>
      </x:c>
      <x:c r="E2843" s="19" t="str">
        <x:v>GNN查询减少</x:v>
      </x:c>
      <x:c r="F2843" s="19" t="str">
        <x:v>0.000%</x:v>
      </x:c>
      <x:c r="G2843" s="19" t="str">
        <x:v>速度/计算</x:v>
      </x:c>
      <x:c r="H2843" s="19" t="str">
        <x:v>D:/Codex/GRL研究/outputs/grid57/GRID57_report.md</x:v>
      </x:c>
    </x:row>
    <x:row r="2844" ht="36" customHeight="1">
      <x:c r="A2844" s="19" t="str">
        <x:v>GRID57</x:v>
      </x:c>
      <x:c r="B2844" s="19" t="str">
        <x:v>GRID57_report.md</x:v>
      </x:c>
      <x:c r="C2844" s="19" t="str">
        <x:v>1. GRID57 最终配置的固定顺序消融</x:v>
      </x:c>
      <x:c r="D2844" s="19" t="str">
        <x:v>日期=2035-10-15_4；STATIC完成=True</x:v>
      </x:c>
      <x:c r="E2844" s="19" t="str">
        <x:v>STATIC完成</x:v>
      </x:c>
      <x:c r="F2844" s="19" t="str">
        <x:v>True</x:v>
      </x:c>
      <x:c r="G2844" s="19" t="str">
        <x:v>质量/成本</x:v>
      </x:c>
      <x:c r="H2844" s="19" t="str">
        <x:v>D:/Codex/GRL研究/outputs/grid57/GRID57_report.md</x:v>
      </x:c>
    </x:row>
    <x:row r="2845" ht="36" customHeight="1">
      <x:c r="A2845" s="19" t="str">
        <x:v>GRID57</x:v>
      </x:c>
      <x:c r="B2845" s="19" t="str">
        <x:v>GRID57_report.md</x:v>
      </x:c>
      <x:c r="C2845" s="19" t="str">
        <x:v>1. GRID57 最终配置的固定顺序消融</x:v>
      </x:c>
      <x:c r="D2845" s="19" t="str">
        <x:v>日期=2035-10-15_4；STATIC完成=True</x:v>
      </x:c>
      <x:c r="E2845" s="19" t="str">
        <x:v>成本变化/FULL</x:v>
      </x:c>
      <x:c r="F2845" s="19" t="str">
        <x:v>-0.8954%</x:v>
      </x:c>
      <x:c r="G2845" s="19" t="str">
        <x:v>质量/成本</x:v>
      </x:c>
      <x:c r="H2845" s="19" t="str">
        <x:v>D:/Codex/GRL研究/outputs/grid57/GRID57_report.md</x:v>
      </x:c>
    </x:row>
    <x:row r="2846" ht="36" customHeight="1">
      <x:c r="A2846" s="19" t="str">
        <x:v>GRID57</x:v>
      </x:c>
      <x:c r="B2846" s="19" t="str">
        <x:v>GRID57_report.md</x:v>
      </x:c>
      <x:c r="C2846" s="19" t="str">
        <x:v>1. GRID57 最终配置的固定顺序消融</x:v>
      </x:c>
      <x:c r="D2846" s="19" t="str">
        <x:v>日期=2035-10-15_4；STATIC完成=True</x:v>
      </x:c>
      <x:c r="E2846" s="19" t="str">
        <x:v>GNN成本增益/FULL</x:v>
      </x:c>
      <x:c r="F2846" s="19" t="str">
        <x:v>-0.4691%</x:v>
      </x:c>
      <x:c r="G2846" s="19" t="str">
        <x:v>质量/成本</x:v>
      </x:c>
      <x:c r="H2846" s="19" t="str">
        <x:v>D:/Codex/GRL研究/outputs/grid57/GRID57_report.md</x:v>
      </x:c>
    </x:row>
    <x:row r="2847" ht="36" customHeight="1">
      <x:c r="A2847" s="19" t="str">
        <x:v>GRID57</x:v>
      </x:c>
      <x:c r="B2847" s="19" t="str">
        <x:v>GRID57_report.md</x:v>
      </x:c>
      <x:c r="C2847" s="19" t="str">
        <x:v>1. GRID57 最终配置的固定顺序消融</x:v>
      </x:c>
      <x:c r="D2847" s="19" t="str">
        <x:v>日期=2035-10-15_4；STATIC完成=True</x:v>
      </x:c>
      <x:c r="E2847" s="19" t="str">
        <x:v>STATIC查询</x:v>
      </x:c>
      <x:c r="F2847" s="19" t="str">
        <x:v>3036</x:v>
      </x:c>
      <x:c r="G2847" s="19" t="str">
        <x:v>速度/计算</x:v>
      </x:c>
      <x:c r="H2847" s="19" t="str">
        <x:v>D:/Codex/GRL研究/outputs/grid57/GRID57_report.md</x:v>
      </x:c>
    </x:row>
    <x:row r="2848" ht="36" customHeight="1">
      <x:c r="A2848" s="19" t="str">
        <x:v>GRID57</x:v>
      </x:c>
      <x:c r="B2848" s="19" t="str">
        <x:v>GRID57_report.md</x:v>
      </x:c>
      <x:c r="C2848" s="19" t="str">
        <x:v>1. GRID57 最终配置的固定顺序消融</x:v>
      </x:c>
      <x:c r="D2848" s="19" t="str">
        <x:v>日期=2035-10-15_4；STATIC完成=True</x:v>
      </x:c>
      <x:c r="E2848" s="19" t="str">
        <x:v>GNN平均查询</x:v>
      </x:c>
      <x:c r="F2848" s="19" t="str">
        <x:v>3236</x:v>
      </x:c>
      <x:c r="G2848" s="19" t="str">
        <x:v>速度/计算</x:v>
      </x:c>
      <x:c r="H2848" s="19" t="str">
        <x:v>D:/Codex/GRL研究/outputs/grid57/GRID57_report.md</x:v>
      </x:c>
    </x:row>
    <x:row r="2849" ht="36" customHeight="1">
      <x:c r="A2849" s="19" t="str">
        <x:v>GRID57</x:v>
      </x:c>
      <x:c r="B2849" s="19" t="str">
        <x:v>GRID57_report.md</x:v>
      </x:c>
      <x:c r="C2849" s="19" t="str">
        <x:v>1. GRID57 最终配置的固定顺序消融</x:v>
      </x:c>
      <x:c r="D2849" s="19" t="str">
        <x:v>日期=2035-10-15_4；STATIC完成=True</x:v>
      </x:c>
      <x:c r="E2849" s="19" t="str">
        <x:v>GNN查询减少</x:v>
      </x:c>
      <x:c r="F2849" s="19" t="str">
        <x:v>-6.604%</x:v>
      </x:c>
      <x:c r="G2849" s="19" t="str">
        <x:v>速度/计算</x:v>
      </x:c>
      <x:c r="H2849" s="19" t="str">
        <x:v>D:/Codex/GRL研究/outputs/grid57/GRID57_report.md</x:v>
      </x:c>
    </x:row>
    <x:row r="2850" ht="36" customHeight="1">
      <x:c r="A2850" s="19" t="str">
        <x:v>GRID57</x:v>
      </x:c>
      <x:c r="B2850" s="19" t="str">
        <x:v>GRID57_report.md</x:v>
      </x:c>
      <x:c r="C2850" s="19" t="str">
        <x:v>1. GRID57 最终配置的固定顺序消融</x:v>
      </x:c>
      <x:c r="D2850" s="19" t="str">
        <x:v>日期=2035-11-12_9；STATIC完成=True</x:v>
      </x:c>
      <x:c r="E2850" s="19" t="str">
        <x:v>STATIC完成</x:v>
      </x:c>
      <x:c r="F2850" s="19" t="str">
        <x:v>True</x:v>
      </x:c>
      <x:c r="G2850" s="19" t="str">
        <x:v>质量/成本</x:v>
      </x:c>
      <x:c r="H2850" s="19" t="str">
        <x:v>D:/Codex/GRL研究/outputs/grid57/GRID57_report.md</x:v>
      </x:c>
    </x:row>
    <x:row r="2851" ht="36" customHeight="1">
      <x:c r="A2851" s="19" t="str">
        <x:v>GRID57</x:v>
      </x:c>
      <x:c r="B2851" s="19" t="str">
        <x:v>GRID57_report.md</x:v>
      </x:c>
      <x:c r="C2851" s="19" t="str">
        <x:v>1. GRID57 最终配置的固定顺序消融</x:v>
      </x:c>
      <x:c r="D2851" s="19" t="str">
        <x:v>日期=2035-11-12_9；STATIC完成=True</x:v>
      </x:c>
      <x:c r="E2851" s="19" t="str">
        <x:v>成本变化/FULL</x:v>
      </x:c>
      <x:c r="F2851" s="19" t="str">
        <x:v>-1.0559%</x:v>
      </x:c>
      <x:c r="G2851" s="19" t="str">
        <x:v>质量/成本</x:v>
      </x:c>
      <x:c r="H2851" s="19" t="str">
        <x:v>D:/Codex/GRL研究/outputs/grid57/GRID57_report.md</x:v>
      </x:c>
    </x:row>
    <x:row r="2852" ht="36" customHeight="1">
      <x:c r="A2852" s="19" t="str">
        <x:v>GRID57</x:v>
      </x:c>
      <x:c r="B2852" s="19" t="str">
        <x:v>GRID57_report.md</x:v>
      </x:c>
      <x:c r="C2852" s="19" t="str">
        <x:v>1. GRID57 最终配置的固定顺序消融</x:v>
      </x:c>
      <x:c r="D2852" s="19" t="str">
        <x:v>日期=2035-11-12_9；STATIC完成=True</x:v>
      </x:c>
      <x:c r="E2852" s="19" t="str">
        <x:v>GNN成本增益/FULL</x:v>
      </x:c>
      <x:c r="F2852" s="19" t="str">
        <x:v>-0.8124%</x:v>
      </x:c>
      <x:c r="G2852" s="19" t="str">
        <x:v>质量/成本</x:v>
      </x:c>
      <x:c r="H2852" s="19" t="str">
        <x:v>D:/Codex/GRL研究/outputs/grid57/GRID57_report.md</x:v>
      </x:c>
    </x:row>
    <x:row r="2853" ht="36" customHeight="1">
      <x:c r="A2853" s="19" t="str">
        <x:v>GRID57</x:v>
      </x:c>
      <x:c r="B2853" s="19" t="str">
        <x:v>GRID57_report.md</x:v>
      </x:c>
      <x:c r="C2853" s="19" t="str">
        <x:v>1. GRID57 最终配置的固定顺序消融</x:v>
      </x:c>
      <x:c r="D2853" s="19" t="str">
        <x:v>日期=2035-11-12_9；STATIC完成=True</x:v>
      </x:c>
      <x:c r="E2853" s="19" t="str">
        <x:v>STATIC查询</x:v>
      </x:c>
      <x:c r="F2853" s="19" t="str">
        <x:v>1759</x:v>
      </x:c>
      <x:c r="G2853" s="19" t="str">
        <x:v>速度/计算</x:v>
      </x:c>
      <x:c r="H2853" s="19" t="str">
        <x:v>D:/Codex/GRL研究/outputs/grid57/GRID57_report.md</x:v>
      </x:c>
    </x:row>
    <x:row r="2854" ht="36" customHeight="1">
      <x:c r="A2854" s="19" t="str">
        <x:v>GRID57</x:v>
      </x:c>
      <x:c r="B2854" s="19" t="str">
        <x:v>GRID57_report.md</x:v>
      </x:c>
      <x:c r="C2854" s="19" t="str">
        <x:v>1. GRID57 最终配置的固定顺序消融</x:v>
      </x:c>
      <x:c r="D2854" s="19" t="str">
        <x:v>日期=2035-11-12_9；STATIC完成=True</x:v>
      </x:c>
      <x:c r="E2854" s="19" t="str">
        <x:v>GNN平均查询</x:v>
      </x:c>
      <x:c r="F2854" s="19" t="str">
        <x:v>1498</x:v>
      </x:c>
      <x:c r="G2854" s="19" t="str">
        <x:v>速度/计算</x:v>
      </x:c>
      <x:c r="H2854" s="19" t="str">
        <x:v>D:/Codex/GRL研究/outputs/grid57/GRID57_report.md</x:v>
      </x:c>
    </x:row>
    <x:row r="2855" ht="36" customHeight="1">
      <x:c r="A2855" s="19" t="str">
        <x:v>GRID57</x:v>
      </x:c>
      <x:c r="B2855" s="19" t="str">
        <x:v>GRID57_report.md</x:v>
      </x:c>
      <x:c r="C2855" s="19" t="str">
        <x:v>1. GRID57 最终配置的固定顺序消融</x:v>
      </x:c>
      <x:c r="D2855" s="19" t="str">
        <x:v>日期=2035-11-12_9；STATIC完成=True</x:v>
      </x:c>
      <x:c r="E2855" s="19" t="str">
        <x:v>GNN查询减少</x:v>
      </x:c>
      <x:c r="F2855" s="19" t="str">
        <x:v>14.866%</x:v>
      </x:c>
      <x:c r="G2855" s="19" t="str">
        <x:v>速度/计算</x:v>
      </x:c>
      <x:c r="H2855" s="19" t="str">
        <x:v>D:/Codex/GRL研究/outputs/grid57/GRID57_report.md</x:v>
      </x:c>
    </x:row>
    <x:row r="2856" ht="36" customHeight="1">
      <x:c r="A2856" s="19" t="str">
        <x:v>GRID59</x:v>
      </x:c>
      <x:c r="B2856" s="19" t="str">
        <x:v>GRID59_report.md</x:v>
      </x:c>
      <x:c r="C2856" s="19" t="str">
        <x:v>1. GRID59 频次先验GNN有限闭环试点</x:v>
      </x:c>
      <x:c r="D2856" s="19" t="str">
        <x:v>方法=STATIC_ID；完成=3/4</x:v>
      </x:c>
      <x:c r="E2856" s="19" t="str">
        <x:v>完成</x:v>
      </x:c>
      <x:c r="F2856" s="19" t="str">
        <x:v>3/4</x:v>
      </x:c>
      <x:c r="G2856" s="19" t="str">
        <x:v>质量/成本</x:v>
      </x:c>
      <x:c r="H2856" s="19" t="str">
        <x:v>D:/Codex/GRL研究/outputs/grid59/GRID59_report.md</x:v>
      </x:c>
    </x:row>
    <x:row r="2857" ht="36" customHeight="1">
      <x:c r="A2857" s="19" t="str">
        <x:v>GRID59</x:v>
      </x:c>
      <x:c r="B2857" s="19" t="str">
        <x:v>GRID59_report.md</x:v>
      </x:c>
      <x:c r="C2857" s="19" t="str">
        <x:v>1. GRID59 频次先验GNN有限闭环试点</x:v>
      </x:c>
      <x:c r="D2857" s="19" t="str">
        <x:v>方法=STATIC_ID；完成=3/4</x:v>
      </x:c>
      <x:c r="E2857" s="19" t="str">
        <x:v>质量通过</x:v>
      </x:c>
      <x:c r="F2857" s="19" t="str">
        <x:v>4/4</x:v>
      </x:c>
      <x:c r="G2857" s="19" t="str">
        <x:v>质量/成本</x:v>
      </x:c>
      <x:c r="H2857" s="19" t="str">
        <x:v>D:/Codex/GRL研究/outputs/grid59/GRID59_report.md</x:v>
      </x:c>
    </x:row>
    <x:row r="2858" ht="36" customHeight="1">
      <x:c r="A2858" s="19" t="str">
        <x:v>GRID59</x:v>
      </x:c>
      <x:c r="B2858" s="19" t="str">
        <x:v>GRID59_report.md</x:v>
      </x:c>
      <x:c r="C2858" s="19" t="str">
        <x:v>1. GRID59 频次先验GNN有限闭环试点</x:v>
      </x:c>
      <x:c r="D2858" s="19" t="str">
        <x:v>方法=STATIC_ID；完成=3/4</x:v>
      </x:c>
      <x:c r="E2858" s="19" t="str">
        <x:v>对FULL控制减少</x:v>
      </x:c>
      <x:c r="F2858" s="19" t="str">
        <x:v>15.336%</x:v>
      </x:c>
      <x:c r="G2858" s="19" t="str">
        <x:v>速度/计算</x:v>
      </x:c>
      <x:c r="H2858" s="19" t="str">
        <x:v>D:/Codex/GRL研究/outputs/grid59/GRID59_report.md</x:v>
      </x:c>
    </x:row>
    <x:row r="2859" ht="36" customHeight="1">
      <x:c r="A2859" s="19" t="str">
        <x:v>GRID59</x:v>
      </x:c>
      <x:c r="B2859" s="19" t="str">
        <x:v>GRID59_report.md</x:v>
      </x:c>
      <x:c r="C2859" s="19" t="str">
        <x:v>1. GRID59 频次先验GNN有限闭环试点</x:v>
      </x:c>
      <x:c r="D2859" s="19" t="str">
        <x:v>方法=STATIC_ID；完成=3/4</x:v>
      </x:c>
      <x:c r="E2859" s="19" t="str">
        <x:v>对STATIC控制减少</x:v>
      </x:c>
      <x:c r="F2859" s="19" t="str">
        <x:v>0.000%</x:v>
      </x:c>
      <x:c r="G2859" s="19" t="str">
        <x:v>速度/计算</x:v>
      </x:c>
      <x:c r="H2859" s="19" t="str">
        <x:v>D:/Codex/GRL研究/outputs/grid59/GRID59_report.md</x:v>
      </x:c>
    </x:row>
    <x:row r="2860" ht="36" customHeight="1">
      <x:c r="A2860" s="19" t="str">
        <x:v>GRID59</x:v>
      </x:c>
      <x:c r="B2860" s="19" t="str">
        <x:v>GRID59_report.md</x:v>
      </x:c>
      <x:c r="C2860" s="19" t="str">
        <x:v>1. GRID59 频次先验GNN有限闭环试点</x:v>
      </x:c>
      <x:c r="D2860" s="19" t="str">
        <x:v>方法=STATIC_ID；完成=3/4</x:v>
      </x:c>
      <x:c r="E2860" s="19" t="str">
        <x:v>对STATIC查询减少</x:v>
      </x:c>
      <x:c r="F2860" s="19" t="str">
        <x:v>0.000%</x:v>
      </x:c>
      <x:c r="G2860" s="19" t="str">
        <x:v>速度/计算</x:v>
      </x:c>
      <x:c r="H2860" s="19" t="str">
        <x:v>D:/Codex/GRL研究/outputs/grid59/GRID59_report.md</x:v>
      </x:c>
    </x:row>
    <x:row r="2861" ht="36" customHeight="1">
      <x:c r="A2861" s="19" t="str">
        <x:v>GRID59</x:v>
      </x:c>
      <x:c r="B2861" s="19" t="str">
        <x:v>GRID59_report.md</x:v>
      </x:c>
      <x:c r="C2861" s="19" t="str">
        <x:v>1. GRID59 频次先验GNN有限闭环试点</x:v>
      </x:c>
      <x:c r="D2861" s="19" t="str">
        <x:v>方法=STATIC_ID；完成=3/4</x:v>
      </x:c>
      <x:c r="E2861" s="19" t="str">
        <x:v>查询正向日期</x:v>
      </x:c>
      <x:c r="F2861" s="19" t="str">
        <x:v>0/4</x:v>
      </x:c>
      <x:c r="G2861" s="19" t="str">
        <x:v>速度/计算</x:v>
      </x:c>
      <x:c r="H2861" s="19" t="str">
        <x:v>D:/Codex/GRL研究/outputs/grid59/GRID59_report.md</x:v>
      </x:c>
    </x:row>
    <x:row r="2862" ht="36" customHeight="1">
      <x:c r="A2862" s="19" t="str">
        <x:v>GRID59</x:v>
      </x:c>
      <x:c r="B2862" s="19" t="str">
        <x:v>GRID59_report.md</x:v>
      </x:c>
      <x:c r="C2862" s="19" t="str">
        <x:v>1. GRID59 频次先验GNN有限闭环试点</x:v>
      </x:c>
      <x:c r="D2862" s="19" t="str">
        <x:v>方法=STATIC_ID；完成=3/4</x:v>
      </x:c>
      <x:c r="E2862" s="19" t="str">
        <x:v>最大完整周成本变化/FULL</x:v>
      </x:c>
      <x:c r="F2862" s="19" t="str">
        <x:v>0.37200%</x:v>
      </x:c>
      <x:c r="G2862" s="19" t="str">
        <x:v>质量/成本</x:v>
      </x:c>
      <x:c r="H2862" s="19" t="str">
        <x:v>D:/Codex/GRL研究/outputs/grid59/GRID59_report.md</x:v>
      </x:c>
    </x:row>
    <x:row r="2863" ht="36" customHeight="1">
      <x:c r="A2863" s="19" t="str">
        <x:v>GRID59</x:v>
      </x:c>
      <x:c r="B2863" s="19" t="str">
        <x:v>GRID59_report.md</x:v>
      </x:c>
      <x:c r="C2863" s="19" t="str">
        <x:v>1. GRID59 频次先验GNN有限闭环试点</x:v>
      </x:c>
      <x:c r="D2863" s="19" t="str">
        <x:v>方法=FREQUENCY_GNN0；完成=3/4</x:v>
      </x:c>
      <x:c r="E2863" s="19" t="str">
        <x:v>完成</x:v>
      </x:c>
      <x:c r="F2863" s="19" t="str">
        <x:v>3/4</x:v>
      </x:c>
      <x:c r="G2863" s="19" t="str">
        <x:v>质量/成本</x:v>
      </x:c>
      <x:c r="H2863" s="19" t="str">
        <x:v>D:/Codex/GRL研究/outputs/grid59/GRID59_report.md</x:v>
      </x:c>
    </x:row>
    <x:row r="2864" ht="36" customHeight="1">
      <x:c r="A2864" s="19" t="str">
        <x:v>GRID59</x:v>
      </x:c>
      <x:c r="B2864" s="19" t="str">
        <x:v>GRID59_report.md</x:v>
      </x:c>
      <x:c r="C2864" s="19" t="str">
        <x:v>1. GRID59 频次先验GNN有限闭环试点</x:v>
      </x:c>
      <x:c r="D2864" s="19" t="str">
        <x:v>方法=FREQUENCY_GNN0；完成=3/4</x:v>
      </x:c>
      <x:c r="E2864" s="19" t="str">
        <x:v>质量通过</x:v>
      </x:c>
      <x:c r="F2864" s="19" t="str">
        <x:v>4/4</x:v>
      </x:c>
      <x:c r="G2864" s="19" t="str">
        <x:v>质量/成本</x:v>
      </x:c>
      <x:c r="H2864" s="19" t="str">
        <x:v>D:/Codex/GRL研究/outputs/grid59/GRID59_report.md</x:v>
      </x:c>
    </x:row>
    <x:row r="2865" ht="36" customHeight="1">
      <x:c r="A2865" s="19" t="str">
        <x:v>GRID59</x:v>
      </x:c>
      <x:c r="B2865" s="19" t="str">
        <x:v>GRID59_report.md</x:v>
      </x:c>
      <x:c r="C2865" s="19" t="str">
        <x:v>1. GRID59 频次先验GNN有限闭环试点</x:v>
      </x:c>
      <x:c r="D2865" s="19" t="str">
        <x:v>方法=FREQUENCY_GNN0；完成=3/4</x:v>
      </x:c>
      <x:c r="E2865" s="19" t="str">
        <x:v>对FULL控制减少</x:v>
      </x:c>
      <x:c r="F2865" s="19" t="str">
        <x:v>14.848%</x:v>
      </x:c>
      <x:c r="G2865" s="19" t="str">
        <x:v>速度/计算</x:v>
      </x:c>
      <x:c r="H2865" s="19" t="str">
        <x:v>D:/Codex/GRL研究/outputs/grid59/GRID59_report.md</x:v>
      </x:c>
    </x:row>
    <x:row r="2866" ht="36" customHeight="1">
      <x:c r="A2866" s="19" t="str">
        <x:v>GRID59</x:v>
      </x:c>
      <x:c r="B2866" s="19" t="str">
        <x:v>GRID59_report.md</x:v>
      </x:c>
      <x:c r="C2866" s="19" t="str">
        <x:v>1. GRID59 频次先验GNN有限闭环试点</x:v>
      </x:c>
      <x:c r="D2866" s="19" t="str">
        <x:v>方法=FREQUENCY_GNN0；完成=3/4</x:v>
      </x:c>
      <x:c r="E2866" s="19" t="str">
        <x:v>对STATIC控制减少</x:v>
      </x:c>
      <x:c r="F2866" s="19" t="str">
        <x:v>-0.635%</x:v>
      </x:c>
      <x:c r="G2866" s="19" t="str">
        <x:v>速度/计算</x:v>
      </x:c>
      <x:c r="H2866" s="19" t="str">
        <x:v>D:/Codex/GRL研究/outputs/grid59/GRID59_report.md</x:v>
      </x:c>
    </x:row>
    <x:row r="2867" ht="36" customHeight="1">
      <x:c r="A2867" s="19" t="str">
        <x:v>GRID59</x:v>
      </x:c>
      <x:c r="B2867" s="19" t="str">
        <x:v>GRID59_report.md</x:v>
      </x:c>
      <x:c r="C2867" s="19" t="str">
        <x:v>1. GRID59 频次先验GNN有限闭环试点</x:v>
      </x:c>
      <x:c r="D2867" s="19" t="str">
        <x:v>方法=FREQUENCY_GNN0；完成=3/4</x:v>
      </x:c>
      <x:c r="E2867" s="19" t="str">
        <x:v>对STATIC查询减少</x:v>
      </x:c>
      <x:c r="F2867" s="19" t="str">
        <x:v>3.127%</x:v>
      </x:c>
      <x:c r="G2867" s="19" t="str">
        <x:v>速度/计算</x:v>
      </x:c>
      <x:c r="H2867" s="19" t="str">
        <x:v>D:/Codex/GRL研究/outputs/grid59/GRID59_report.md</x:v>
      </x:c>
    </x:row>
    <x:row r="2868" ht="36" customHeight="1">
      <x:c r="A2868" s="19" t="str">
        <x:v>GRID59</x:v>
      </x:c>
      <x:c r="B2868" s="19" t="str">
        <x:v>GRID59_report.md</x:v>
      </x:c>
      <x:c r="C2868" s="19" t="str">
        <x:v>1. GRID59 频次先验GNN有限闭环试点</x:v>
      </x:c>
      <x:c r="D2868" s="19" t="str">
        <x:v>方法=FREQUENCY_GNN0；完成=3/4</x:v>
      </x:c>
      <x:c r="E2868" s="19" t="str">
        <x:v>查询正向日期</x:v>
      </x:c>
      <x:c r="F2868" s="19" t="str">
        <x:v>2/4</x:v>
      </x:c>
      <x:c r="G2868" s="19" t="str">
        <x:v>速度/计算</x:v>
      </x:c>
      <x:c r="H2868" s="19" t="str">
        <x:v>D:/Codex/GRL研究/outputs/grid59/GRID59_report.md</x:v>
      </x:c>
    </x:row>
    <x:row r="2869" ht="36" customHeight="1">
      <x:c r="A2869" s="19" t="str">
        <x:v>GRID59</x:v>
      </x:c>
      <x:c r="B2869" s="19" t="str">
        <x:v>GRID59_report.md</x:v>
      </x:c>
      <x:c r="C2869" s="19" t="str">
        <x:v>1. GRID59 频次先验GNN有限闭环试点</x:v>
      </x:c>
      <x:c r="D2869" s="19" t="str">
        <x:v>方法=FREQUENCY_GNN0；完成=3/4</x:v>
      </x:c>
      <x:c r="E2869" s="19" t="str">
        <x:v>最大完整周成本变化/FULL</x:v>
      </x:c>
      <x:c r="F2869" s="19" t="str">
        <x:v>0.37200%</x:v>
      </x:c>
      <x:c r="G2869" s="19" t="str">
        <x:v>质量/成本</x:v>
      </x:c>
      <x:c r="H2869" s="19" t="str">
        <x:v>D:/Codex/GRL研究/outputs/grid59/GRID59_report.md</x:v>
      </x:c>
    </x:row>
    <x:row r="2870" ht="36" customHeight="1">
      <x:c r="A2870" s="19" t="str">
        <x:v>GRID59</x:v>
      </x:c>
      <x:c r="B2870" s="19" t="str">
        <x:v>GRID59_report.md</x:v>
      </x:c>
      <x:c r="C2870" s="19" t="str">
        <x:v>1. GRID59 频次先验GNN有限闭环试点</x:v>
      </x:c>
      <x:c r="D2870" s="19" t="str">
        <x:v>方法=FREQUENCY_GNN1；完成=3/4</x:v>
      </x:c>
      <x:c r="E2870" s="19" t="str">
        <x:v>完成</x:v>
      </x:c>
      <x:c r="F2870" s="19" t="str">
        <x:v>3/4</x:v>
      </x:c>
      <x:c r="G2870" s="19" t="str">
        <x:v>质量/成本</x:v>
      </x:c>
      <x:c r="H2870" s="19" t="str">
        <x:v>D:/Codex/GRL研究/outputs/grid59/GRID59_report.md</x:v>
      </x:c>
    </x:row>
    <x:row r="2871" ht="36" customHeight="1">
      <x:c r="A2871" s="19" t="str">
        <x:v>GRID59</x:v>
      </x:c>
      <x:c r="B2871" s="19" t="str">
        <x:v>GRID59_report.md</x:v>
      </x:c>
      <x:c r="C2871" s="19" t="str">
        <x:v>1. GRID59 频次先验GNN有限闭环试点</x:v>
      </x:c>
      <x:c r="D2871" s="19" t="str">
        <x:v>方法=FREQUENCY_GNN1；完成=3/4</x:v>
      </x:c>
      <x:c r="E2871" s="19" t="str">
        <x:v>质量通过</x:v>
      </x:c>
      <x:c r="F2871" s="19" t="str">
        <x:v>4/4</x:v>
      </x:c>
      <x:c r="G2871" s="19" t="str">
        <x:v>质量/成本</x:v>
      </x:c>
      <x:c r="H2871" s="19" t="str">
        <x:v>D:/Codex/GRL研究/outputs/grid59/GRID59_report.md</x:v>
      </x:c>
    </x:row>
    <x:row r="2872" ht="36" customHeight="1">
      <x:c r="A2872" s="19" t="str">
        <x:v>GRID59</x:v>
      </x:c>
      <x:c r="B2872" s="19" t="str">
        <x:v>GRID59_report.md</x:v>
      </x:c>
      <x:c r="C2872" s="19" t="str">
        <x:v>1. GRID59 频次先验GNN有限闭环试点</x:v>
      </x:c>
      <x:c r="D2872" s="19" t="str">
        <x:v>方法=FREQUENCY_GNN1；完成=3/4</x:v>
      </x:c>
      <x:c r="E2872" s="19" t="str">
        <x:v>对FULL控制减少</x:v>
      </x:c>
      <x:c r="F2872" s="19" t="str">
        <x:v>14.966%</x:v>
      </x:c>
      <x:c r="G2872" s="19" t="str">
        <x:v>速度/计算</x:v>
      </x:c>
      <x:c r="H2872" s="19" t="str">
        <x:v>D:/Codex/GRL研究/outputs/grid59/GRID59_report.md</x:v>
      </x:c>
    </x:row>
    <x:row r="2873" ht="36" customHeight="1">
      <x:c r="A2873" s="19" t="str">
        <x:v>GRID59</x:v>
      </x:c>
      <x:c r="B2873" s="19" t="str">
        <x:v>GRID59_report.md</x:v>
      </x:c>
      <x:c r="C2873" s="19" t="str">
        <x:v>1. GRID59 频次先验GNN有限闭环试点</x:v>
      </x:c>
      <x:c r="D2873" s="19" t="str">
        <x:v>方法=FREQUENCY_GNN1；完成=3/4</x:v>
      </x:c>
      <x:c r="E2873" s="19" t="str">
        <x:v>对STATIC控制减少</x:v>
      </x:c>
      <x:c r="F2873" s="19" t="str">
        <x:v>-0.506%</x:v>
      </x:c>
      <x:c r="G2873" s="19" t="str">
        <x:v>速度/计算</x:v>
      </x:c>
      <x:c r="H2873" s="19" t="str">
        <x:v>D:/Codex/GRL研究/outputs/grid59/GRID59_report.md</x:v>
      </x:c>
    </x:row>
    <x:row r="2874" ht="36" customHeight="1">
      <x:c r="A2874" s="19" t="str">
        <x:v>GRID59</x:v>
      </x:c>
      <x:c r="B2874" s="19" t="str">
        <x:v>GRID59_report.md</x:v>
      </x:c>
      <x:c r="C2874" s="19" t="str">
        <x:v>1. GRID59 频次先验GNN有限闭环试点</x:v>
      </x:c>
      <x:c r="D2874" s="19" t="str">
        <x:v>方法=FREQUENCY_GNN1；完成=3/4</x:v>
      </x:c>
      <x:c r="E2874" s="19" t="str">
        <x:v>对STATIC查询减少</x:v>
      </x:c>
      <x:c r="F2874" s="19" t="str">
        <x:v>2.675%</x:v>
      </x:c>
      <x:c r="G2874" s="19" t="str">
        <x:v>速度/计算</x:v>
      </x:c>
      <x:c r="H2874" s="19" t="str">
        <x:v>D:/Codex/GRL研究/outputs/grid59/GRID59_report.md</x:v>
      </x:c>
    </x:row>
    <x:row r="2875" ht="36" customHeight="1">
      <x:c r="A2875" s="19" t="str">
        <x:v>GRID59</x:v>
      </x:c>
      <x:c r="B2875" s="19" t="str">
        <x:v>GRID59_report.md</x:v>
      </x:c>
      <x:c r="C2875" s="19" t="str">
        <x:v>1. GRID59 频次先验GNN有限闭环试点</x:v>
      </x:c>
      <x:c r="D2875" s="19" t="str">
        <x:v>方法=FREQUENCY_GNN1；完成=3/4</x:v>
      </x:c>
      <x:c r="E2875" s="19" t="str">
        <x:v>查询正向日期</x:v>
      </x:c>
      <x:c r="F2875" s="19" t="str">
        <x:v>2/4</x:v>
      </x:c>
      <x:c r="G2875" s="19" t="str">
        <x:v>速度/计算</x:v>
      </x:c>
      <x:c r="H2875" s="19" t="str">
        <x:v>D:/Codex/GRL研究/outputs/grid59/GRID59_report.md</x:v>
      </x:c>
    </x:row>
    <x:row r="2876" ht="36" customHeight="1">
      <x:c r="A2876" s="19" t="str">
        <x:v>GRID59</x:v>
      </x:c>
      <x:c r="B2876" s="19" t="str">
        <x:v>GRID59_report.md</x:v>
      </x:c>
      <x:c r="C2876" s="19" t="str">
        <x:v>1. GRID59 频次先验GNN有限闭环试点</x:v>
      </x:c>
      <x:c r="D2876" s="19" t="str">
        <x:v>方法=FREQUENCY_GNN1；完成=3/4</x:v>
      </x:c>
      <x:c r="E2876" s="19" t="str">
        <x:v>最大完整周成本变化/FULL</x:v>
      </x:c>
      <x:c r="F2876" s="19" t="str">
        <x:v>0.37200%</x:v>
      </x:c>
      <x:c r="G2876" s="19" t="str">
        <x:v>质量/成本</x:v>
      </x:c>
      <x:c r="H2876" s="19" t="str">
        <x:v>D:/Codex/GRL研究/outputs/grid59/GRID59_report.md</x:v>
      </x:c>
    </x:row>
    <x:row r="2877" ht="36" customHeight="1">
      <x:c r="A2877" s="19" t="str">
        <x:v>GRID60</x:v>
      </x:c>
      <x:c r="B2877" s="19" t="str">
        <x:v>GRID60_report.md</x:v>
      </x:c>
      <x:c r="C2877" s="19" t="str">
        <x:v>1. GRID60 框架机制资格检查</x:v>
      </x:c>
      <x:c r="D2877" s="19" t="str">
        <x:v>策略=FULL；固定状态=26</x:v>
      </x:c>
      <x:c r="E2877" s="19" t="str">
        <x:v>固定状态</x:v>
      </x:c>
      <x:c r="F2877" s="19" t="str">
        <x:v>26</x:v>
      </x:c>
      <x:c r="G2877" s="19" t="str">
        <x:v>其他/配置</x:v>
      </x:c>
      <x:c r="H2877" s="19" t="str">
        <x:v>D:/Codex/GRL研究/outputs/grid60/GRID60_report.md</x:v>
      </x:c>
    </x:row>
    <x:row r="2878" ht="36" customHeight="1">
      <x:c r="A2878" s="19" t="str">
        <x:v>GRID60</x:v>
      </x:c>
      <x:c r="B2878" s="19" t="str">
        <x:v>GRID60_report.md</x:v>
      </x:c>
      <x:c r="C2878" s="19" t="str">
        <x:v>1. GRID60 框架机制资格检查</x:v>
      </x:c>
      <x:c r="D2878" s="19" t="str">
        <x:v>策略=FULL；固定状态=26</x:v>
      </x:c>
      <x:c r="E2878" s="19" t="str">
        <x:v>查询</x:v>
      </x:c>
      <x:c r="F2878" s="19" t="str">
        <x:v>22597</x:v>
      </x:c>
      <x:c r="G2878" s="19" t="str">
        <x:v>速度/计算</x:v>
      </x:c>
      <x:c r="H2878" s="19" t="str">
        <x:v>D:/Codex/GRL研究/outputs/grid60/GRID60_report.md</x:v>
      </x:c>
    </x:row>
    <x:row r="2879" ht="36" customHeight="1">
      <x:c r="A2879" s="19" t="str">
        <x:v>GRID60</x:v>
      </x:c>
      <x:c r="B2879" s="19" t="str">
        <x:v>GRID60_report.md</x:v>
      </x:c>
      <x:c r="C2879" s="19" t="str">
        <x:v>1. GRID60 框架机制资格检查</x:v>
      </x:c>
      <x:c r="D2879" s="19" t="str">
        <x:v>策略=FULL；固定状态=26</x:v>
      </x:c>
      <x:c r="E2879" s="19" t="str">
        <x:v>对FULL查询减少</x:v>
      </x:c>
      <x:c r="F2879" s="19" t="str">
        <x:v>0.00%</x:v>
      </x:c>
      <x:c r="G2879" s="19" t="str">
        <x:v>速度/计算</x:v>
      </x:c>
      <x:c r="H2879" s="19" t="str">
        <x:v>D:/Codex/GRL研究/outputs/grid60/GRID60_report.md</x:v>
      </x:c>
    </x:row>
    <x:row r="2880" ht="36" customHeight="1">
      <x:c r="A2880" s="19" t="str">
        <x:v>GRID60</x:v>
      </x:c>
      <x:c r="B2880" s="19" t="str">
        <x:v>GRID60_report.md</x:v>
      </x:c>
      <x:c r="C2880" s="19" t="str">
        <x:v>1. GRID60 框架机制资格检查</x:v>
      </x:c>
      <x:c r="D2880" s="19" t="str">
        <x:v>策略=FULL；固定状态=26</x:v>
      </x:c>
      <x:c r="E2880" s="19" t="str">
        <x:v>同FULL选择</x:v>
      </x:c>
      <x:c r="F2880" s="19" t="str">
        <x:v>26</x:v>
      </x:c>
      <x:c r="G2880" s="19" t="str">
        <x:v>质量/成本</x:v>
      </x:c>
      <x:c r="H2880" s="19" t="str">
        <x:v>D:/Codex/GRL研究/outputs/grid60/GRID60_report.md</x:v>
      </x:c>
    </x:row>
    <x:row r="2881" ht="36" customHeight="1">
      <x:c r="A2881" s="19" t="str">
        <x:v>GRID60</x:v>
      </x:c>
      <x:c r="B2881" s="19" t="str">
        <x:v>GRID60_report.md</x:v>
      </x:c>
      <x:c r="C2881" s="19" t="str">
        <x:v>1. GRID60 框架机制资格检查</x:v>
      </x:c>
      <x:c r="D2881" s="19" t="str">
        <x:v>策略=FULL；固定状态=26</x:v>
      </x:c>
      <x:c r="E2881" s="19" t="str">
        <x:v>局部补查数</x:v>
      </x:c>
      <x:c r="F2881" s="19" t="str">
        <x:v>0</x:v>
      </x:c>
      <x:c r="G2881" s="19" t="str">
        <x:v>其他/配置</x:v>
      </x:c>
      <x:c r="H2881" s="19" t="str">
        <x:v>D:/Codex/GRL研究/outputs/grid60/GRID60_report.md</x:v>
      </x:c>
    </x:row>
    <x:row r="2882" ht="36" customHeight="1">
      <x:c r="A2882" s="19" t="str">
        <x:v>GRID60</x:v>
      </x:c>
      <x:c r="B2882" s="19" t="str">
        <x:v>GRID60_report.md</x:v>
      </x:c>
      <x:c r="C2882" s="19" t="str">
        <x:v>1. GRID60 框架机制资格检查</x:v>
      </x:c>
      <x:c r="D2882" s="19" t="str">
        <x:v>策略=FULL；固定状态=26</x:v>
      </x:c>
      <x:c r="E2882" s="19" t="str">
        <x:v>最大rho差</x:v>
      </x:c>
      <x:c r="F2882" s="19" t="str">
        <x:v>0.000000</x:v>
      </x:c>
      <x:c r="G2882" s="19" t="str">
        <x:v>质量/成本</x:v>
      </x:c>
      <x:c r="H2882" s="19" t="str">
        <x:v>D:/Codex/GRL研究/outputs/grid60/GRID60_report.md</x:v>
      </x:c>
    </x:row>
    <x:row r="2883" ht="36" customHeight="1">
      <x:c r="A2883" s="19" t="str">
        <x:v>GRID60</x:v>
      </x:c>
      <x:c r="B2883" s="19" t="str">
        <x:v>GRID60_report.md</x:v>
      </x:c>
      <x:c r="C2883" s="19" t="str">
        <x:v>1. GRID60 框架机制资格检查</x:v>
      </x:c>
      <x:c r="D2883" s="19" t="str">
        <x:v>策略=FIRST_SAFE_BEST；固定状态=26</x:v>
      </x:c>
      <x:c r="E2883" s="19" t="str">
        <x:v>固定状态</x:v>
      </x:c>
      <x:c r="F2883" s="19" t="str">
        <x:v>26</x:v>
      </x:c>
      <x:c r="G2883" s="19" t="str">
        <x:v>其他/配置</x:v>
      </x:c>
      <x:c r="H2883" s="19" t="str">
        <x:v>D:/Codex/GRL研究/outputs/grid60/GRID60_report.md</x:v>
      </x:c>
    </x:row>
    <x:row r="2884" ht="36" customHeight="1">
      <x:c r="A2884" s="19" t="str">
        <x:v>GRID60</x:v>
      </x:c>
      <x:c r="B2884" s="19" t="str">
        <x:v>GRID60_report.md</x:v>
      </x:c>
      <x:c r="C2884" s="19" t="str">
        <x:v>1. GRID60 框架机制资格检查</x:v>
      </x:c>
      <x:c r="D2884" s="19" t="str">
        <x:v>策略=FIRST_SAFE_BEST；固定状态=26</x:v>
      </x:c>
      <x:c r="E2884" s="19" t="str">
        <x:v>查询</x:v>
      </x:c>
      <x:c r="F2884" s="19" t="str">
        <x:v>13730</x:v>
      </x:c>
      <x:c r="G2884" s="19" t="str">
        <x:v>速度/计算</x:v>
      </x:c>
      <x:c r="H2884" s="19" t="str">
        <x:v>D:/Codex/GRL研究/outputs/grid60/GRID60_report.md</x:v>
      </x:c>
    </x:row>
    <x:row r="2885" ht="36" customHeight="1">
      <x:c r="A2885" s="19" t="str">
        <x:v>GRID60</x:v>
      </x:c>
      <x:c r="B2885" s="19" t="str">
        <x:v>GRID60_report.md</x:v>
      </x:c>
      <x:c r="C2885" s="19" t="str">
        <x:v>1. GRID60 框架机制资格检查</x:v>
      </x:c>
      <x:c r="D2885" s="19" t="str">
        <x:v>策略=FIRST_SAFE_BEST；固定状态=26</x:v>
      </x:c>
      <x:c r="E2885" s="19" t="str">
        <x:v>对FULL查询减少</x:v>
      </x:c>
      <x:c r="F2885" s="19" t="str">
        <x:v>39.24%</x:v>
      </x:c>
      <x:c r="G2885" s="19" t="str">
        <x:v>速度/计算</x:v>
      </x:c>
      <x:c r="H2885" s="19" t="str">
        <x:v>D:/Codex/GRL研究/outputs/grid60/GRID60_report.md</x:v>
      </x:c>
    </x:row>
    <x:row r="2886" ht="36" customHeight="1">
      <x:c r="A2886" s="19" t="str">
        <x:v>GRID60</x:v>
      </x:c>
      <x:c r="B2886" s="19" t="str">
        <x:v>GRID60_report.md</x:v>
      </x:c>
      <x:c r="C2886" s="19" t="str">
        <x:v>1. GRID60 框架机制资格检查</x:v>
      </x:c>
      <x:c r="D2886" s="19" t="str">
        <x:v>策略=FIRST_SAFE_BEST；固定状态=26</x:v>
      </x:c>
      <x:c r="E2886" s="19" t="str">
        <x:v>同FULL选择</x:v>
      </x:c>
      <x:c r="F2886" s="19" t="str">
        <x:v>18</x:v>
      </x:c>
      <x:c r="G2886" s="19" t="str">
        <x:v>质量/成本</x:v>
      </x:c>
      <x:c r="H2886" s="19" t="str">
        <x:v>D:/Codex/GRL研究/outputs/grid60/GRID60_report.md</x:v>
      </x:c>
    </x:row>
    <x:row r="2887" ht="36" customHeight="1">
      <x:c r="A2887" s="19" t="str">
        <x:v>GRID60</x:v>
      </x:c>
      <x:c r="B2887" s="19" t="str">
        <x:v>GRID60_report.md</x:v>
      </x:c>
      <x:c r="C2887" s="19" t="str">
        <x:v>1. GRID60 框架机制资格检查</x:v>
      </x:c>
      <x:c r="D2887" s="19" t="str">
        <x:v>策略=FIRST_SAFE_BEST；固定状态=26</x:v>
      </x:c>
      <x:c r="E2887" s="19" t="str">
        <x:v>局部补查数</x:v>
      </x:c>
      <x:c r="F2887" s="19" t="str">
        <x:v>0</x:v>
      </x:c>
      <x:c r="G2887" s="19" t="str">
        <x:v>其他/配置</x:v>
      </x:c>
      <x:c r="H2887" s="19" t="str">
        <x:v>D:/Codex/GRL研究/outputs/grid60/GRID60_report.md</x:v>
      </x:c>
    </x:row>
    <x:row r="2888" ht="36" customHeight="1">
      <x:c r="A2888" s="19" t="str">
        <x:v>GRID60</x:v>
      </x:c>
      <x:c r="B2888" s="19" t="str">
        <x:v>GRID60_report.md</x:v>
      </x:c>
      <x:c r="C2888" s="19" t="str">
        <x:v>1. GRID60 框架机制资格检查</x:v>
      </x:c>
      <x:c r="D2888" s="19" t="str">
        <x:v>策略=FIRST_SAFE_BEST；固定状态=26</x:v>
      </x:c>
      <x:c r="E2888" s="19" t="str">
        <x:v>最大rho差</x:v>
      </x:c>
      <x:c r="F2888" s="19" t="str">
        <x:v>0.034832</x:v>
      </x:c>
      <x:c r="G2888" s="19" t="str">
        <x:v>质量/成本</x:v>
      </x:c>
      <x:c r="H2888" s="19" t="str">
        <x:v>D:/Codex/GRL研究/outputs/grid60/GRID60_report.md</x:v>
      </x:c>
    </x:row>
    <x:row r="2889" ht="36" customHeight="1">
      <x:c r="A2889" s="19" t="str">
        <x:v>GRID60</x:v>
      </x:c>
      <x:c r="B2889" s="19" t="str">
        <x:v>GRID60_report.md</x:v>
      </x:c>
      <x:c r="C2889" s="19" t="str">
        <x:v>1. GRID60 框架机制资格检查</x:v>
      </x:c>
      <x:c r="D2889" s="19" t="str">
        <x:v>策略=NO_LOCAL；固定状态=26</x:v>
      </x:c>
      <x:c r="E2889" s="19" t="str">
        <x:v>固定状态</x:v>
      </x:c>
      <x:c r="F2889" s="19" t="str">
        <x:v>26</x:v>
      </x:c>
      <x:c r="G2889" s="19" t="str">
        <x:v>其他/配置</x:v>
      </x:c>
      <x:c r="H2889" s="19" t="str">
        <x:v>D:/Codex/GRL研究/outputs/grid60/GRID60_report.md</x:v>
      </x:c>
    </x:row>
    <x:row r="2890" ht="36" customHeight="1">
      <x:c r="A2890" s="19" t="str">
        <x:v>GRID60</x:v>
      </x:c>
      <x:c r="B2890" s="19" t="str">
        <x:v>GRID60_report.md</x:v>
      </x:c>
      <x:c r="C2890" s="19" t="str">
        <x:v>1. GRID60 框架机制资格检查</x:v>
      </x:c>
      <x:c r="D2890" s="19" t="str">
        <x:v>策略=NO_LOCAL；固定状态=26</x:v>
      </x:c>
      <x:c r="E2890" s="19" t="str">
        <x:v>查询</x:v>
      </x:c>
      <x:c r="F2890" s="19" t="str">
        <x:v>7041</x:v>
      </x:c>
      <x:c r="G2890" s="19" t="str">
        <x:v>速度/计算</x:v>
      </x:c>
      <x:c r="H2890" s="19" t="str">
        <x:v>D:/Codex/GRL研究/outputs/grid60/GRID60_report.md</x:v>
      </x:c>
    </x:row>
    <x:row r="2891" ht="36" customHeight="1">
      <x:c r="A2891" s="19" t="str">
        <x:v>GRID60</x:v>
      </x:c>
      <x:c r="B2891" s="19" t="str">
        <x:v>GRID60_report.md</x:v>
      </x:c>
      <x:c r="C2891" s="19" t="str">
        <x:v>1. GRID60 框架机制资格检查</x:v>
      </x:c>
      <x:c r="D2891" s="19" t="str">
        <x:v>策略=NO_LOCAL；固定状态=26</x:v>
      </x:c>
      <x:c r="E2891" s="19" t="str">
        <x:v>对FULL查询减少</x:v>
      </x:c>
      <x:c r="F2891" s="19" t="str">
        <x:v>68.84%</x:v>
      </x:c>
      <x:c r="G2891" s="19" t="str">
        <x:v>速度/计算</x:v>
      </x:c>
      <x:c r="H2891" s="19" t="str">
        <x:v>D:/Codex/GRL研究/outputs/grid60/GRID60_report.md</x:v>
      </x:c>
    </x:row>
    <x:row r="2892" ht="36" customHeight="1">
      <x:c r="A2892" s="19" t="str">
        <x:v>GRID60</x:v>
      </x:c>
      <x:c r="B2892" s="19" t="str">
        <x:v>GRID60_report.md</x:v>
      </x:c>
      <x:c r="C2892" s="19" t="str">
        <x:v>1. GRID60 框架机制资格检查</x:v>
      </x:c>
      <x:c r="D2892" s="19" t="str">
        <x:v>策略=NO_LOCAL；固定状态=26</x:v>
      </x:c>
      <x:c r="E2892" s="19" t="str">
        <x:v>同FULL选择</x:v>
      </x:c>
      <x:c r="F2892" s="19" t="str">
        <x:v>18</x:v>
      </x:c>
      <x:c r="G2892" s="19" t="str">
        <x:v>质量/成本</x:v>
      </x:c>
      <x:c r="H2892" s="19" t="str">
        <x:v>D:/Codex/GRL研究/outputs/grid60/GRID60_report.md</x:v>
      </x:c>
    </x:row>
    <x:row r="2893" ht="36" customHeight="1">
      <x:c r="A2893" s="19" t="str">
        <x:v>GRID60</x:v>
      </x:c>
      <x:c r="B2893" s="19" t="str">
        <x:v>GRID60_report.md</x:v>
      </x:c>
      <x:c r="C2893" s="19" t="str">
        <x:v>1. GRID60 框架机制资格检查</x:v>
      </x:c>
      <x:c r="D2893" s="19" t="str">
        <x:v>策略=NO_LOCAL；固定状态=26</x:v>
      </x:c>
      <x:c r="E2893" s="19" t="str">
        <x:v>局部补查数</x:v>
      </x:c>
      <x:c r="F2893" s="19" t="str">
        <x:v>0</x:v>
      </x:c>
      <x:c r="G2893" s="19" t="str">
        <x:v>其他/配置</x:v>
      </x:c>
      <x:c r="H2893" s="19" t="str">
        <x:v>D:/Codex/GRL研究/outputs/grid60/GRID60_report.md</x:v>
      </x:c>
    </x:row>
    <x:row r="2894" ht="36" customHeight="1">
      <x:c r="A2894" s="19" t="str">
        <x:v>GRID60</x:v>
      </x:c>
      <x:c r="B2894" s="19" t="str">
        <x:v>GRID60_report.md</x:v>
      </x:c>
      <x:c r="C2894" s="19" t="str">
        <x:v>1. GRID60 框架机制资格检查</x:v>
      </x:c>
      <x:c r="D2894" s="19" t="str">
        <x:v>策略=NO_LOCAL；固定状态=26</x:v>
      </x:c>
      <x:c r="E2894" s="19" t="str">
        <x:v>最大rho差</x:v>
      </x:c>
      <x:c r="F2894" s="19" t="str">
        <x:v>0.016815</x:v>
      </x:c>
      <x:c r="G2894" s="19" t="str">
        <x:v>质量/成本</x:v>
      </x:c>
      <x:c r="H2894" s="19" t="str">
        <x:v>D:/Codex/GRL研究/outputs/grid60/GRID60_report.md</x:v>
      </x:c>
    </x:row>
    <x:row r="2895" ht="36" customHeight="1">
      <x:c r="A2895" s="19" t="str">
        <x:v>GRID60</x:v>
      </x:c>
      <x:c r="B2895" s="19" t="str">
        <x:v>GRID60_report.md</x:v>
      </x:c>
      <x:c r="C2895" s="19" t="str">
        <x:v>1. GRID60 框架机制资格检查</x:v>
      </x:c>
      <x:c r="D2895" s="19" t="str">
        <x:v>策略=FRAME；固定状态=26</x:v>
      </x:c>
      <x:c r="E2895" s="19" t="str">
        <x:v>固定状态</x:v>
      </x:c>
      <x:c r="F2895" s="19" t="str">
        <x:v>26</x:v>
      </x:c>
      <x:c r="G2895" s="19" t="str">
        <x:v>其他/配置</x:v>
      </x:c>
      <x:c r="H2895" s="19" t="str">
        <x:v>D:/Codex/GRL研究/outputs/grid60/GRID60_report.md</x:v>
      </x:c>
    </x:row>
    <x:row r="2896" ht="36" customHeight="1">
      <x:c r="A2896" s="19" t="str">
        <x:v>GRID60</x:v>
      </x:c>
      <x:c r="B2896" s="19" t="str">
        <x:v>GRID60_report.md</x:v>
      </x:c>
      <x:c r="C2896" s="19" t="str">
        <x:v>1. GRID60 框架机制资格检查</x:v>
      </x:c>
      <x:c r="D2896" s="19" t="str">
        <x:v>策略=FRAME；固定状态=26</x:v>
      </x:c>
      <x:c r="E2896" s="19" t="str">
        <x:v>查询</x:v>
      </x:c>
      <x:c r="F2896" s="19" t="str">
        <x:v>7879</x:v>
      </x:c>
      <x:c r="G2896" s="19" t="str">
        <x:v>速度/计算</x:v>
      </x:c>
      <x:c r="H2896" s="19" t="str">
        <x:v>D:/Codex/GRL研究/outputs/grid60/GRID60_report.md</x:v>
      </x:c>
    </x:row>
    <x:row r="2897" ht="36" customHeight="1">
      <x:c r="A2897" s="19" t="str">
        <x:v>GRID60</x:v>
      </x:c>
      <x:c r="B2897" s="19" t="str">
        <x:v>GRID60_report.md</x:v>
      </x:c>
      <x:c r="C2897" s="19" t="str">
        <x:v>1. GRID60 框架机制资格检查</x:v>
      </x:c>
      <x:c r="D2897" s="19" t="str">
        <x:v>策略=FRAME；固定状态=26</x:v>
      </x:c>
      <x:c r="E2897" s="19" t="str">
        <x:v>对FULL查询减少</x:v>
      </x:c>
      <x:c r="F2897" s="19" t="str">
        <x:v>65.13%</x:v>
      </x:c>
      <x:c r="G2897" s="19" t="str">
        <x:v>速度/计算</x:v>
      </x:c>
      <x:c r="H2897" s="19" t="str">
        <x:v>D:/Codex/GRL研究/outputs/grid60/GRID60_report.md</x:v>
      </x:c>
    </x:row>
    <x:row r="2898" ht="36" customHeight="1">
      <x:c r="A2898" s="19" t="str">
        <x:v>GRID60</x:v>
      </x:c>
      <x:c r="B2898" s="19" t="str">
        <x:v>GRID60_report.md</x:v>
      </x:c>
      <x:c r="C2898" s="19" t="str">
        <x:v>1. GRID60 框架机制资格检查</x:v>
      </x:c>
      <x:c r="D2898" s="19" t="str">
        <x:v>策略=FRAME；固定状态=26</x:v>
      </x:c>
      <x:c r="E2898" s="19" t="str">
        <x:v>同FULL选择</x:v>
      </x:c>
      <x:c r="F2898" s="19" t="str">
        <x:v>21</x:v>
      </x:c>
      <x:c r="G2898" s="19" t="str">
        <x:v>质量/成本</x:v>
      </x:c>
      <x:c r="H2898" s="19" t="str">
        <x:v>D:/Codex/GRL研究/outputs/grid60/GRID60_report.md</x:v>
      </x:c>
    </x:row>
    <x:row r="2899" ht="36" customHeight="1">
      <x:c r="A2899" s="19" t="str">
        <x:v>GRID60</x:v>
      </x:c>
      <x:c r="B2899" s="19" t="str">
        <x:v>GRID60_report.md</x:v>
      </x:c>
      <x:c r="C2899" s="19" t="str">
        <x:v>1. GRID60 框架机制资格检查</x:v>
      </x:c>
      <x:c r="D2899" s="19" t="str">
        <x:v>策略=FRAME；固定状态=26</x:v>
      </x:c>
      <x:c r="E2899" s="19" t="str">
        <x:v>局部补查数</x:v>
      </x:c>
      <x:c r="F2899" s="19" t="str">
        <x:v>838</x:v>
      </x:c>
      <x:c r="G2899" s="19" t="str">
        <x:v>其他/配置</x:v>
      </x:c>
      <x:c r="H2899" s="19" t="str">
        <x:v>D:/Codex/GRL研究/outputs/grid60/GRID60_report.md</x:v>
      </x:c>
    </x:row>
    <x:row r="2900" ht="36" customHeight="1">
      <x:c r="A2900" s="19" t="str">
        <x:v>GRID60</x:v>
      </x:c>
      <x:c r="B2900" s="19" t="str">
        <x:v>GRID60_report.md</x:v>
      </x:c>
      <x:c r="C2900" s="19" t="str">
        <x:v>1. GRID60 框架机制资格检查</x:v>
      </x:c>
      <x:c r="D2900" s="19" t="str">
        <x:v>策略=FRAME；固定状态=26</x:v>
      </x:c>
      <x:c r="E2900" s="19" t="str">
        <x:v>最大rho差</x:v>
      </x:c>
      <x:c r="F2900" s="19" t="str">
        <x:v>0.016815</x:v>
      </x:c>
      <x:c r="G2900" s="19" t="str">
        <x:v>质量/成本</x:v>
      </x:c>
      <x:c r="H2900" s="19" t="str">
        <x:v>D:/Codex/GRL研究/outputs/grid60/GRID60_report.md</x:v>
      </x:c>
    </x:row>
    <x:row r="2901" ht="36" customHeight="1">
      <x:c r="A2901" s="19" t="str">
        <x:v>GRID61</x:v>
      </x:c>
      <x:c r="B2901" s="19" t="str">
        <x:v>GRID61_report.md</x:v>
      </x:c>
      <x:c r="C2901" s="19" t="str">
        <x:v>1. GRID61 同排序框架机制闭环比较</x:v>
      </x:c>
      <x:c r="D2901" s="19" t="str">
        <x:v>策略=FULL；完成=6/8</x:v>
      </x:c>
      <x:c r="E2901" s="19" t="str">
        <x:v>完成</x:v>
      </x:c>
      <x:c r="F2901" s="19" t="str">
        <x:v>6/8</x:v>
      </x:c>
      <x:c r="G2901" s="19" t="str">
        <x:v>质量/成本</x:v>
      </x:c>
      <x:c r="H2901" s="19" t="str">
        <x:v>D:/Codex/GRL研究/outputs/grid61/GRID61_report.md</x:v>
      </x:c>
    </x:row>
    <x:row r="2902" ht="36" customHeight="1">
      <x:c r="A2902" s="19" t="str">
        <x:v>GRID61</x:v>
      </x:c>
      <x:c r="B2902" s="19" t="str">
        <x:v>GRID61_report.md</x:v>
      </x:c>
      <x:c r="C2902" s="19" t="str">
        <x:v>1. GRID61 同排序框架机制闭环比较</x:v>
      </x:c>
      <x:c r="D2902" s="19" t="str">
        <x:v>策略=FULL；完成=6/8</x:v>
      </x:c>
      <x:c r="E2902" s="19" t="str">
        <x:v>质量通过</x:v>
      </x:c>
      <x:c r="F2902" s="19" t="str">
        <x:v>8/8</x:v>
      </x:c>
      <x:c r="G2902" s="19" t="str">
        <x:v>质量/成本</x:v>
      </x:c>
      <x:c r="H2902" s="19" t="str">
        <x:v>D:/Codex/GRL研究/outputs/grid61/GRID61_report.md</x:v>
      </x:c>
    </x:row>
    <x:row r="2903" ht="36" customHeight="1">
      <x:c r="A2903" s="19" t="str">
        <x:v>GRID61</x:v>
      </x:c>
      <x:c r="B2903" s="19" t="str">
        <x:v>GRID61_report.md</x:v>
      </x:c>
      <x:c r="C2903" s="19" t="str">
        <x:v>1. GRID61 同排序框架机制闭环比较</x:v>
      </x:c>
      <x:c r="D2903" s="19" t="str">
        <x:v>策略=FULL；完成=6/8</x:v>
      </x:c>
      <x:c r="E2903" s="19" t="str">
        <x:v>控制减少/FULL</x:v>
      </x:c>
      <x:c r="F2903" s="19" t="str">
        <x:v>0.000%</x:v>
      </x:c>
      <x:c r="G2903" s="19" t="str">
        <x:v>速度/计算</x:v>
      </x:c>
      <x:c r="H2903" s="19" t="str">
        <x:v>D:/Codex/GRL研究/outputs/grid61/GRID61_report.md</x:v>
      </x:c>
    </x:row>
    <x:row r="2904" ht="36" customHeight="1">
      <x:c r="A2904" s="19" t="str">
        <x:v>GRID61</x:v>
      </x:c>
      <x:c r="B2904" s="19" t="str">
        <x:v>GRID61_report.md</x:v>
      </x:c>
      <x:c r="C2904" s="19" t="str">
        <x:v>1. GRID61 同排序框架机制闭环比较</x:v>
      </x:c>
      <x:c r="D2904" s="19" t="str">
        <x:v>策略=FULL；完成=6/8</x:v>
      </x:c>
      <x:c r="E2904" s="19" t="str">
        <x:v>查询减少/FULL</x:v>
      </x:c>
      <x:c r="F2904" s="19" t="str">
        <x:v>0.000%</x:v>
      </x:c>
      <x:c r="G2904" s="19" t="str">
        <x:v>速度/计算</x:v>
      </x:c>
      <x:c r="H2904" s="19" t="str">
        <x:v>D:/Codex/GRL研究/outputs/grid61/GRID61_report.md</x:v>
      </x:c>
    </x:row>
    <x:row r="2905" ht="36" customHeight="1">
      <x:c r="A2905" s="19" t="str">
        <x:v>GRID61</x:v>
      </x:c>
      <x:c r="B2905" s="19" t="str">
        <x:v>GRID61_report.md</x:v>
      </x:c>
      <x:c r="C2905" s="19" t="str">
        <x:v>1. GRID61 同排序框架机制闭环比较</x:v>
      </x:c>
      <x:c r="D2905" s="19" t="str">
        <x:v>策略=FULL；完成=6/8</x:v>
      </x:c>
      <x:c r="E2905" s="19" t="str">
        <x:v>最坏完整周成本变化/FULL</x:v>
      </x:c>
      <x:c r="F2905" s="19" t="str">
        <x:v>+0.00000%</x:v>
      </x:c>
      <x:c r="G2905" s="19" t="str">
        <x:v>质量/成本</x:v>
      </x:c>
      <x:c r="H2905" s="19" t="str">
        <x:v>D:/Codex/GRL研究/outputs/grid61/GRID61_report.md</x:v>
      </x:c>
    </x:row>
    <x:row r="2906" ht="36" customHeight="1">
      <x:c r="A2906" s="19" t="str">
        <x:v>GRID61</x:v>
      </x:c>
      <x:c r="B2906" s="19" t="str">
        <x:v>GRID61_report.md</x:v>
      </x:c>
      <x:c r="C2906" s="19" t="str">
        <x:v>1. GRID61 同排序框架机制闭环比较</x:v>
      </x:c>
      <x:c r="D2906" s="19" t="str">
        <x:v>策略=FIRST_SAFE_BEST；完成=6/8</x:v>
      </x:c>
      <x:c r="E2906" s="19" t="str">
        <x:v>完成</x:v>
      </x:c>
      <x:c r="F2906" s="19" t="str">
        <x:v>6/8</x:v>
      </x:c>
      <x:c r="G2906" s="19" t="str">
        <x:v>质量/成本</x:v>
      </x:c>
      <x:c r="H2906" s="19" t="str">
        <x:v>D:/Codex/GRL研究/outputs/grid61/GRID61_report.md</x:v>
      </x:c>
    </x:row>
    <x:row r="2907" ht="36" customHeight="1">
      <x:c r="A2907" s="19" t="str">
        <x:v>GRID61</x:v>
      </x:c>
      <x:c r="B2907" s="19" t="str">
        <x:v>GRID61_report.md</x:v>
      </x:c>
      <x:c r="C2907" s="19" t="str">
        <x:v>1. GRID61 同排序框架机制闭环比较</x:v>
      </x:c>
      <x:c r="D2907" s="19" t="str">
        <x:v>策略=FIRST_SAFE_BEST；完成=6/8</x:v>
      </x:c>
      <x:c r="E2907" s="19" t="str">
        <x:v>质量通过</x:v>
      </x:c>
      <x:c r="F2907" s="19" t="str">
        <x:v>4/8</x:v>
      </x:c>
      <x:c r="G2907" s="19" t="str">
        <x:v>质量/成本</x:v>
      </x:c>
      <x:c r="H2907" s="19" t="str">
        <x:v>D:/Codex/GRL研究/outputs/grid61/GRID61_report.md</x:v>
      </x:c>
    </x:row>
    <x:row r="2908" ht="36" customHeight="1">
      <x:c r="A2908" s="19" t="str">
        <x:v>GRID61</x:v>
      </x:c>
      <x:c r="B2908" s="19" t="str">
        <x:v>GRID61_report.md</x:v>
      </x:c>
      <x:c r="C2908" s="19" t="str">
        <x:v>1. GRID61 同排序框架机制闭环比较</x:v>
      </x:c>
      <x:c r="D2908" s="19" t="str">
        <x:v>策略=FIRST_SAFE_BEST；完成=6/8</x:v>
      </x:c>
      <x:c r="E2908" s="19" t="str">
        <x:v>控制减少/FULL</x:v>
      </x:c>
      <x:c r="F2908" s="19" t="str">
        <x:v>7.032%</x:v>
      </x:c>
      <x:c r="G2908" s="19" t="str">
        <x:v>速度/计算</x:v>
      </x:c>
      <x:c r="H2908" s="19" t="str">
        <x:v>D:/Codex/GRL研究/outputs/grid61/GRID61_report.md</x:v>
      </x:c>
    </x:row>
    <x:row r="2909" ht="36" customHeight="1">
      <x:c r="A2909" s="19" t="str">
        <x:v>GRID61</x:v>
      </x:c>
      <x:c r="B2909" s="19" t="str">
        <x:v>GRID61_report.md</x:v>
      </x:c>
      <x:c r="C2909" s="19" t="str">
        <x:v>1. GRID61 同排序框架机制闭环比较</x:v>
      </x:c>
      <x:c r="D2909" s="19" t="str">
        <x:v>策略=FIRST_SAFE_BEST；完成=6/8</x:v>
      </x:c>
      <x:c r="E2909" s="19" t="str">
        <x:v>查询减少/FULL</x:v>
      </x:c>
      <x:c r="F2909" s="19" t="str">
        <x:v>51.450%</x:v>
      </x:c>
      <x:c r="G2909" s="19" t="str">
        <x:v>速度/计算</x:v>
      </x:c>
      <x:c r="H2909" s="19" t="str">
        <x:v>D:/Codex/GRL研究/outputs/grid61/GRID61_report.md</x:v>
      </x:c>
    </x:row>
    <x:row r="2910" ht="36" customHeight="1">
      <x:c r="A2910" s="19" t="str">
        <x:v>GRID61</x:v>
      </x:c>
      <x:c r="B2910" s="19" t="str">
        <x:v>GRID61_report.md</x:v>
      </x:c>
      <x:c r="C2910" s="19" t="str">
        <x:v>1. GRID61 同排序框架机制闭环比较</x:v>
      </x:c>
      <x:c r="D2910" s="19" t="str">
        <x:v>策略=FIRST_SAFE_BEST；完成=6/8</x:v>
      </x:c>
      <x:c r="E2910" s="19" t="str">
        <x:v>最坏完整周成本变化/FULL</x:v>
      </x:c>
      <x:c r="F2910" s="19" t="str">
        <x:v>+3.95164%</x:v>
      </x:c>
      <x:c r="G2910" s="19" t="str">
        <x:v>质量/成本</x:v>
      </x:c>
      <x:c r="H2910" s="19" t="str">
        <x:v>D:/Codex/GRL研究/outputs/grid61/GRID61_report.md</x:v>
      </x:c>
    </x:row>
    <x:row r="2911" ht="36" customHeight="1">
      <x:c r="A2911" s="19" t="str">
        <x:v>GRID61</x:v>
      </x:c>
      <x:c r="B2911" s="19" t="str">
        <x:v>GRID61_report.md</x:v>
      </x:c>
      <x:c r="C2911" s="19" t="str">
        <x:v>1. GRID61 同排序框架机制闭环比较</x:v>
      </x:c>
      <x:c r="D2911" s="19" t="str">
        <x:v>策略=NO_LOCAL；完成=6/8</x:v>
      </x:c>
      <x:c r="E2911" s="19" t="str">
        <x:v>完成</x:v>
      </x:c>
      <x:c r="F2911" s="19" t="str">
        <x:v>6/8</x:v>
      </x:c>
      <x:c r="G2911" s="19" t="str">
        <x:v>质量/成本</x:v>
      </x:c>
      <x:c r="H2911" s="19" t="str">
        <x:v>D:/Codex/GRL研究/outputs/grid61/GRID61_report.md</x:v>
      </x:c>
    </x:row>
    <x:row r="2912" ht="36" customHeight="1">
      <x:c r="A2912" s="19" t="str">
        <x:v>GRID61</x:v>
      </x:c>
      <x:c r="B2912" s="19" t="str">
        <x:v>GRID61_report.md</x:v>
      </x:c>
      <x:c r="C2912" s="19" t="str">
        <x:v>1. GRID61 同排序框架机制闭环比较</x:v>
      </x:c>
      <x:c r="D2912" s="19" t="str">
        <x:v>策略=NO_LOCAL；完成=6/8</x:v>
      </x:c>
      <x:c r="E2912" s="19" t="str">
        <x:v>质量通过</x:v>
      </x:c>
      <x:c r="F2912" s="19" t="str">
        <x:v>6/8</x:v>
      </x:c>
      <x:c r="G2912" s="19" t="str">
        <x:v>质量/成本</x:v>
      </x:c>
      <x:c r="H2912" s="19" t="str">
        <x:v>D:/Codex/GRL研究/outputs/grid61/GRID61_report.md</x:v>
      </x:c>
    </x:row>
    <x:row r="2913" ht="36" customHeight="1">
      <x:c r="A2913" s="19" t="str">
        <x:v>GRID61</x:v>
      </x:c>
      <x:c r="B2913" s="19" t="str">
        <x:v>GRID61_report.md</x:v>
      </x:c>
      <x:c r="C2913" s="19" t="str">
        <x:v>1. GRID61 同排序框架机制闭环比较</x:v>
      </x:c>
      <x:c r="D2913" s="19" t="str">
        <x:v>策略=NO_LOCAL；完成=6/8</x:v>
      </x:c>
      <x:c r="E2913" s="19" t="str">
        <x:v>控制减少/FULL</x:v>
      </x:c>
      <x:c r="F2913" s="19" t="str">
        <x:v>14.251%</x:v>
      </x:c>
      <x:c r="G2913" s="19" t="str">
        <x:v>速度/计算</x:v>
      </x:c>
      <x:c r="H2913" s="19" t="str">
        <x:v>D:/Codex/GRL研究/outputs/grid61/GRID61_report.md</x:v>
      </x:c>
    </x:row>
    <x:row r="2914" ht="36" customHeight="1">
      <x:c r="A2914" s="19" t="str">
        <x:v>GRID61</x:v>
      </x:c>
      <x:c r="B2914" s="19" t="str">
        <x:v>GRID61_report.md</x:v>
      </x:c>
      <x:c r="C2914" s="19" t="str">
        <x:v>1. GRID61 同排序框架机制闭环比较</x:v>
      </x:c>
      <x:c r="D2914" s="19" t="str">
        <x:v>策略=NO_LOCAL；完成=6/8</x:v>
      </x:c>
      <x:c r="E2914" s="19" t="str">
        <x:v>查询减少/FULL</x:v>
      </x:c>
      <x:c r="F2914" s="19" t="str">
        <x:v>71.840%</x:v>
      </x:c>
      <x:c r="G2914" s="19" t="str">
        <x:v>速度/计算</x:v>
      </x:c>
      <x:c r="H2914" s="19" t="str">
        <x:v>D:/Codex/GRL研究/outputs/grid61/GRID61_report.md</x:v>
      </x:c>
    </x:row>
    <x:row r="2915" ht="36" customHeight="1">
      <x:c r="A2915" s="19" t="str">
        <x:v>GRID61</x:v>
      </x:c>
      <x:c r="B2915" s="19" t="str">
        <x:v>GRID61_report.md</x:v>
      </x:c>
      <x:c r="C2915" s="19" t="str">
        <x:v>1. GRID61 同排序框架机制闭环比较</x:v>
      </x:c>
      <x:c r="D2915" s="19" t="str">
        <x:v>策略=NO_LOCAL；完成=6/8</x:v>
      </x:c>
      <x:c r="E2915" s="19" t="str">
        <x:v>最坏完整周成本变化/FULL</x:v>
      </x:c>
      <x:c r="F2915" s="19" t="str">
        <x:v>+4.81017%</x:v>
      </x:c>
      <x:c r="G2915" s="19" t="str">
        <x:v>质量/成本</x:v>
      </x:c>
      <x:c r="H2915" s="19" t="str">
        <x:v>D:/Codex/GRL研究/outputs/grid61/GRID61_report.md</x:v>
      </x:c>
    </x:row>
    <x:row r="2916" ht="36" customHeight="1">
      <x:c r="A2916" s="19" t="str">
        <x:v>GRID61</x:v>
      </x:c>
      <x:c r="B2916" s="19" t="str">
        <x:v>GRID61_report.md</x:v>
      </x:c>
      <x:c r="C2916" s="19" t="str">
        <x:v>1. GRID61 同排序框架机制闭环比较</x:v>
      </x:c>
      <x:c r="D2916" s="19" t="str">
        <x:v>策略=FRAME；完成=6/8</x:v>
      </x:c>
      <x:c r="E2916" s="19" t="str">
        <x:v>完成</x:v>
      </x:c>
      <x:c r="F2916" s="19" t="str">
        <x:v>6/8</x:v>
      </x:c>
      <x:c r="G2916" s="19" t="str">
        <x:v>质量/成本</x:v>
      </x:c>
      <x:c r="H2916" s="19" t="str">
        <x:v>D:/Codex/GRL研究/outputs/grid61/GRID61_report.md</x:v>
      </x:c>
    </x:row>
    <x:row r="2917" ht="36" customHeight="1">
      <x:c r="A2917" s="19" t="str">
        <x:v>GRID61</x:v>
      </x:c>
      <x:c r="B2917" s="19" t="str">
        <x:v>GRID61_report.md</x:v>
      </x:c>
      <x:c r="C2917" s="19" t="str">
        <x:v>1. GRID61 同排序框架机制闭环比较</x:v>
      </x:c>
      <x:c r="D2917" s="19" t="str">
        <x:v>策略=FRAME；完成=6/8</x:v>
      </x:c>
      <x:c r="E2917" s="19" t="str">
        <x:v>质量通过</x:v>
      </x:c>
      <x:c r="F2917" s="19" t="str">
        <x:v>8/8</x:v>
      </x:c>
      <x:c r="G2917" s="19" t="str">
        <x:v>质量/成本</x:v>
      </x:c>
      <x:c r="H2917" s="19" t="str">
        <x:v>D:/Codex/GRL研究/outputs/grid61/GRID61_report.md</x:v>
      </x:c>
    </x:row>
    <x:row r="2918" ht="36" customHeight="1">
      <x:c r="A2918" s="19" t="str">
        <x:v>GRID61</x:v>
      </x:c>
      <x:c r="B2918" s="19" t="str">
        <x:v>GRID61_report.md</x:v>
      </x:c>
      <x:c r="C2918" s="19" t="str">
        <x:v>1. GRID61 同排序框架机制闭环比较</x:v>
      </x:c>
      <x:c r="D2918" s="19" t="str">
        <x:v>策略=FRAME；完成=6/8</x:v>
      </x:c>
      <x:c r="E2918" s="19" t="str">
        <x:v>控制减少/FULL</x:v>
      </x:c>
      <x:c r="F2918" s="19" t="str">
        <x:v>13.059%</x:v>
      </x:c>
      <x:c r="G2918" s="19" t="str">
        <x:v>速度/计算</x:v>
      </x:c>
      <x:c r="H2918" s="19" t="str">
        <x:v>D:/Codex/GRL研究/outputs/grid61/GRID61_report.md</x:v>
      </x:c>
    </x:row>
    <x:row r="2919" ht="36" customHeight="1">
      <x:c r="A2919" s="19" t="str">
        <x:v>GRID61</x:v>
      </x:c>
      <x:c r="B2919" s="19" t="str">
        <x:v>GRID61_report.md</x:v>
      </x:c>
      <x:c r="C2919" s="19" t="str">
        <x:v>1. GRID61 同排序框架机制闭环比较</x:v>
      </x:c>
      <x:c r="D2919" s="19" t="str">
        <x:v>策略=FRAME；完成=6/8</x:v>
      </x:c>
      <x:c r="E2919" s="19" t="str">
        <x:v>查询减少/FULL</x:v>
      </x:c>
      <x:c r="F2919" s="19" t="str">
        <x:v>69.367%</x:v>
      </x:c>
      <x:c r="G2919" s="19" t="str">
        <x:v>速度/计算</x:v>
      </x:c>
      <x:c r="H2919" s="19" t="str">
        <x:v>D:/Codex/GRL研究/outputs/grid61/GRID61_report.md</x:v>
      </x:c>
    </x:row>
    <x:row r="2920" ht="36" customHeight="1">
      <x:c r="A2920" s="19" t="str">
        <x:v>GRID61</x:v>
      </x:c>
      <x:c r="B2920" s="19" t="str">
        <x:v>GRID61_report.md</x:v>
      </x:c>
      <x:c r="C2920" s="19" t="str">
        <x:v>1. GRID61 同排序框架机制闭环比较</x:v>
      </x:c>
      <x:c r="D2920" s="19" t="str">
        <x:v>策略=FRAME；完成=6/8</x:v>
      </x:c>
      <x:c r="E2920" s="19" t="str">
        <x:v>最坏完整周成本变化/FULL</x:v>
      </x:c>
      <x:c r="F2920" s="19" t="str">
        <x:v>+0.37200%</x:v>
      </x:c>
      <x:c r="G2920" s="19" t="str">
        <x:v>质量/成本</x:v>
      </x:c>
      <x:c r="H2920" s="19" t="str">
        <x:v>D:/Codex/GRL研究/outputs/grid61/GRID61_report.md</x:v>
      </x:c>
    </x:row>
    <x:row r="2921" ht="36" customHeight="1">
      <x:c r="A2921" s="19" t="str">
        <x:v>GRID62</x:v>
      </x:c>
      <x:c r="B2921" s="19" t="str">
        <x:v>GRID62_report.md</x:v>
      </x:c>
      <x:c r="C2921" s="19" t="str">
        <x:v>1. GRID62 最后三个封存日期的框架确认</x:v>
      </x:c>
      <x:c r="D2921" s="19" t="str">
        <x:v>策略=FULL；完成日期=2/3</x:v>
      </x:c>
      <x:c r="E2921" s="19" t="str">
        <x:v>完成日期</x:v>
      </x:c>
      <x:c r="F2921" s="19" t="str">
        <x:v>2/3</x:v>
      </x:c>
      <x:c r="G2921" s="19" t="str">
        <x:v>质量/成本</x:v>
      </x:c>
      <x:c r="H2921" s="19" t="str">
        <x:v>D:/Codex/GRL研究/outputs/grid62/GRID62_report.md</x:v>
      </x:c>
    </x:row>
    <x:row r="2922" ht="36" customHeight="1">
      <x:c r="A2922" s="19" t="str">
        <x:v>GRID62</x:v>
      </x:c>
      <x:c r="B2922" s="19" t="str">
        <x:v>GRID62_report.md</x:v>
      </x:c>
      <x:c r="C2922" s="19" t="str">
        <x:v>1. GRID62 最后三个封存日期的框架确认</x:v>
      </x:c>
      <x:c r="D2922" s="19" t="str">
        <x:v>策略=FULL；完成日期=2/3</x:v>
      </x:c>
      <x:c r="E2922" s="19" t="str">
        <x:v>质量通过日期</x:v>
      </x:c>
      <x:c r="F2922" s="19" t="str">
        <x:v>3/3</x:v>
      </x:c>
      <x:c r="G2922" s="19" t="str">
        <x:v>质量/成本</x:v>
      </x:c>
      <x:c r="H2922" s="19" t="str">
        <x:v>D:/Codex/GRL研究/outputs/grid62/GRID62_report.md</x:v>
      </x:c>
    </x:row>
    <x:row r="2923" ht="36" customHeight="1">
      <x:c r="A2923" s="19" t="str">
        <x:v>GRID62</x:v>
      </x:c>
      <x:c r="B2923" s="19" t="str">
        <x:v>GRID62_report.md</x:v>
      </x:c>
      <x:c r="C2923" s="19" t="str">
        <x:v>1. GRID62 最后三个封存日期的框架确认</x:v>
      </x:c>
      <x:c r="D2923" s="19" t="str">
        <x:v>策略=FULL；完成日期=2/3</x:v>
      </x:c>
      <x:c r="E2923" s="19" t="str">
        <x:v>控制减少/FULL</x:v>
      </x:c>
      <x:c r="F2923" s="19" t="str">
        <x:v>+0.000%</x:v>
      </x:c>
      <x:c r="G2923" s="19" t="str">
        <x:v>速度/计算</x:v>
      </x:c>
      <x:c r="H2923" s="19" t="str">
        <x:v>D:/Codex/GRL研究/outputs/grid62/GRID62_report.md</x:v>
      </x:c>
    </x:row>
    <x:row r="2924" ht="36" customHeight="1">
      <x:c r="A2924" s="19" t="str">
        <x:v>GRID62</x:v>
      </x:c>
      <x:c r="B2924" s="19" t="str">
        <x:v>GRID62_report.md</x:v>
      </x:c>
      <x:c r="C2924" s="19" t="str">
        <x:v>1. GRID62 最后三个封存日期的框架确认</x:v>
      </x:c>
      <x:c r="D2924" s="19" t="str">
        <x:v>策略=FULL；完成日期=2/3</x:v>
      </x:c>
      <x:c r="E2924" s="19" t="str">
        <x:v>查询减少/FULL</x:v>
      </x:c>
      <x:c r="F2924" s="19" t="str">
        <x:v>+0.000%</x:v>
      </x:c>
      <x:c r="G2924" s="19" t="str">
        <x:v>速度/计算</x:v>
      </x:c>
      <x:c r="H2924" s="19" t="str">
        <x:v>D:/Codex/GRL研究/outputs/grid62/GRID62_report.md</x:v>
      </x:c>
    </x:row>
    <x:row r="2925" ht="36" customHeight="1">
      <x:c r="A2925" s="19" t="str">
        <x:v>GRID62</x:v>
      </x:c>
      <x:c r="B2925" s="19" t="str">
        <x:v>GRID62_report.md</x:v>
      </x:c>
      <x:c r="C2925" s="19" t="str">
        <x:v>1. GRID62 最后三个封存日期的框架确认</x:v>
      </x:c>
      <x:c r="D2925" s="19" t="str">
        <x:v>策略=FULL；完成日期=2/3</x:v>
      </x:c>
      <x:c r="E2925" s="19" t="str">
        <x:v>最坏完整周成本变化/FULL</x:v>
      </x:c>
      <x:c r="F2925" s="19" t="str">
        <x:v>+0.000%</x:v>
      </x:c>
      <x:c r="G2925" s="19" t="str">
        <x:v>质量/成本</x:v>
      </x:c>
      <x:c r="H2925" s="19" t="str">
        <x:v>D:/Codex/GRL研究/outputs/grid62/GRID62_report.md</x:v>
      </x:c>
    </x:row>
    <x:row r="2926" ht="36" customHeight="1">
      <x:c r="A2926" s="19" t="str">
        <x:v>GRID62</x:v>
      </x:c>
      <x:c r="B2926" s="19" t="str">
        <x:v>GRID62_report.md</x:v>
      </x:c>
      <x:c r="C2926" s="19" t="str">
        <x:v>1. GRID62 最后三个封存日期的框架确认</x:v>
      </x:c>
      <x:c r="D2926" s="19" t="str">
        <x:v>策略=FIRST_SAFE_BEST；完成日期=2/3</x:v>
      </x:c>
      <x:c r="E2926" s="19" t="str">
        <x:v>完成日期</x:v>
      </x:c>
      <x:c r="F2926" s="19" t="str">
        <x:v>2/3</x:v>
      </x:c>
      <x:c r="G2926" s="19" t="str">
        <x:v>质量/成本</x:v>
      </x:c>
      <x:c r="H2926" s="19" t="str">
        <x:v>D:/Codex/GRL研究/outputs/grid62/GRID62_report.md</x:v>
      </x:c>
    </x:row>
    <x:row r="2927" ht="36" customHeight="1">
      <x:c r="A2927" s="19" t="str">
        <x:v>GRID62</x:v>
      </x:c>
      <x:c r="B2927" s="19" t="str">
        <x:v>GRID62_report.md</x:v>
      </x:c>
      <x:c r="C2927" s="19" t="str">
        <x:v>1. GRID62 最后三个封存日期的框架确认</x:v>
      </x:c>
      <x:c r="D2927" s="19" t="str">
        <x:v>策略=FIRST_SAFE_BEST；完成日期=2/3</x:v>
      </x:c>
      <x:c r="E2927" s="19" t="str">
        <x:v>质量通过日期</x:v>
      </x:c>
      <x:c r="F2927" s="19" t="str">
        <x:v>3/3</x:v>
      </x:c>
      <x:c r="G2927" s="19" t="str">
        <x:v>质量/成本</x:v>
      </x:c>
      <x:c r="H2927" s="19" t="str">
        <x:v>D:/Codex/GRL研究/outputs/grid62/GRID62_report.md</x:v>
      </x:c>
    </x:row>
    <x:row r="2928" ht="36" customHeight="1">
      <x:c r="A2928" s="19" t="str">
        <x:v>GRID62</x:v>
      </x:c>
      <x:c r="B2928" s="19" t="str">
        <x:v>GRID62_report.md</x:v>
      </x:c>
      <x:c r="C2928" s="19" t="str">
        <x:v>1. GRID62 最后三个封存日期的框架确认</x:v>
      </x:c>
      <x:c r="D2928" s="19" t="str">
        <x:v>策略=FIRST_SAFE_BEST；完成日期=2/3</x:v>
      </x:c>
      <x:c r="E2928" s="19" t="str">
        <x:v>控制减少/FULL</x:v>
      </x:c>
      <x:c r="F2928" s="19" t="str">
        <x:v>-7.754%</x:v>
      </x:c>
      <x:c r="G2928" s="19" t="str">
        <x:v>速度/计算</x:v>
      </x:c>
      <x:c r="H2928" s="19" t="str">
        <x:v>D:/Codex/GRL研究/outputs/grid62/GRID62_report.md</x:v>
      </x:c>
    </x:row>
    <x:row r="2929" ht="36" customHeight="1">
      <x:c r="A2929" s="19" t="str">
        <x:v>GRID62</x:v>
      </x:c>
      <x:c r="B2929" s="19" t="str">
        <x:v>GRID62_report.md</x:v>
      </x:c>
      <x:c r="C2929" s="19" t="str">
        <x:v>1. GRID62 最后三个封存日期的框架确认</x:v>
      </x:c>
      <x:c r="D2929" s="19" t="str">
        <x:v>策略=FIRST_SAFE_BEST；完成日期=2/3</x:v>
      </x:c>
      <x:c r="E2929" s="19" t="str">
        <x:v>查询减少/FULL</x:v>
      </x:c>
      <x:c r="F2929" s="19" t="str">
        <x:v>+89.243%</x:v>
      </x:c>
      <x:c r="G2929" s="19" t="str">
        <x:v>速度/计算</x:v>
      </x:c>
      <x:c r="H2929" s="19" t="str">
        <x:v>D:/Codex/GRL研究/outputs/grid62/GRID62_report.md</x:v>
      </x:c>
    </x:row>
    <x:row r="2930" ht="36" customHeight="1">
      <x:c r="A2930" s="19" t="str">
        <x:v>GRID62</x:v>
      </x:c>
      <x:c r="B2930" s="19" t="str">
        <x:v>GRID62_report.md</x:v>
      </x:c>
      <x:c r="C2930" s="19" t="str">
        <x:v>1. GRID62 最后三个封存日期的框架确认</x:v>
      </x:c>
      <x:c r="D2930" s="19" t="str">
        <x:v>策略=FIRST_SAFE_BEST；完成日期=2/3</x:v>
      </x:c>
      <x:c r="E2930" s="19" t="str">
        <x:v>最坏完整周成本变化/FULL</x:v>
      </x:c>
      <x:c r="F2930" s="19" t="str">
        <x:v>-0.218%</x:v>
      </x:c>
      <x:c r="G2930" s="19" t="str">
        <x:v>质量/成本</x:v>
      </x:c>
      <x:c r="H2930" s="19" t="str">
        <x:v>D:/Codex/GRL研究/outputs/grid62/GRID62_report.md</x:v>
      </x:c>
    </x:row>
    <x:row r="2931" ht="36" customHeight="1">
      <x:c r="A2931" s="19" t="str">
        <x:v>GRID62</x:v>
      </x:c>
      <x:c r="B2931" s="19" t="str">
        <x:v>GRID62_report.md</x:v>
      </x:c>
      <x:c r="C2931" s="19" t="str">
        <x:v>1. GRID62 最后三个封存日期的框架确认</x:v>
      </x:c>
      <x:c r="D2931" s="19" t="str">
        <x:v>策略=NO_LOCAL；完成日期=2/3</x:v>
      </x:c>
      <x:c r="E2931" s="19" t="str">
        <x:v>完成日期</x:v>
      </x:c>
      <x:c r="F2931" s="19" t="str">
        <x:v>2/3</x:v>
      </x:c>
      <x:c r="G2931" s="19" t="str">
        <x:v>质量/成本</x:v>
      </x:c>
      <x:c r="H2931" s="19" t="str">
        <x:v>D:/Codex/GRL研究/outputs/grid62/GRID62_report.md</x:v>
      </x:c>
    </x:row>
    <x:row r="2932" ht="36" customHeight="1">
      <x:c r="A2932" s="19" t="str">
        <x:v>GRID62</x:v>
      </x:c>
      <x:c r="B2932" s="19" t="str">
        <x:v>GRID62_report.md</x:v>
      </x:c>
      <x:c r="C2932" s="19" t="str">
        <x:v>1. GRID62 最后三个封存日期的框架确认</x:v>
      </x:c>
      <x:c r="D2932" s="19" t="str">
        <x:v>策略=NO_LOCAL；完成日期=2/3</x:v>
      </x:c>
      <x:c r="E2932" s="19" t="str">
        <x:v>质量通过日期</x:v>
      </x:c>
      <x:c r="F2932" s="19" t="str">
        <x:v>3/3</x:v>
      </x:c>
      <x:c r="G2932" s="19" t="str">
        <x:v>质量/成本</x:v>
      </x:c>
      <x:c r="H2932" s="19" t="str">
        <x:v>D:/Codex/GRL研究/outputs/grid62/GRID62_report.md</x:v>
      </x:c>
    </x:row>
    <x:row r="2933" ht="36" customHeight="1">
      <x:c r="A2933" s="19" t="str">
        <x:v>GRID62</x:v>
      </x:c>
      <x:c r="B2933" s="19" t="str">
        <x:v>GRID62_report.md</x:v>
      </x:c>
      <x:c r="C2933" s="19" t="str">
        <x:v>1. GRID62 最后三个封存日期的框架确认</x:v>
      </x:c>
      <x:c r="D2933" s="19" t="str">
        <x:v>策略=NO_LOCAL；完成日期=2/3</x:v>
      </x:c>
      <x:c r="E2933" s="19" t="str">
        <x:v>控制减少/FULL</x:v>
      </x:c>
      <x:c r="F2933" s="19" t="str">
        <x:v>+9.384%</x:v>
      </x:c>
      <x:c r="G2933" s="19" t="str">
        <x:v>速度/计算</x:v>
      </x:c>
      <x:c r="H2933" s="19" t="str">
        <x:v>D:/Codex/GRL研究/outputs/grid62/GRID62_report.md</x:v>
      </x:c>
    </x:row>
    <x:row r="2934" ht="36" customHeight="1">
      <x:c r="A2934" s="19" t="str">
        <x:v>GRID62</x:v>
      </x:c>
      <x:c r="B2934" s="19" t="str">
        <x:v>GRID62_report.md</x:v>
      </x:c>
      <x:c r="C2934" s="19" t="str">
        <x:v>1. GRID62 最后三个封存日期的框架确认</x:v>
      </x:c>
      <x:c r="D2934" s="19" t="str">
        <x:v>策略=NO_LOCAL；完成日期=2/3</x:v>
      </x:c>
      <x:c r="E2934" s="19" t="str">
        <x:v>查询减少/FULL</x:v>
      </x:c>
      <x:c r="F2934" s="19" t="str">
        <x:v>+84.020%</x:v>
      </x:c>
      <x:c r="G2934" s="19" t="str">
        <x:v>速度/计算</x:v>
      </x:c>
      <x:c r="H2934" s="19" t="str">
        <x:v>D:/Codex/GRL研究/outputs/grid62/GRID62_report.md</x:v>
      </x:c>
    </x:row>
    <x:row r="2935" ht="36" customHeight="1">
      <x:c r="A2935" s="19" t="str">
        <x:v>GRID62</x:v>
      </x:c>
      <x:c r="B2935" s="19" t="str">
        <x:v>GRID62_report.md</x:v>
      </x:c>
      <x:c r="C2935" s="19" t="str">
        <x:v>1. GRID62 最后三个封存日期的框架确认</x:v>
      </x:c>
      <x:c r="D2935" s="19" t="str">
        <x:v>策略=NO_LOCAL；完成日期=2/3</x:v>
      </x:c>
      <x:c r="E2935" s="19" t="str">
        <x:v>最坏完整周成本变化/FULL</x:v>
      </x:c>
      <x:c r="F2935" s="19" t="str">
        <x:v>+0.014%</x:v>
      </x:c>
      <x:c r="G2935" s="19" t="str">
        <x:v>质量/成本</x:v>
      </x:c>
      <x:c r="H2935" s="19" t="str">
        <x:v>D:/Codex/GRL研究/outputs/grid62/GRID62_report.md</x:v>
      </x:c>
    </x:row>
    <x:row r="2936" ht="36" customHeight="1">
      <x:c r="A2936" s="19" t="str">
        <x:v>GRID62</x:v>
      </x:c>
      <x:c r="B2936" s="19" t="str">
        <x:v>GRID62_report.md</x:v>
      </x:c>
      <x:c r="C2936" s="19" t="str">
        <x:v>1. GRID62 最后三个封存日期的框架确认</x:v>
      </x:c>
      <x:c r="D2936" s="19" t="str">
        <x:v>策略=FRAME；完成日期=2/3</x:v>
      </x:c>
      <x:c r="E2936" s="19" t="str">
        <x:v>完成日期</x:v>
      </x:c>
      <x:c r="F2936" s="19" t="str">
        <x:v>2/3</x:v>
      </x:c>
      <x:c r="G2936" s="19" t="str">
        <x:v>质量/成本</x:v>
      </x:c>
      <x:c r="H2936" s="19" t="str">
        <x:v>D:/Codex/GRL研究/outputs/grid62/GRID62_report.md</x:v>
      </x:c>
    </x:row>
    <x:row r="2937" ht="36" customHeight="1">
      <x:c r="A2937" s="19" t="str">
        <x:v>GRID62</x:v>
      </x:c>
      <x:c r="B2937" s="19" t="str">
        <x:v>GRID62_report.md</x:v>
      </x:c>
      <x:c r="C2937" s="19" t="str">
        <x:v>1. GRID62 最后三个封存日期的框架确认</x:v>
      </x:c>
      <x:c r="D2937" s="19" t="str">
        <x:v>策略=FRAME；完成日期=2/3</x:v>
      </x:c>
      <x:c r="E2937" s="19" t="str">
        <x:v>质量通过日期</x:v>
      </x:c>
      <x:c r="F2937" s="19" t="str">
        <x:v>3/3</x:v>
      </x:c>
      <x:c r="G2937" s="19" t="str">
        <x:v>质量/成本</x:v>
      </x:c>
      <x:c r="H2937" s="19" t="str">
        <x:v>D:/Codex/GRL研究/outputs/grid62/GRID62_report.md</x:v>
      </x:c>
    </x:row>
    <x:row r="2938" ht="36" customHeight="1">
      <x:c r="A2938" s="19" t="str">
        <x:v>GRID62</x:v>
      </x:c>
      <x:c r="B2938" s="19" t="str">
        <x:v>GRID62_report.md</x:v>
      </x:c>
      <x:c r="C2938" s="19" t="str">
        <x:v>1. GRID62 最后三个封存日期的框架确认</x:v>
      </x:c>
      <x:c r="D2938" s="19" t="str">
        <x:v>策略=FRAME；完成日期=2/3</x:v>
      </x:c>
      <x:c r="E2938" s="19" t="str">
        <x:v>控制减少/FULL</x:v>
      </x:c>
      <x:c r="F2938" s="19" t="str">
        <x:v>+6.086%</x:v>
      </x:c>
      <x:c r="G2938" s="19" t="str">
        <x:v>速度/计算</x:v>
      </x:c>
      <x:c r="H2938" s="19" t="str">
        <x:v>D:/Codex/GRL研究/outputs/grid62/GRID62_report.md</x:v>
      </x:c>
    </x:row>
    <x:row r="2939" ht="36" customHeight="1">
      <x:c r="A2939" s="19" t="str">
        <x:v>GRID62</x:v>
      </x:c>
      <x:c r="B2939" s="19" t="str">
        <x:v>GRID62_report.md</x:v>
      </x:c>
      <x:c r="C2939" s="19" t="str">
        <x:v>1. GRID62 最后三个封存日期的框架确认</x:v>
      </x:c>
      <x:c r="D2939" s="19" t="str">
        <x:v>策略=FRAME；完成日期=2/3</x:v>
      </x:c>
      <x:c r="E2939" s="19" t="str">
        <x:v>查询减少/FULL</x:v>
      </x:c>
      <x:c r="F2939" s="19" t="str">
        <x:v>+83.543%</x:v>
      </x:c>
      <x:c r="G2939" s="19" t="str">
        <x:v>速度/计算</x:v>
      </x:c>
      <x:c r="H2939" s="19" t="str">
        <x:v>D:/Codex/GRL研究/outputs/grid62/GRID62_report.md</x:v>
      </x:c>
    </x:row>
    <x:row r="2940" ht="36" customHeight="1">
      <x:c r="A2940" s="19" t="str">
        <x:v>GRID62</x:v>
      </x:c>
      <x:c r="B2940" s="19" t="str">
        <x:v>GRID62_report.md</x:v>
      </x:c>
      <x:c r="C2940" s="19" t="str">
        <x:v>1. GRID62 最后三个封存日期的框架确认</x:v>
      </x:c>
      <x:c r="D2940" s="19" t="str">
        <x:v>策略=FRAME；完成日期=2/3</x:v>
      </x:c>
      <x:c r="E2940" s="19" t="str">
        <x:v>最坏完整周成本变化/FULL</x:v>
      </x:c>
      <x:c r="F2940" s="19" t="str">
        <x:v>+0.014%</x:v>
      </x:c>
      <x:c r="G2940" s="19" t="str">
        <x:v>质量/成本</x:v>
      </x:c>
      <x:c r="H2940" s="19" t="str">
        <x:v>D:/Codex/GRL研究/outputs/grid62/GRID62_report.md</x:v>
      </x:c>
    </x:row>
    <x:row r="2941" ht="36" customHeight="1">
      <x:c r="A2941" s="19" t="str">
        <x:v>GRID63</x:v>
      </x:c>
      <x:c r="B2941" s="19" t="str">
        <x:v>GRID63_report.md</x:v>
      </x:c>
      <x:c r="C2941" s="19" t="str">
        <x:v>1. GRID63 等预算全局扩展闭环比较</x:v>
      </x:c>
      <x:c r="D2941" s="19" t="str">
        <x:v>策略=FULL；质量日期=7/7</x:v>
      </x:c>
      <x:c r="E2941" s="19" t="str">
        <x:v>质量日期</x:v>
      </x:c>
      <x:c r="F2941" s="19" t="str">
        <x:v>7/7</x:v>
      </x:c>
      <x:c r="G2941" s="19" t="str">
        <x:v>质量/成本</x:v>
      </x:c>
      <x:c r="H2941" s="19" t="str">
        <x:v>D:/Codex/GRL研究/outputs/grid63/GRID63_report.md</x:v>
      </x:c>
    </x:row>
    <x:row r="2942" ht="36" customHeight="1">
      <x:c r="A2942" s="19" t="str">
        <x:v>GRID63</x:v>
      </x:c>
      <x:c r="B2942" s="19" t="str">
        <x:v>GRID63_report.md</x:v>
      </x:c>
      <x:c r="C2942" s="19" t="str">
        <x:v>1. GRID63 等预算全局扩展闭环比较</x:v>
      </x:c>
      <x:c r="D2942" s="19" t="str">
        <x:v>策略=FULL；质量日期=7/7</x:v>
      </x:c>
      <x:c r="E2942" s="19" t="str">
        <x:v>完整周日期</x:v>
      </x:c>
      <x:c r="F2942" s="19" t="str">
        <x:v>5/7</x:v>
      </x:c>
      <x:c r="G2942" s="19" t="str">
        <x:v>质量/成本</x:v>
      </x:c>
      <x:c r="H2942" s="19" t="str">
        <x:v>D:/Codex/GRL研究/outputs/grid63/GRID63_report.md</x:v>
      </x:c>
    </x:row>
    <x:row r="2943" ht="36" customHeight="1">
      <x:c r="A2943" s="19" t="str">
        <x:v>GRID63</x:v>
      </x:c>
      <x:c r="B2943" s="19" t="str">
        <x:v>GRID63_report.md</x:v>
      </x:c>
      <x:c r="C2943" s="19" t="str">
        <x:v>1. GRID63 等预算全局扩展闭环比较</x:v>
      </x:c>
      <x:c r="D2943" s="19" t="str">
        <x:v>策略=FULL；质量日期=7/7</x:v>
      </x:c>
      <x:c r="E2943" s="19" t="str">
        <x:v>控制时间减少/FULL</x:v>
      </x:c>
      <x:c r="F2943" s="19" t="str">
        <x:v>0.000%</x:v>
      </x:c>
      <x:c r="G2943" s="19" t="str">
        <x:v>速度/计算</x:v>
      </x:c>
      <x:c r="H2943" s="19" t="str">
        <x:v>D:/Codex/GRL研究/outputs/grid63/GRID63_report.md</x:v>
      </x:c>
    </x:row>
    <x:row r="2944" ht="36" customHeight="1">
      <x:c r="A2944" s="19" t="str">
        <x:v>GRID63</x:v>
      </x:c>
      <x:c r="B2944" s="19" t="str">
        <x:v>GRID63_report.md</x:v>
      </x:c>
      <x:c r="C2944" s="19" t="str">
        <x:v>1. GRID63 等预算全局扩展闭环比较</x:v>
      </x:c>
      <x:c r="D2944" s="19" t="str">
        <x:v>策略=FULL；质量日期=7/7</x:v>
      </x:c>
      <x:c r="E2944" s="19" t="str">
        <x:v>查询减少/FULL</x:v>
      </x:c>
      <x:c r="F2944" s="19" t="str">
        <x:v>0.000%</x:v>
      </x:c>
      <x:c r="G2944" s="19" t="str">
        <x:v>速度/计算</x:v>
      </x:c>
      <x:c r="H2944" s="19" t="str">
        <x:v>D:/Codex/GRL研究/outputs/grid63/GRID63_report.md</x:v>
      </x:c>
    </x:row>
    <x:row r="2945" ht="36" customHeight="1">
      <x:c r="A2945" s="19" t="str">
        <x:v>GRID63</x:v>
      </x:c>
      <x:c r="B2945" s="19" t="str">
        <x:v>GRID63_report.md</x:v>
      </x:c>
      <x:c r="C2945" s="19" t="str">
        <x:v>1. GRID63 等预算全局扩展闭环比较</x:v>
      </x:c>
      <x:c r="D2945" s="19" t="str">
        <x:v>策略=FULL；质量日期=7/7</x:v>
      </x:c>
      <x:c r="E2945" s="19" t="str">
        <x:v>最大完整周成本增幅</x:v>
      </x:c>
      <x:c r="F2945" s="19" t="str">
        <x:v>+0.00000%</x:v>
      </x:c>
      <x:c r="G2945" s="19" t="str">
        <x:v>质量/成本</x:v>
      </x:c>
      <x:c r="H2945" s="19" t="str">
        <x:v>D:/Codex/GRL研究/outputs/grid63/GRID63_report.md</x:v>
      </x:c>
    </x:row>
    <x:row r="2946" ht="36" customHeight="1">
      <x:c r="A2946" s="19" t="str">
        <x:v>GRID63</x:v>
      </x:c>
      <x:c r="B2946" s="19" t="str">
        <x:v>GRID63_report.md</x:v>
      </x:c>
      <x:c r="C2946" s="19" t="str">
        <x:v>1. GRID63 等预算全局扩展闭环比较</x:v>
      </x:c>
      <x:c r="D2946" s="19" t="str">
        <x:v>策略=FRAME；质量日期=7/7</x:v>
      </x:c>
      <x:c r="E2946" s="19" t="str">
        <x:v>质量日期</x:v>
      </x:c>
      <x:c r="F2946" s="19" t="str">
        <x:v>7/7</x:v>
      </x:c>
      <x:c r="G2946" s="19" t="str">
        <x:v>质量/成本</x:v>
      </x:c>
      <x:c r="H2946" s="19" t="str">
        <x:v>D:/Codex/GRL研究/outputs/grid63/GRID63_report.md</x:v>
      </x:c>
    </x:row>
    <x:row r="2947" ht="36" customHeight="1">
      <x:c r="A2947" s="19" t="str">
        <x:v>GRID63</x:v>
      </x:c>
      <x:c r="B2947" s="19" t="str">
        <x:v>GRID63_report.md</x:v>
      </x:c>
      <x:c r="C2947" s="19" t="str">
        <x:v>1. GRID63 等预算全局扩展闭环比较</x:v>
      </x:c>
      <x:c r="D2947" s="19" t="str">
        <x:v>策略=FRAME；质量日期=7/7</x:v>
      </x:c>
      <x:c r="E2947" s="19" t="str">
        <x:v>完整周日期</x:v>
      </x:c>
      <x:c r="F2947" s="19" t="str">
        <x:v>5/7</x:v>
      </x:c>
      <x:c r="G2947" s="19" t="str">
        <x:v>质量/成本</x:v>
      </x:c>
      <x:c r="H2947" s="19" t="str">
        <x:v>D:/Codex/GRL研究/outputs/grid63/GRID63_report.md</x:v>
      </x:c>
    </x:row>
    <x:row r="2948" ht="36" customHeight="1">
      <x:c r="A2948" s="19" t="str">
        <x:v>GRID63</x:v>
      </x:c>
      <x:c r="B2948" s="19" t="str">
        <x:v>GRID63_report.md</x:v>
      </x:c>
      <x:c r="C2948" s="19" t="str">
        <x:v>1. GRID63 等预算全局扩展闭环比较</x:v>
      </x:c>
      <x:c r="D2948" s="19" t="str">
        <x:v>策略=FRAME；质量日期=7/7</x:v>
      </x:c>
      <x:c r="E2948" s="19" t="str">
        <x:v>控制时间减少/FULL</x:v>
      </x:c>
      <x:c r="F2948" s="19" t="str">
        <x:v>14.016%</x:v>
      </x:c>
      <x:c r="G2948" s="19" t="str">
        <x:v>速度/计算</x:v>
      </x:c>
      <x:c r="H2948" s="19" t="str">
        <x:v>D:/Codex/GRL研究/outputs/grid63/GRID63_report.md</x:v>
      </x:c>
    </x:row>
    <x:row r="2949" ht="36" customHeight="1">
      <x:c r="A2949" s="19" t="str">
        <x:v>GRID63</x:v>
      </x:c>
      <x:c r="B2949" s="19" t="str">
        <x:v>GRID63_report.md</x:v>
      </x:c>
      <x:c r="C2949" s="19" t="str">
        <x:v>1. GRID63 等预算全局扩展闭环比较</x:v>
      </x:c>
      <x:c r="D2949" s="19" t="str">
        <x:v>策略=FRAME；质量日期=7/7</x:v>
      </x:c>
      <x:c r="E2949" s="19" t="str">
        <x:v>查询减少/FULL</x:v>
      </x:c>
      <x:c r="F2949" s="19" t="str">
        <x:v>74.092%</x:v>
      </x:c>
      <x:c r="G2949" s="19" t="str">
        <x:v>速度/计算</x:v>
      </x:c>
      <x:c r="H2949" s="19" t="str">
        <x:v>D:/Codex/GRL研究/outputs/grid63/GRID63_report.md</x:v>
      </x:c>
    </x:row>
    <x:row r="2950" ht="36" customHeight="1">
      <x:c r="A2950" s="19" t="str">
        <x:v>GRID63</x:v>
      </x:c>
      <x:c r="B2950" s="19" t="str">
        <x:v>GRID63_report.md</x:v>
      </x:c>
      <x:c r="C2950" s="19" t="str">
        <x:v>1. GRID63 等预算全局扩展闭环比较</x:v>
      </x:c>
      <x:c r="D2950" s="19" t="str">
        <x:v>策略=FRAME；质量日期=7/7</x:v>
      </x:c>
      <x:c r="E2950" s="19" t="str">
        <x:v>最大完整周成本增幅</x:v>
      </x:c>
      <x:c r="F2950" s="19" t="str">
        <x:v>+0.37200%</x:v>
      </x:c>
      <x:c r="G2950" s="19" t="str">
        <x:v>质量/成本</x:v>
      </x:c>
      <x:c r="H2950" s="19" t="str">
        <x:v>D:/Codex/GRL研究/outputs/grid63/GRID63_report.md</x:v>
      </x:c>
    </x:row>
    <x:row r="2951" ht="36" customHeight="1">
      <x:c r="A2951" s="19" t="str">
        <x:v>GRID63</x:v>
      </x:c>
      <x:c r="B2951" s="19" t="str">
        <x:v>GRID63_report.md</x:v>
      </x:c>
      <x:c r="C2951" s="19" t="str">
        <x:v>1. GRID63 等预算全局扩展闭环比较</x:v>
      </x:c>
      <x:c r="D2951" s="19" t="str">
        <x:v>策略=GLOBAL_MATCH；质量日期=7/7</x:v>
      </x:c>
      <x:c r="E2951" s="19" t="str">
        <x:v>质量日期</x:v>
      </x:c>
      <x:c r="F2951" s="19" t="str">
        <x:v>7/7</x:v>
      </x:c>
      <x:c r="G2951" s="19" t="str">
        <x:v>质量/成本</x:v>
      </x:c>
      <x:c r="H2951" s="19" t="str">
        <x:v>D:/Codex/GRL研究/outputs/grid63/GRID63_report.md</x:v>
      </x:c>
    </x:row>
    <x:row r="2952" ht="36" customHeight="1">
      <x:c r="A2952" s="19" t="str">
        <x:v>GRID63</x:v>
      </x:c>
      <x:c r="B2952" s="19" t="str">
        <x:v>GRID63_report.md</x:v>
      </x:c>
      <x:c r="C2952" s="19" t="str">
        <x:v>1. GRID63 等预算全局扩展闭环比较</x:v>
      </x:c>
      <x:c r="D2952" s="19" t="str">
        <x:v>策略=GLOBAL_MATCH；质量日期=7/7</x:v>
      </x:c>
      <x:c r="E2952" s="19" t="str">
        <x:v>完整周日期</x:v>
      </x:c>
      <x:c r="F2952" s="19" t="str">
        <x:v>5/7</x:v>
      </x:c>
      <x:c r="G2952" s="19" t="str">
        <x:v>质量/成本</x:v>
      </x:c>
      <x:c r="H2952" s="19" t="str">
        <x:v>D:/Codex/GRL研究/outputs/grid63/GRID63_report.md</x:v>
      </x:c>
    </x:row>
    <x:row r="2953" ht="36" customHeight="1">
      <x:c r="A2953" s="19" t="str">
        <x:v>GRID63</x:v>
      </x:c>
      <x:c r="B2953" s="19" t="str">
        <x:v>GRID63_report.md</x:v>
      </x:c>
      <x:c r="C2953" s="19" t="str">
        <x:v>1. GRID63 等预算全局扩展闭环比较</x:v>
      </x:c>
      <x:c r="D2953" s="19" t="str">
        <x:v>策略=GLOBAL_MATCH；质量日期=7/7</x:v>
      </x:c>
      <x:c r="E2953" s="19" t="str">
        <x:v>控制时间减少/FULL</x:v>
      </x:c>
      <x:c r="F2953" s="19" t="str">
        <x:v>13.721%</x:v>
      </x:c>
      <x:c r="G2953" s="19" t="str">
        <x:v>速度/计算</x:v>
      </x:c>
      <x:c r="H2953" s="19" t="str">
        <x:v>D:/Codex/GRL研究/outputs/grid63/GRID63_report.md</x:v>
      </x:c>
    </x:row>
    <x:row r="2954" ht="36" customHeight="1">
      <x:c r="A2954" s="19" t="str">
        <x:v>GRID63</x:v>
      </x:c>
      <x:c r="B2954" s="19" t="str">
        <x:v>GRID63_report.md</x:v>
      </x:c>
      <x:c r="C2954" s="19" t="str">
        <x:v>1. GRID63 等预算全局扩展闭环比较</x:v>
      </x:c>
      <x:c r="D2954" s="19" t="str">
        <x:v>策略=GLOBAL_MATCH；质量日期=7/7</x:v>
      </x:c>
      <x:c r="E2954" s="19" t="str">
        <x:v>查询减少/FULL</x:v>
      </x:c>
      <x:c r="F2954" s="19" t="str">
        <x:v>74.092%</x:v>
      </x:c>
      <x:c r="G2954" s="19" t="str">
        <x:v>速度/计算</x:v>
      </x:c>
      <x:c r="H2954" s="19" t="str">
        <x:v>D:/Codex/GRL研究/outputs/grid63/GRID63_report.md</x:v>
      </x:c>
    </x:row>
    <x:row r="2955" ht="36" customHeight="1">
      <x:c r="A2955" s="19" t="str">
        <x:v>GRID63</x:v>
      </x:c>
      <x:c r="B2955" s="19" t="str">
        <x:v>GRID63_report.md</x:v>
      </x:c>
      <x:c r="C2955" s="19" t="str">
        <x:v>1. GRID63 等预算全局扩展闭环比较</x:v>
      </x:c>
      <x:c r="D2955" s="19" t="str">
        <x:v>策略=GLOBAL_MATCH；质量日期=7/7</x:v>
      </x:c>
      <x:c r="E2955" s="19" t="str">
        <x:v>最大完整周成本增幅</x:v>
      </x:c>
      <x:c r="F2955" s="19" t="str">
        <x:v>+0.41877%</x:v>
      </x:c>
      <x:c r="G2955" s="19" t="str">
        <x:v>质量/成本</x:v>
      </x:c>
      <x:c r="H2955" s="19" t="str">
        <x:v>D:/Codex/GRL研究/outputs/grid63/GRID63_report.md</x:v>
      </x:c>
    </x:row>
    <x:row r="2956" ht="36" customHeight="1">
      <x:c r="A2956" s="19" t="str">
        <x:v>GRID63</x:v>
      </x:c>
      <x:c r="B2956" s="19" t="str">
        <x:v>GRID63_report.md</x:v>
      </x:c>
      <x:c r="C2956" s="19" t="str">
        <x:v>2. GRID63 等预算全局扩展闭环比较</x:v>
      </x:c>
      <x:c r="D2956" s="19" t="str">
        <x:v>日期=2035-03-05_0；FRAME质量=True</x:v>
      </x:c>
      <x:c r="E2956" s="19" t="str">
        <x:v>FRAME质量</x:v>
      </x:c>
      <x:c r="F2956" s="19" t="str">
        <x:v>True</x:v>
      </x:c>
      <x:c r="G2956" s="19" t="str">
        <x:v>质量/成本</x:v>
      </x:c>
      <x:c r="H2956" s="19" t="str">
        <x:v>D:/Codex/GRL研究/outputs/grid63/GRID63_report.md</x:v>
      </x:c>
    </x:row>
    <x:row r="2957" ht="36" customHeight="1">
      <x:c r="A2957" s="19" t="str">
        <x:v>GRID63</x:v>
      </x:c>
      <x:c r="B2957" s="19" t="str">
        <x:v>GRID63_report.md</x:v>
      </x:c>
      <x:c r="C2957" s="19" t="str">
        <x:v>2. GRID63 等预算全局扩展闭环比较</x:v>
      </x:c>
      <x:c r="D2957" s="19" t="str">
        <x:v>日期=2035-03-05_0；FRAME质量=True</x:v>
      </x:c>
      <x:c r="E2957" s="19" t="str">
        <x:v>GLOBAL质量</x:v>
      </x:c>
      <x:c r="F2957" s="19" t="str">
        <x:v>True</x:v>
      </x:c>
      <x:c r="G2957" s="19" t="str">
        <x:v>质量/成本</x:v>
      </x:c>
      <x:c r="H2957" s="19" t="str">
        <x:v>D:/Codex/GRL研究/outputs/grid63/GRID63_report.md</x:v>
      </x:c>
    </x:row>
    <x:row r="2958" ht="36" customHeight="1">
      <x:c r="A2958" s="19" t="str">
        <x:v>GRID63</x:v>
      </x:c>
      <x:c r="B2958" s="19" t="str">
        <x:v>GRID63_report.md</x:v>
      </x:c>
      <x:c r="C2958" s="19" t="str">
        <x:v>2. GRID63 等预算全局扩展闭环比较</x:v>
      </x:c>
      <x:c r="D2958" s="19" t="str">
        <x:v>日期=2035-03-05_0；FRAME质量=True</x:v>
      </x:c>
      <x:c r="E2958" s="19" t="str">
        <x:v>GLOBAL减FRAME成本/FULL</x:v>
      </x:c>
      <x:c r="F2958" s="19" t="str">
        <x:v>+0.04677%</x:v>
      </x:c>
      <x:c r="G2958" s="19" t="str">
        <x:v>质量/成本</x:v>
      </x:c>
      <x:c r="H2958" s="19" t="str">
        <x:v>D:/Codex/GRL研究/outputs/grid63/GRID63_report.md</x:v>
      </x:c>
    </x:row>
    <x:row r="2959" ht="36" customHeight="1">
      <x:c r="A2959" s="19" t="str">
        <x:v>GRID63</x:v>
      </x:c>
      <x:c r="B2959" s="19" t="str">
        <x:v>GRID63_report.md</x:v>
      </x:c>
      <x:c r="C2959" s="19" t="str">
        <x:v>2. GRID63 等预算全局扩展闭环比较</x:v>
      </x:c>
      <x:c r="D2959" s="19" t="str">
        <x:v>日期=2035-03-05_0；FRAME质量=True</x:v>
      </x:c>
      <x:c r="E2959" s="19" t="str">
        <x:v>FRAME时间减少/GLOBAL</x:v>
      </x:c>
      <x:c r="F2959" s="19" t="str">
        <x:v>0.953%</x:v>
      </x:c>
      <x:c r="G2959" s="19" t="str">
        <x:v>速度/计算</x:v>
      </x:c>
      <x:c r="H2959" s="19" t="str">
        <x:v>D:/Codex/GRL研究/outputs/grid63/GRID63_report.md</x:v>
      </x:c>
    </x:row>
    <x:row r="2960" ht="36" customHeight="1">
      <x:c r="A2960" s="19" t="str">
        <x:v>GRID63</x:v>
      </x:c>
      <x:c r="B2960" s="19" t="str">
        <x:v>GRID63_report.md</x:v>
      </x:c>
      <x:c r="C2960" s="19" t="str">
        <x:v>2. GRID63 等预算全局扩展闭环比较</x:v>
      </x:c>
      <x:c r="D2960" s="19" t="str">
        <x:v>日期=2035-03-05_0；FRAME质量=True</x:v>
      </x:c>
      <x:c r="E2960" s="19" t="str">
        <x:v>两者平均查询</x:v>
      </x:c>
      <x:c r="F2960" s="19" t="str">
        <x:v>3336.0 / 3336.0</x:v>
      </x:c>
      <x:c r="G2960" s="19" t="str">
        <x:v>速度/计算</x:v>
      </x:c>
      <x:c r="H2960" s="19" t="str">
        <x:v>D:/Codex/GRL研究/outputs/grid63/GRID63_report.md</x:v>
      </x:c>
    </x:row>
    <x:row r="2961" ht="36" customHeight="1">
      <x:c r="A2961" s="19" t="str">
        <x:v>GRID63</x:v>
      </x:c>
      <x:c r="B2961" s="19" t="str">
        <x:v>GRID63_report.md</x:v>
      </x:c>
      <x:c r="C2961" s="19" t="str">
        <x:v>2. GRID63 等预算全局扩展闭环比较</x:v>
      </x:c>
      <x:c r="D2961" s="19" t="str">
        <x:v>日期=2035-06-25_8；FRAME质量=True</x:v>
      </x:c>
      <x:c r="E2961" s="19" t="str">
        <x:v>FRAME质量</x:v>
      </x:c>
      <x:c r="F2961" s="19" t="str">
        <x:v>True</x:v>
      </x:c>
      <x:c r="G2961" s="19" t="str">
        <x:v>质量/成本</x:v>
      </x:c>
      <x:c r="H2961" s="19" t="str">
        <x:v>D:/Codex/GRL研究/outputs/grid63/GRID63_report.md</x:v>
      </x:c>
    </x:row>
    <x:row r="2962" ht="36" customHeight="1">
      <x:c r="A2962" s="19" t="str">
        <x:v>GRID63</x:v>
      </x:c>
      <x:c r="B2962" s="19" t="str">
        <x:v>GRID63_report.md</x:v>
      </x:c>
      <x:c r="C2962" s="19" t="str">
        <x:v>2. GRID63 等预算全局扩展闭环比较</x:v>
      </x:c>
      <x:c r="D2962" s="19" t="str">
        <x:v>日期=2035-06-25_8；FRAME质量=True</x:v>
      </x:c>
      <x:c r="E2962" s="19" t="str">
        <x:v>GLOBAL质量</x:v>
      </x:c>
      <x:c r="F2962" s="19" t="str">
        <x:v>True</x:v>
      </x:c>
      <x:c r="G2962" s="19" t="str">
        <x:v>质量/成本</x:v>
      </x:c>
      <x:c r="H2962" s="19" t="str">
        <x:v>D:/Codex/GRL研究/outputs/grid63/GRID63_report.md</x:v>
      </x:c>
    </x:row>
    <x:row r="2963" ht="36" customHeight="1">
      <x:c r="A2963" s="19" t="str">
        <x:v>GRID63</x:v>
      </x:c>
      <x:c r="B2963" s="19" t="str">
        <x:v>GRID63_report.md</x:v>
      </x:c>
      <x:c r="C2963" s="19" t="str">
        <x:v>2. GRID63 等预算全局扩展闭环比较</x:v>
      </x:c>
      <x:c r="D2963" s="19" t="str">
        <x:v>日期=2035-06-25_8；FRAME质量=True</x:v>
      </x:c>
      <x:c r="E2963" s="19" t="str">
        <x:v>GLOBAL减FRAME成本/FULL</x:v>
      </x:c>
      <x:c r="F2963" s="19" t="str">
        <x:v>不可比</x:v>
      </x:c>
      <x:c r="G2963" s="19" t="str">
        <x:v>质量/成本</x:v>
      </x:c>
      <x:c r="H2963" s="19" t="str">
        <x:v>D:/Codex/GRL研究/outputs/grid63/GRID63_report.md</x:v>
      </x:c>
    </x:row>
    <x:row r="2964" ht="36" customHeight="1">
      <x:c r="A2964" s="19" t="str">
        <x:v>GRID63</x:v>
      </x:c>
      <x:c r="B2964" s="19" t="str">
        <x:v>GRID63_report.md</x:v>
      </x:c>
      <x:c r="C2964" s="19" t="str">
        <x:v>2. GRID63 等预算全局扩展闭环比较</x:v>
      </x:c>
      <x:c r="D2964" s="19" t="str">
        <x:v>日期=2035-06-25_8；FRAME质量=True</x:v>
      </x:c>
      <x:c r="E2964" s="19" t="str">
        <x:v>FRAME时间减少/GLOBAL</x:v>
      </x:c>
      <x:c r="F2964" s="19" t="str">
        <x:v>0.989%</x:v>
      </x:c>
      <x:c r="G2964" s="19" t="str">
        <x:v>速度/计算</x:v>
      </x:c>
      <x:c r="H2964" s="19" t="str">
        <x:v>D:/Codex/GRL研究/outputs/grid63/GRID63_report.md</x:v>
      </x:c>
    </x:row>
    <x:row r="2965" ht="36" customHeight="1">
      <x:c r="A2965" s="19" t="str">
        <x:v>GRID63</x:v>
      </x:c>
      <x:c r="B2965" s="19" t="str">
        <x:v>GRID63_report.md</x:v>
      </x:c>
      <x:c r="C2965" s="19" t="str">
        <x:v>2. GRID63 等预算全局扩展闭环比较</x:v>
      </x:c>
      <x:c r="D2965" s="19" t="str">
        <x:v>日期=2035-06-25_8；FRAME质量=True</x:v>
      </x:c>
      <x:c r="E2965" s="19" t="str">
        <x:v>两者平均查询</x:v>
      </x:c>
      <x:c r="F2965" s="19" t="str">
        <x:v>1428.0 / 1428.0</x:v>
      </x:c>
      <x:c r="G2965" s="19" t="str">
        <x:v>速度/计算</x:v>
      </x:c>
      <x:c r="H2965" s="19" t="str">
        <x:v>D:/Codex/GRL研究/outputs/grid63/GRID63_report.md</x:v>
      </x:c>
    </x:row>
    <x:row r="2966" ht="36" customHeight="1">
      <x:c r="A2966" s="19" t="str">
        <x:v>GRID63</x:v>
      </x:c>
      <x:c r="B2966" s="19" t="str">
        <x:v>GRID63_report.md</x:v>
      </x:c>
      <x:c r="C2966" s="19" t="str">
        <x:v>2. GRID63 等预算全局扩展闭环比较</x:v>
      </x:c>
      <x:c r="D2966" s="19" t="str">
        <x:v>日期=2035-09-03_4；FRAME质量=True</x:v>
      </x:c>
      <x:c r="E2966" s="19" t="str">
        <x:v>FRAME质量</x:v>
      </x:c>
      <x:c r="F2966" s="19" t="str">
        <x:v>True</x:v>
      </x:c>
      <x:c r="G2966" s="19" t="str">
        <x:v>质量/成本</x:v>
      </x:c>
      <x:c r="H2966" s="19" t="str">
        <x:v>D:/Codex/GRL研究/outputs/grid63/GRID63_report.md</x:v>
      </x:c>
    </x:row>
    <x:row r="2967" ht="36" customHeight="1">
      <x:c r="A2967" s="19" t="str">
        <x:v>GRID63</x:v>
      </x:c>
      <x:c r="B2967" s="19" t="str">
        <x:v>GRID63_report.md</x:v>
      </x:c>
      <x:c r="C2967" s="19" t="str">
        <x:v>2. GRID63 等预算全局扩展闭环比较</x:v>
      </x:c>
      <x:c r="D2967" s="19" t="str">
        <x:v>日期=2035-09-03_4；FRAME质量=True</x:v>
      </x:c>
      <x:c r="E2967" s="19" t="str">
        <x:v>GLOBAL质量</x:v>
      </x:c>
      <x:c r="F2967" s="19" t="str">
        <x:v>True</x:v>
      </x:c>
      <x:c r="G2967" s="19" t="str">
        <x:v>质量/成本</x:v>
      </x:c>
      <x:c r="H2967" s="19" t="str">
        <x:v>D:/Codex/GRL研究/outputs/grid63/GRID63_report.md</x:v>
      </x:c>
    </x:row>
    <x:row r="2968" ht="36" customHeight="1">
      <x:c r="A2968" s="19" t="str">
        <x:v>GRID63</x:v>
      </x:c>
      <x:c r="B2968" s="19" t="str">
        <x:v>GRID63_report.md</x:v>
      </x:c>
      <x:c r="C2968" s="19" t="str">
        <x:v>2. GRID63 等预算全局扩展闭环比较</x:v>
      </x:c>
      <x:c r="D2968" s="19" t="str">
        <x:v>日期=2035-09-03_4；FRAME质量=True</x:v>
      </x:c>
      <x:c r="E2968" s="19" t="str">
        <x:v>GLOBAL减FRAME成本/FULL</x:v>
      </x:c>
      <x:c r="F2968" s="19" t="str">
        <x:v>+0.00000%</x:v>
      </x:c>
      <x:c r="G2968" s="19" t="str">
        <x:v>质量/成本</x:v>
      </x:c>
      <x:c r="H2968" s="19" t="str">
        <x:v>D:/Codex/GRL研究/outputs/grid63/GRID63_report.md</x:v>
      </x:c>
    </x:row>
    <x:row r="2969" ht="36" customHeight="1">
      <x:c r="A2969" s="19" t="str">
        <x:v>GRID63</x:v>
      </x:c>
      <x:c r="B2969" s="19" t="str">
        <x:v>GRID63_report.md</x:v>
      </x:c>
      <x:c r="C2969" s="19" t="str">
        <x:v>2. GRID63 等预算全局扩展闭环比较</x:v>
      </x:c>
      <x:c r="D2969" s="19" t="str">
        <x:v>日期=2035-09-03_4；FRAME质量=True</x:v>
      </x:c>
      <x:c r="E2969" s="19" t="str">
        <x:v>FRAME时间减少/GLOBAL</x:v>
      </x:c>
      <x:c r="F2969" s="19" t="str">
        <x:v>-3.666%</x:v>
      </x:c>
      <x:c r="G2969" s="19" t="str">
        <x:v>速度/计算</x:v>
      </x:c>
      <x:c r="H2969" s="19" t="str">
        <x:v>D:/Codex/GRL研究/outputs/grid63/GRID63_report.md</x:v>
      </x:c>
    </x:row>
    <x:row r="2970" ht="36" customHeight="1">
      <x:c r="A2970" s="19" t="str">
        <x:v>GRID63</x:v>
      </x:c>
      <x:c r="B2970" s="19" t="str">
        <x:v>GRID63_report.md</x:v>
      </x:c>
      <x:c r="C2970" s="19" t="str">
        <x:v>2. GRID63 等预算全局扩展闭环比较</x:v>
      </x:c>
      <x:c r="D2970" s="19" t="str">
        <x:v>日期=2035-09-03_4；FRAME质量=True</x:v>
      </x:c>
      <x:c r="E2970" s="19" t="str">
        <x:v>两者平均查询</x:v>
      </x:c>
      <x:c r="F2970" s="19" t="str">
        <x:v>2731.0 / 2731.0</x:v>
      </x:c>
      <x:c r="G2970" s="19" t="str">
        <x:v>速度/计算</x:v>
      </x:c>
      <x:c r="H2970" s="19" t="str">
        <x:v>D:/Codex/GRL研究/outputs/grid63/GRID63_report.md</x:v>
      </x:c>
    </x:row>
    <x:row r="2971" ht="36" customHeight="1">
      <x:c r="A2971" s="19" t="str">
        <x:v>GRID63</x:v>
      </x:c>
      <x:c r="B2971" s="19" t="str">
        <x:v>GRID63_report.md</x:v>
      </x:c>
      <x:c r="C2971" s="19" t="str">
        <x:v>2. GRID63 等预算全局扩展闭环比较</x:v>
      </x:c>
      <x:c r="D2971" s="19" t="str">
        <x:v>日期=2035-10-01_5；FRAME质量=True</x:v>
      </x:c>
      <x:c r="E2971" s="19" t="str">
        <x:v>FRAME质量</x:v>
      </x:c>
      <x:c r="F2971" s="19" t="str">
        <x:v>True</x:v>
      </x:c>
      <x:c r="G2971" s="19" t="str">
        <x:v>质量/成本</x:v>
      </x:c>
      <x:c r="H2971" s="19" t="str">
        <x:v>D:/Codex/GRL研究/outputs/grid63/GRID63_report.md</x:v>
      </x:c>
    </x:row>
    <x:row r="2972" ht="36" customHeight="1">
      <x:c r="A2972" s="19" t="str">
        <x:v>GRID63</x:v>
      </x:c>
      <x:c r="B2972" s="19" t="str">
        <x:v>GRID63_report.md</x:v>
      </x:c>
      <x:c r="C2972" s="19" t="str">
        <x:v>2. GRID63 等预算全局扩展闭环比较</x:v>
      </x:c>
      <x:c r="D2972" s="19" t="str">
        <x:v>日期=2035-10-01_5；FRAME质量=True</x:v>
      </x:c>
      <x:c r="E2972" s="19" t="str">
        <x:v>GLOBAL质量</x:v>
      </x:c>
      <x:c r="F2972" s="19" t="str">
        <x:v>True</x:v>
      </x:c>
      <x:c r="G2972" s="19" t="str">
        <x:v>质量/成本</x:v>
      </x:c>
      <x:c r="H2972" s="19" t="str">
        <x:v>D:/Codex/GRL研究/outputs/grid63/GRID63_report.md</x:v>
      </x:c>
    </x:row>
    <x:row r="2973" ht="36" customHeight="1">
      <x:c r="A2973" s="19" t="str">
        <x:v>GRID63</x:v>
      </x:c>
      <x:c r="B2973" s="19" t="str">
        <x:v>GRID63_report.md</x:v>
      </x:c>
      <x:c r="C2973" s="19" t="str">
        <x:v>2. GRID63 等预算全局扩展闭环比较</x:v>
      </x:c>
      <x:c r="D2973" s="19" t="str">
        <x:v>日期=2035-10-01_5；FRAME质量=True</x:v>
      </x:c>
      <x:c r="E2973" s="19" t="str">
        <x:v>GLOBAL减FRAME成本/FULL</x:v>
      </x:c>
      <x:c r="F2973" s="19" t="str">
        <x:v>+0.00000%</x:v>
      </x:c>
      <x:c r="G2973" s="19" t="str">
        <x:v>质量/成本</x:v>
      </x:c>
      <x:c r="H2973" s="19" t="str">
        <x:v>D:/Codex/GRL研究/outputs/grid63/GRID63_report.md</x:v>
      </x:c>
    </x:row>
    <x:row r="2974" ht="36" customHeight="1">
      <x:c r="A2974" s="19" t="str">
        <x:v>GRID63</x:v>
      </x:c>
      <x:c r="B2974" s="19" t="str">
        <x:v>GRID63_report.md</x:v>
      </x:c>
      <x:c r="C2974" s="19" t="str">
        <x:v>2. GRID63 等预算全局扩展闭环比较</x:v>
      </x:c>
      <x:c r="D2974" s="19" t="str">
        <x:v>日期=2035-10-01_5；FRAME质量=True</x:v>
      </x:c>
      <x:c r="E2974" s="19" t="str">
        <x:v>FRAME时间减少/GLOBAL</x:v>
      </x:c>
      <x:c r="F2974" s="19" t="str">
        <x:v>0.657%</x:v>
      </x:c>
      <x:c r="G2974" s="19" t="str">
        <x:v>速度/计算</x:v>
      </x:c>
      <x:c r="H2974" s="19" t="str">
        <x:v>D:/Codex/GRL研究/outputs/grid63/GRID63_report.md</x:v>
      </x:c>
    </x:row>
    <x:row r="2975" ht="36" customHeight="1">
      <x:c r="A2975" s="19" t="str">
        <x:v>GRID63</x:v>
      </x:c>
      <x:c r="B2975" s="19" t="str">
        <x:v>GRID63_report.md</x:v>
      </x:c>
      <x:c r="C2975" s="19" t="str">
        <x:v>2. GRID63 等预算全局扩展闭环比较</x:v>
      </x:c>
      <x:c r="D2975" s="19" t="str">
        <x:v>日期=2035-10-01_5；FRAME质量=True</x:v>
      </x:c>
      <x:c r="E2975" s="19" t="str">
        <x:v>两者平均查询</x:v>
      </x:c>
      <x:c r="F2975" s="19" t="str">
        <x:v>256.0 / 256.0</x:v>
      </x:c>
      <x:c r="G2975" s="19" t="str">
        <x:v>速度/计算</x:v>
      </x:c>
      <x:c r="H2975" s="19" t="str">
        <x:v>D:/Codex/GRL研究/outputs/grid63/GRID63_report.md</x:v>
      </x:c>
    </x:row>
    <x:row r="2976" ht="36" customHeight="1">
      <x:c r="A2976" s="19" t="str">
        <x:v>GRID63</x:v>
      </x:c>
      <x:c r="B2976" s="19" t="str">
        <x:v>GRID63_report.md</x:v>
      </x:c>
      <x:c r="C2976" s="19" t="str">
        <x:v>2. GRID63 等预算全局扩展闭环比较</x:v>
      </x:c>
      <x:c r="D2976" s="19" t="str">
        <x:v>日期=2035-04-09_3；FRAME质量=True</x:v>
      </x:c>
      <x:c r="E2976" s="19" t="str">
        <x:v>FRAME质量</x:v>
      </x:c>
      <x:c r="F2976" s="19" t="str">
        <x:v>True</x:v>
      </x:c>
      <x:c r="G2976" s="19" t="str">
        <x:v>质量/成本</x:v>
      </x:c>
      <x:c r="H2976" s="19" t="str">
        <x:v>D:/Codex/GRL研究/outputs/grid63/GRID63_report.md</x:v>
      </x:c>
    </x:row>
    <x:row r="2977" ht="36" customHeight="1">
      <x:c r="A2977" s="19" t="str">
        <x:v>GRID63</x:v>
      </x:c>
      <x:c r="B2977" s="19" t="str">
        <x:v>GRID63_report.md</x:v>
      </x:c>
      <x:c r="C2977" s="19" t="str">
        <x:v>2. GRID63 等预算全局扩展闭环比较</x:v>
      </x:c>
      <x:c r="D2977" s="19" t="str">
        <x:v>日期=2035-04-09_3；FRAME质量=True</x:v>
      </x:c>
      <x:c r="E2977" s="19" t="str">
        <x:v>GLOBAL质量</x:v>
      </x:c>
      <x:c r="F2977" s="19" t="str">
        <x:v>True</x:v>
      </x:c>
      <x:c r="G2977" s="19" t="str">
        <x:v>质量/成本</x:v>
      </x:c>
      <x:c r="H2977" s="19" t="str">
        <x:v>D:/Codex/GRL研究/outputs/grid63/GRID63_report.md</x:v>
      </x:c>
    </x:row>
    <x:row r="2978" ht="36" customHeight="1">
      <x:c r="A2978" s="19" t="str">
        <x:v>GRID63</x:v>
      </x:c>
      <x:c r="B2978" s="19" t="str">
        <x:v>GRID63_report.md</x:v>
      </x:c>
      <x:c r="C2978" s="19" t="str">
        <x:v>2. GRID63 等预算全局扩展闭环比较</x:v>
      </x:c>
      <x:c r="D2978" s="19" t="str">
        <x:v>日期=2035-04-09_3；FRAME质量=True</x:v>
      </x:c>
      <x:c r="E2978" s="19" t="str">
        <x:v>GLOBAL减FRAME成本/FULL</x:v>
      </x:c>
      <x:c r="F2978" s="19" t="str">
        <x:v>+0.00782%</x:v>
      </x:c>
      <x:c r="G2978" s="19" t="str">
        <x:v>质量/成本</x:v>
      </x:c>
      <x:c r="H2978" s="19" t="str">
        <x:v>D:/Codex/GRL研究/outputs/grid63/GRID63_report.md</x:v>
      </x:c>
    </x:row>
    <x:row r="2979" ht="36" customHeight="1">
      <x:c r="A2979" s="19" t="str">
        <x:v>GRID63</x:v>
      </x:c>
      <x:c r="B2979" s="19" t="str">
        <x:v>GRID63_report.md</x:v>
      </x:c>
      <x:c r="C2979" s="19" t="str">
        <x:v>2. GRID63 等预算全局扩展闭环比较</x:v>
      </x:c>
      <x:c r="D2979" s="19" t="str">
        <x:v>日期=2035-04-09_3；FRAME质量=True</x:v>
      </x:c>
      <x:c r="E2979" s="19" t="str">
        <x:v>FRAME时间减少/GLOBAL</x:v>
      </x:c>
      <x:c r="F2979" s="19" t="str">
        <x:v>2.692%</x:v>
      </x:c>
      <x:c r="G2979" s="19" t="str">
        <x:v>速度/计算</x:v>
      </x:c>
      <x:c r="H2979" s="19" t="str">
        <x:v>D:/Codex/GRL研究/outputs/grid63/GRID63_report.md</x:v>
      </x:c>
    </x:row>
    <x:row r="2980" ht="36" customHeight="1">
      <x:c r="A2980" s="19" t="str">
        <x:v>GRID63</x:v>
      </x:c>
      <x:c r="B2980" s="19" t="str">
        <x:v>GRID63_report.md</x:v>
      </x:c>
      <x:c r="C2980" s="19" t="str">
        <x:v>2. GRID63 等预算全局扩展闭环比较</x:v>
      </x:c>
      <x:c r="D2980" s="19" t="str">
        <x:v>日期=2035-04-09_3；FRAME质量=True</x:v>
      </x:c>
      <x:c r="E2980" s="19" t="str">
        <x:v>两者平均查询</x:v>
      </x:c>
      <x:c r="F2980" s="19" t="str">
        <x:v>1012.0 / 1012.0</x:v>
      </x:c>
      <x:c r="G2980" s="19" t="str">
        <x:v>速度/计算</x:v>
      </x:c>
      <x:c r="H2980" s="19" t="str">
        <x:v>D:/Codex/GRL研究/outputs/grid63/GRID63_report.md</x:v>
      </x:c>
    </x:row>
    <x:row r="2981" ht="36" customHeight="1">
      <x:c r="A2981" s="19" t="str">
        <x:v>GRID63</x:v>
      </x:c>
      <x:c r="B2981" s="19" t="str">
        <x:v>GRID63_report.md</x:v>
      </x:c>
      <x:c r="C2981" s="19" t="str">
        <x:v>2. GRID63 等预算全局扩展闭环比较</x:v>
      </x:c>
      <x:c r="D2981" s="19" t="str">
        <x:v>日期=2035-05-14_14；FRAME质量=True</x:v>
      </x:c>
      <x:c r="E2981" s="19" t="str">
        <x:v>FRAME质量</x:v>
      </x:c>
      <x:c r="F2981" s="19" t="str">
        <x:v>True</x:v>
      </x:c>
      <x:c r="G2981" s="19" t="str">
        <x:v>质量/成本</x:v>
      </x:c>
      <x:c r="H2981" s="19" t="str">
        <x:v>D:/Codex/GRL研究/outputs/grid63/GRID63_report.md</x:v>
      </x:c>
    </x:row>
    <x:row r="2982" ht="36" customHeight="1">
      <x:c r="A2982" s="19" t="str">
        <x:v>GRID63</x:v>
      </x:c>
      <x:c r="B2982" s="19" t="str">
        <x:v>GRID63_report.md</x:v>
      </x:c>
      <x:c r="C2982" s="19" t="str">
        <x:v>2. GRID63 等预算全局扩展闭环比较</x:v>
      </x:c>
      <x:c r="D2982" s="19" t="str">
        <x:v>日期=2035-05-14_14；FRAME质量=True</x:v>
      </x:c>
      <x:c r="E2982" s="19" t="str">
        <x:v>GLOBAL质量</x:v>
      </x:c>
      <x:c r="F2982" s="19" t="str">
        <x:v>True</x:v>
      </x:c>
      <x:c r="G2982" s="19" t="str">
        <x:v>质量/成本</x:v>
      </x:c>
      <x:c r="H2982" s="19" t="str">
        <x:v>D:/Codex/GRL研究/outputs/grid63/GRID63_report.md</x:v>
      </x:c>
    </x:row>
    <x:row r="2983" ht="36" customHeight="1">
      <x:c r="A2983" s="19" t="str">
        <x:v>GRID63</x:v>
      </x:c>
      <x:c r="B2983" s="19" t="str">
        <x:v>GRID63_report.md</x:v>
      </x:c>
      <x:c r="C2983" s="19" t="str">
        <x:v>2. GRID63 等预算全局扩展闭环比较</x:v>
      </x:c>
      <x:c r="D2983" s="19" t="str">
        <x:v>日期=2035-05-14_14；FRAME质量=True</x:v>
      </x:c>
      <x:c r="E2983" s="19" t="str">
        <x:v>GLOBAL减FRAME成本/FULL</x:v>
      </x:c>
      <x:c r="F2983" s="19" t="str">
        <x:v>不可比</x:v>
      </x:c>
      <x:c r="G2983" s="19" t="str">
        <x:v>质量/成本</x:v>
      </x:c>
      <x:c r="H2983" s="19" t="str">
        <x:v>D:/Codex/GRL研究/outputs/grid63/GRID63_report.md</x:v>
      </x:c>
    </x:row>
    <x:row r="2984" ht="36" customHeight="1">
      <x:c r="A2984" s="19" t="str">
        <x:v>GRID63</x:v>
      </x:c>
      <x:c r="B2984" s="19" t="str">
        <x:v>GRID63_report.md</x:v>
      </x:c>
      <x:c r="C2984" s="19" t="str">
        <x:v>2. GRID63 等预算全局扩展闭环比较</x:v>
      </x:c>
      <x:c r="D2984" s="19" t="str">
        <x:v>日期=2035-05-14_14；FRAME质量=True</x:v>
      </x:c>
      <x:c r="E2984" s="19" t="str">
        <x:v>FRAME时间减少/GLOBAL</x:v>
      </x:c>
      <x:c r="F2984" s="19" t="str">
        <x:v>1.043%</x:v>
      </x:c>
      <x:c r="G2984" s="19" t="str">
        <x:v>速度/计算</x:v>
      </x:c>
      <x:c r="H2984" s="19" t="str">
        <x:v>D:/Codex/GRL研究/outputs/grid63/GRID63_report.md</x:v>
      </x:c>
    </x:row>
    <x:row r="2985" ht="36" customHeight="1">
      <x:c r="A2985" s="19" t="str">
        <x:v>GRID63</x:v>
      </x:c>
      <x:c r="B2985" s="19" t="str">
        <x:v>GRID63_report.md</x:v>
      </x:c>
      <x:c r="C2985" s="19" t="str">
        <x:v>2. GRID63 等预算全局扩展闭环比较</x:v>
      </x:c>
      <x:c r="D2985" s="19" t="str">
        <x:v>日期=2035-05-14_14；FRAME质量=True</x:v>
      </x:c>
      <x:c r="E2985" s="19" t="str">
        <x:v>两者平均查询</x:v>
      </x:c>
      <x:c r="F2985" s="19" t="str">
        <x:v>0.0 / 0.0</x:v>
      </x:c>
      <x:c r="G2985" s="19" t="str">
        <x:v>速度/计算</x:v>
      </x:c>
      <x:c r="H2985" s="19" t="str">
        <x:v>D:/Codex/GRL研究/outputs/grid63/GRID63_report.md</x:v>
      </x:c>
    </x:row>
    <x:row r="2986" ht="36" customHeight="1">
      <x:c r="A2986" s="19" t="str">
        <x:v>GRID63</x:v>
      </x:c>
      <x:c r="B2986" s="19" t="str">
        <x:v>GRID63_report.md</x:v>
      </x:c>
      <x:c r="C2986" s="19" t="str">
        <x:v>2. GRID63 等预算全局扩展闭环比较</x:v>
      </x:c>
      <x:c r="D2986" s="19" t="str">
        <x:v>日期=2035-11-19_0；FRAME质量=True</x:v>
      </x:c>
      <x:c r="E2986" s="19" t="str">
        <x:v>FRAME质量</x:v>
      </x:c>
      <x:c r="F2986" s="19" t="str">
        <x:v>True</x:v>
      </x:c>
      <x:c r="G2986" s="19" t="str">
        <x:v>质量/成本</x:v>
      </x:c>
      <x:c r="H2986" s="19" t="str">
        <x:v>D:/Codex/GRL研究/outputs/grid63/GRID63_report.md</x:v>
      </x:c>
    </x:row>
    <x:row r="2987" ht="36" customHeight="1">
      <x:c r="A2987" s="19" t="str">
        <x:v>GRID63</x:v>
      </x:c>
      <x:c r="B2987" s="19" t="str">
        <x:v>GRID63_report.md</x:v>
      </x:c>
      <x:c r="C2987" s="19" t="str">
        <x:v>2. GRID63 等预算全局扩展闭环比较</x:v>
      </x:c>
      <x:c r="D2987" s="19" t="str">
        <x:v>日期=2035-11-19_0；FRAME质量=True</x:v>
      </x:c>
      <x:c r="E2987" s="19" t="str">
        <x:v>GLOBAL质量</x:v>
      </x:c>
      <x:c r="F2987" s="19" t="str">
        <x:v>True</x:v>
      </x:c>
      <x:c r="G2987" s="19" t="str">
        <x:v>质量/成本</x:v>
      </x:c>
      <x:c r="H2987" s="19" t="str">
        <x:v>D:/Codex/GRL研究/outputs/grid63/GRID63_report.md</x:v>
      </x:c>
    </x:row>
    <x:row r="2988" ht="36" customHeight="1">
      <x:c r="A2988" s="19" t="str">
        <x:v>GRID63</x:v>
      </x:c>
      <x:c r="B2988" s="19" t="str">
        <x:v>GRID63_report.md</x:v>
      </x:c>
      <x:c r="C2988" s="19" t="str">
        <x:v>2. GRID63 等预算全局扩展闭环比较</x:v>
      </x:c>
      <x:c r="D2988" s="19" t="str">
        <x:v>日期=2035-11-19_0；FRAME质量=True</x:v>
      </x:c>
      <x:c r="E2988" s="19" t="str">
        <x:v>GLOBAL减FRAME成本/FULL</x:v>
      </x:c>
      <x:c r="F2988" s="19" t="str">
        <x:v>+0.00000%</x:v>
      </x:c>
      <x:c r="G2988" s="19" t="str">
        <x:v>质量/成本</x:v>
      </x:c>
      <x:c r="H2988" s="19" t="str">
        <x:v>D:/Codex/GRL研究/outputs/grid63/GRID63_report.md</x:v>
      </x:c>
    </x:row>
    <x:row r="2989" ht="36" customHeight="1">
      <x:c r="A2989" s="19" t="str">
        <x:v>GRID63</x:v>
      </x:c>
      <x:c r="B2989" s="19" t="str">
        <x:v>GRID63_report.md</x:v>
      </x:c>
      <x:c r="C2989" s="19" t="str">
        <x:v>2. GRID63 等预算全局扩展闭环比较</x:v>
      </x:c>
      <x:c r="D2989" s="19" t="str">
        <x:v>日期=2035-11-19_0；FRAME质量=True</x:v>
      </x:c>
      <x:c r="E2989" s="19" t="str">
        <x:v>FRAME时间减少/GLOBAL</x:v>
      </x:c>
      <x:c r="F2989" s="19" t="str">
        <x:v>-0.517%</x:v>
      </x:c>
      <x:c r="G2989" s="19" t="str">
        <x:v>速度/计算</x:v>
      </x:c>
      <x:c r="H2989" s="19" t="str">
        <x:v>D:/Codex/GRL研究/outputs/grid63/GRID63_report.md</x:v>
      </x:c>
    </x:row>
    <x:row r="2990" ht="36" customHeight="1">
      <x:c r="A2990" s="19" t="str">
        <x:v>GRID63</x:v>
      </x:c>
      <x:c r="B2990" s="19" t="str">
        <x:v>GRID63_report.md</x:v>
      </x:c>
      <x:c r="C2990" s="19" t="str">
        <x:v>2. GRID63 等预算全局扩展闭环比较</x:v>
      </x:c>
      <x:c r="D2990" s="19" t="str">
        <x:v>日期=2035-11-19_0；FRAME质量=True</x:v>
      </x:c>
      <x:c r="E2990" s="19" t="str">
        <x:v>两者平均查询</x:v>
      </x:c>
      <x:c r="F2990" s="19" t="str">
        <x:v>384.0 / 384.0</x:v>
      </x:c>
      <x:c r="G2990" s="19" t="str">
        <x:v>速度/计算</x:v>
      </x:c>
      <x:c r="H2990" s="19" t="str">
        <x:v>D:/Codex/GRL研究/outputs/grid63/GRID63_report.md</x:v>
      </x:c>
    </x:row>
    <x:row r="2991" ht="36" customHeight="1">
      <x:c r="A2991" s="19" t="str">
        <x:v>GRID65</x:v>
      </x:c>
      <x:c r="B2991" s="19" t="str">
        <x:v>GRID65_report.md</x:v>
      </x:c>
      <x:c r="C2991" s="19" t="str">
        <x:v>1. GRID65：论文来源的自适应停止对照</x:v>
      </x:c>
      <x:c r="D2991" s="19" t="str">
        <x:v>方法=FULL；质量日期=7/7</x:v>
      </x:c>
      <x:c r="E2991" s="19" t="str">
        <x:v>质量日期</x:v>
      </x:c>
      <x:c r="F2991" s="19" t="str">
        <x:v>7/7</x:v>
      </x:c>
      <x:c r="G2991" s="19" t="str">
        <x:v>质量/成本</x:v>
      </x:c>
      <x:c r="H2991" s="19" t="str">
        <x:v>D:/Codex/GRL研究/outputs/grid65/GRID65_report.md</x:v>
      </x:c>
    </x:row>
    <x:row r="2992" ht="36" customHeight="1">
      <x:c r="A2992" s="19" t="str">
        <x:v>GRID65</x:v>
      </x:c>
      <x:c r="B2992" s="19" t="str">
        <x:v>GRID65_report.md</x:v>
      </x:c>
      <x:c r="C2992" s="19" t="str">
        <x:v>1. GRID65：论文来源的自适应停止对照</x:v>
      </x:c>
      <x:c r="D2992" s="19" t="str">
        <x:v>方法=FULL；质量日期=7/7</x:v>
      </x:c>
      <x:c r="E2992" s="19" t="str">
        <x:v>完整周</x:v>
      </x:c>
      <x:c r="F2992" s="19" t="str">
        <x:v>5/7</x:v>
      </x:c>
      <x:c r="G2992" s="19" t="str">
        <x:v>质量/成本</x:v>
      </x:c>
      <x:c r="H2992" s="19" t="str">
        <x:v>D:/Codex/GRL研究/outputs/grid65/GRID65_report.md</x:v>
      </x:c>
    </x:row>
    <x:row r="2993" ht="36" customHeight="1">
      <x:c r="A2993" s="19" t="str">
        <x:v>GRID65</x:v>
      </x:c>
      <x:c r="B2993" s="19" t="str">
        <x:v>GRID65_report.md</x:v>
      </x:c>
      <x:c r="C2993" s="19" t="str">
        <x:v>1. GRID65：论文来源的自适应停止对照</x:v>
      </x:c>
      <x:c r="D2993" s="19" t="str">
        <x:v>方法=FULL；质量日期=7/7</x:v>
      </x:c>
      <x:c r="E2993" s="19" t="str">
        <x:v>查询减少/FULL</x:v>
      </x:c>
      <x:c r="F2993" s="19" t="str">
        <x:v>+0.000%</x:v>
      </x:c>
      <x:c r="G2993" s="19" t="str">
        <x:v>速度/计算</x:v>
      </x:c>
      <x:c r="H2993" s="19" t="str">
        <x:v>D:/Codex/GRL研究/outputs/grid65/GRID65_report.md</x:v>
      </x:c>
    </x:row>
    <x:row r="2994" ht="36" customHeight="1">
      <x:c r="A2994" s="19" t="str">
        <x:v>GRID65</x:v>
      </x:c>
      <x:c r="B2994" s="19" t="str">
        <x:v>GRID65_report.md</x:v>
      </x:c>
      <x:c r="C2994" s="19" t="str">
        <x:v>1. GRID65：论文来源的自适应停止对照</x:v>
      </x:c>
      <x:c r="D2994" s="19" t="str">
        <x:v>方法=FULL；质量日期=7/7</x:v>
      </x:c>
      <x:c r="E2994" s="19" t="str">
        <x:v>控制时间减少/FULL</x:v>
      </x:c>
      <x:c r="F2994" s="19" t="str">
        <x:v>+0.000%</x:v>
      </x:c>
      <x:c r="G2994" s="19" t="str">
        <x:v>速度/计算</x:v>
      </x:c>
      <x:c r="H2994" s="19" t="str">
        <x:v>D:/Codex/GRL研究/outputs/grid65/GRID65_report.md</x:v>
      </x:c>
    </x:row>
    <x:row r="2995" ht="36" customHeight="1">
      <x:c r="A2995" s="19" t="str">
        <x:v>GRID65</x:v>
      </x:c>
      <x:c r="B2995" s="19" t="str">
        <x:v>GRID65_report.md</x:v>
      </x:c>
      <x:c r="C2995" s="19" t="str">
        <x:v>1. GRID65：论文来源的自适应停止对照</x:v>
      </x:c>
      <x:c r="D2995" s="19" t="str">
        <x:v>方法=FULL；质量日期=7/7</x:v>
      </x:c>
      <x:c r="E2995" s="19" t="str">
        <x:v>最坏完整周成本增幅</x:v>
      </x:c>
      <x:c r="F2995" s="19" t="str">
        <x:v>+0.000%</x:v>
      </x:c>
      <x:c r="G2995" s="19" t="str">
        <x:v>质量/成本</x:v>
      </x:c>
      <x:c r="H2995" s="19" t="str">
        <x:v>D:/Codex/GRL研究/outputs/grid65/GRID65_report.md</x:v>
      </x:c>
    </x:row>
    <x:row r="2996" ht="36" customHeight="1">
      <x:c r="A2996" s="19" t="str">
        <x:v>GRID65</x:v>
      </x:c>
      <x:c r="B2996" s="19" t="str">
        <x:v>GRID65_report.md</x:v>
      </x:c>
      <x:c r="C2996" s="19" t="str">
        <x:v>1. GRID65：论文来源的自适应停止对照</x:v>
      </x:c>
      <x:c r="D2996" s="19" t="str">
        <x:v>方法=FRAME；质量日期=7/7</x:v>
      </x:c>
      <x:c r="E2996" s="19" t="str">
        <x:v>质量日期</x:v>
      </x:c>
      <x:c r="F2996" s="19" t="str">
        <x:v>7/7</x:v>
      </x:c>
      <x:c r="G2996" s="19" t="str">
        <x:v>质量/成本</x:v>
      </x:c>
      <x:c r="H2996" s="19" t="str">
        <x:v>D:/Codex/GRL研究/outputs/grid65/GRID65_report.md</x:v>
      </x:c>
    </x:row>
    <x:row r="2997" ht="36" customHeight="1">
      <x:c r="A2997" s="19" t="str">
        <x:v>GRID65</x:v>
      </x:c>
      <x:c r="B2997" s="19" t="str">
        <x:v>GRID65_report.md</x:v>
      </x:c>
      <x:c r="C2997" s="19" t="str">
        <x:v>1. GRID65：论文来源的自适应停止对照</x:v>
      </x:c>
      <x:c r="D2997" s="19" t="str">
        <x:v>方法=FRAME；质量日期=7/7</x:v>
      </x:c>
      <x:c r="E2997" s="19" t="str">
        <x:v>完整周</x:v>
      </x:c>
      <x:c r="F2997" s="19" t="str">
        <x:v>5/7</x:v>
      </x:c>
      <x:c r="G2997" s="19" t="str">
        <x:v>质量/成本</x:v>
      </x:c>
      <x:c r="H2997" s="19" t="str">
        <x:v>D:/Codex/GRL研究/outputs/grid65/GRID65_report.md</x:v>
      </x:c>
    </x:row>
    <x:row r="2998" ht="36" customHeight="1">
      <x:c r="A2998" s="19" t="str">
        <x:v>GRID65</x:v>
      </x:c>
      <x:c r="B2998" s="19" t="str">
        <x:v>GRID65_report.md</x:v>
      </x:c>
      <x:c r="C2998" s="19" t="str">
        <x:v>1. GRID65：论文来源的自适应停止对照</x:v>
      </x:c>
      <x:c r="D2998" s="19" t="str">
        <x:v>方法=FRAME；质量日期=7/7</x:v>
      </x:c>
      <x:c r="E2998" s="19" t="str">
        <x:v>查询减少/FULL</x:v>
      </x:c>
      <x:c r="F2998" s="19" t="str">
        <x:v>+74.092%</x:v>
      </x:c>
      <x:c r="G2998" s="19" t="str">
        <x:v>速度/计算</x:v>
      </x:c>
      <x:c r="H2998" s="19" t="str">
        <x:v>D:/Codex/GRL研究/outputs/grid65/GRID65_report.md</x:v>
      </x:c>
    </x:row>
    <x:row r="2999" ht="36" customHeight="1">
      <x:c r="A2999" s="19" t="str">
        <x:v>GRID65</x:v>
      </x:c>
      <x:c r="B2999" s="19" t="str">
        <x:v>GRID65_report.md</x:v>
      </x:c>
      <x:c r="C2999" s="19" t="str">
        <x:v>1. GRID65：论文来源的自适应停止对照</x:v>
      </x:c>
      <x:c r="D2999" s="19" t="str">
        <x:v>方法=FRAME；质量日期=7/7</x:v>
      </x:c>
      <x:c r="E2999" s="19" t="str">
        <x:v>控制时间减少/FULL</x:v>
      </x:c>
      <x:c r="F2999" s="19" t="str">
        <x:v>+13.583%</x:v>
      </x:c>
      <x:c r="G2999" s="19" t="str">
        <x:v>速度/计算</x:v>
      </x:c>
      <x:c r="H2999" s="19" t="str">
        <x:v>D:/Codex/GRL研究/outputs/grid65/GRID65_report.md</x:v>
      </x:c>
    </x:row>
    <x:row r="3000" ht="36" customHeight="1">
      <x:c r="A3000" s="19" t="str">
        <x:v>GRID65</x:v>
      </x:c>
      <x:c r="B3000" s="19" t="str">
        <x:v>GRID65_report.md</x:v>
      </x:c>
      <x:c r="C3000" s="19" t="str">
        <x:v>1. GRID65：论文来源的自适应停止对照</x:v>
      </x:c>
      <x:c r="D3000" s="19" t="str">
        <x:v>方法=FRAME；质量日期=7/7</x:v>
      </x:c>
      <x:c r="E3000" s="19" t="str">
        <x:v>最坏完整周成本增幅</x:v>
      </x:c>
      <x:c r="F3000" s="19" t="str">
        <x:v>+0.372%</x:v>
      </x:c>
      <x:c r="G3000" s="19" t="str">
        <x:v>质量/成本</x:v>
      </x:c>
      <x:c r="H3000" s="19" t="str">
        <x:v>D:/Codex/GRL研究/outputs/grid65/GRID65_report.md</x:v>
      </x:c>
    </x:row>
    <x:row r="3001" ht="36" customHeight="1">
      <x:c r="A3001" s="19" t="str">
        <x:v>GRID65</x:v>
      </x:c>
      <x:c r="B3001" s="19" t="str">
        <x:v>GRID65_report.md</x:v>
      </x:c>
      <x:c r="C3001" s="19" t="str">
        <x:v>1. GRID65：论文来源的自适应停止对照</x:v>
      </x:c>
      <x:c r="D3001" s="19" t="str">
        <x:v>方法=GLOBAL_MATCH；质量日期=7/7</x:v>
      </x:c>
      <x:c r="E3001" s="19" t="str">
        <x:v>质量日期</x:v>
      </x:c>
      <x:c r="F3001" s="19" t="str">
        <x:v>7/7</x:v>
      </x:c>
      <x:c r="G3001" s="19" t="str">
        <x:v>质量/成本</x:v>
      </x:c>
      <x:c r="H3001" s="19" t="str">
        <x:v>D:/Codex/GRL研究/outputs/grid65/GRID65_report.md</x:v>
      </x:c>
    </x:row>
    <x:row r="3002" ht="36" customHeight="1">
      <x:c r="A3002" s="19" t="str">
        <x:v>GRID65</x:v>
      </x:c>
      <x:c r="B3002" s="19" t="str">
        <x:v>GRID65_report.md</x:v>
      </x:c>
      <x:c r="C3002" s="19" t="str">
        <x:v>1. GRID65：论文来源的自适应停止对照</x:v>
      </x:c>
      <x:c r="D3002" s="19" t="str">
        <x:v>方法=GLOBAL_MATCH；质量日期=7/7</x:v>
      </x:c>
      <x:c r="E3002" s="19" t="str">
        <x:v>完整周</x:v>
      </x:c>
      <x:c r="F3002" s="19" t="str">
        <x:v>5/7</x:v>
      </x:c>
      <x:c r="G3002" s="19" t="str">
        <x:v>质量/成本</x:v>
      </x:c>
      <x:c r="H3002" s="19" t="str">
        <x:v>D:/Codex/GRL研究/outputs/grid65/GRID65_report.md</x:v>
      </x:c>
    </x:row>
    <x:row r="3003" ht="36" customHeight="1">
      <x:c r="A3003" s="19" t="str">
        <x:v>GRID65</x:v>
      </x:c>
      <x:c r="B3003" s="19" t="str">
        <x:v>GRID65_report.md</x:v>
      </x:c>
      <x:c r="C3003" s="19" t="str">
        <x:v>1. GRID65：论文来源的自适应停止对照</x:v>
      </x:c>
      <x:c r="D3003" s="19" t="str">
        <x:v>方法=GLOBAL_MATCH；质量日期=7/7</x:v>
      </x:c>
      <x:c r="E3003" s="19" t="str">
        <x:v>查询减少/FULL</x:v>
      </x:c>
      <x:c r="F3003" s="19" t="str">
        <x:v>+74.092%</x:v>
      </x:c>
      <x:c r="G3003" s="19" t="str">
        <x:v>速度/计算</x:v>
      </x:c>
      <x:c r="H3003" s="19" t="str">
        <x:v>D:/Codex/GRL研究/outputs/grid65/GRID65_report.md</x:v>
      </x:c>
    </x:row>
    <x:row r="3004" ht="36" customHeight="1">
      <x:c r="A3004" s="19" t="str">
        <x:v>GRID65</x:v>
      </x:c>
      <x:c r="B3004" s="19" t="str">
        <x:v>GRID65_report.md</x:v>
      </x:c>
      <x:c r="C3004" s="19" t="str">
        <x:v>1. GRID65：论文来源的自适应停止对照</x:v>
      </x:c>
      <x:c r="D3004" s="19" t="str">
        <x:v>方法=GLOBAL_MATCH；质量日期=7/7</x:v>
      </x:c>
      <x:c r="E3004" s="19" t="str">
        <x:v>控制时间减少/FULL</x:v>
      </x:c>
      <x:c r="F3004" s="19" t="str">
        <x:v>+13.787%</x:v>
      </x:c>
      <x:c r="G3004" s="19" t="str">
        <x:v>速度/计算</x:v>
      </x:c>
      <x:c r="H3004" s="19" t="str">
        <x:v>D:/Codex/GRL研究/outputs/grid65/GRID65_report.md</x:v>
      </x:c>
    </x:row>
    <x:row r="3005" ht="36" customHeight="1">
      <x:c r="A3005" s="19" t="str">
        <x:v>GRID65</x:v>
      </x:c>
      <x:c r="B3005" s="19" t="str">
        <x:v>GRID65_report.md</x:v>
      </x:c>
      <x:c r="C3005" s="19" t="str">
        <x:v>1. GRID65：论文来源的自适应停止对照</x:v>
      </x:c>
      <x:c r="D3005" s="19" t="str">
        <x:v>方法=GLOBAL_MATCH；质量日期=7/7</x:v>
      </x:c>
      <x:c r="E3005" s="19" t="str">
        <x:v>最坏完整周成本增幅</x:v>
      </x:c>
      <x:c r="F3005" s="19" t="str">
        <x:v>+0.419%</x:v>
      </x:c>
      <x:c r="G3005" s="19" t="str">
        <x:v>质量/成本</x:v>
      </x:c>
      <x:c r="H3005" s="19" t="str">
        <x:v>D:/Codex/GRL研究/outputs/grid65/GRID65_report.md</x:v>
      </x:c>
    </x:row>
    <x:row r="3006" ht="36" customHeight="1">
      <x:c r="A3006" s="19" t="str">
        <x:v>GRID65</x:v>
      </x:c>
      <x:c r="B3006" s="19" t="str">
        <x:v>GRID65_report.md</x:v>
      </x:c>
      <x:c r="C3006" s="19" t="str">
        <x:v>1. GRID65：论文来源的自适应停止对照</x:v>
      </x:c>
      <x:c r="D3006" s="19" t="str">
        <x:v>方法=META_DQN0；质量日期=6/7</x:v>
      </x:c>
      <x:c r="E3006" s="19" t="str">
        <x:v>质量日期</x:v>
      </x:c>
      <x:c r="F3006" s="19" t="str">
        <x:v>6/7</x:v>
      </x:c>
      <x:c r="G3006" s="19" t="str">
        <x:v>质量/成本</x:v>
      </x:c>
      <x:c r="H3006" s="19" t="str">
        <x:v>D:/Codex/GRL研究/outputs/grid65/GRID65_report.md</x:v>
      </x:c>
    </x:row>
    <x:row r="3007" ht="36" customHeight="1">
      <x:c r="A3007" s="19" t="str">
        <x:v>GRID65</x:v>
      </x:c>
      <x:c r="B3007" s="19" t="str">
        <x:v>GRID65_report.md</x:v>
      </x:c>
      <x:c r="C3007" s="19" t="str">
        <x:v>1. GRID65：论文来源的自适应停止对照</x:v>
      </x:c>
      <x:c r="D3007" s="19" t="str">
        <x:v>方法=META_DQN0；质量日期=6/7</x:v>
      </x:c>
      <x:c r="E3007" s="19" t="str">
        <x:v>完整周</x:v>
      </x:c>
      <x:c r="F3007" s="19" t="str">
        <x:v>5/7</x:v>
      </x:c>
      <x:c r="G3007" s="19" t="str">
        <x:v>质量/成本</x:v>
      </x:c>
      <x:c r="H3007" s="19" t="str">
        <x:v>D:/Codex/GRL研究/outputs/grid65/GRID65_report.md</x:v>
      </x:c>
    </x:row>
    <x:row r="3008" ht="36" customHeight="1">
      <x:c r="A3008" s="19" t="str">
        <x:v>GRID65</x:v>
      </x:c>
      <x:c r="B3008" s="19" t="str">
        <x:v>GRID65_report.md</x:v>
      </x:c>
      <x:c r="C3008" s="19" t="str">
        <x:v>1. GRID65：论文来源的自适应停止对照</x:v>
      </x:c>
      <x:c r="D3008" s="19" t="str">
        <x:v>方法=META_DQN0；质量日期=6/7</x:v>
      </x:c>
      <x:c r="E3008" s="19" t="str">
        <x:v>查询减少/FULL</x:v>
      </x:c>
      <x:c r="F3008" s="19" t="str">
        <x:v>+69.277%</x:v>
      </x:c>
      <x:c r="G3008" s="19" t="str">
        <x:v>速度/计算</x:v>
      </x:c>
      <x:c r="H3008" s="19" t="str">
        <x:v>D:/Codex/GRL研究/outputs/grid65/GRID65_report.md</x:v>
      </x:c>
    </x:row>
    <x:row r="3009" ht="36" customHeight="1">
      <x:c r="A3009" s="19" t="str">
        <x:v>GRID65</x:v>
      </x:c>
      <x:c r="B3009" s="19" t="str">
        <x:v>GRID65_report.md</x:v>
      </x:c>
      <x:c r="C3009" s="19" t="str">
        <x:v>1. GRID65：论文来源的自适应停止对照</x:v>
      </x:c>
      <x:c r="D3009" s="19" t="str">
        <x:v>方法=META_DQN0；质量日期=6/7</x:v>
      </x:c>
      <x:c r="E3009" s="19" t="str">
        <x:v>控制时间减少/FULL</x:v>
      </x:c>
      <x:c r="F3009" s="19" t="str">
        <x:v>+13.542%</x:v>
      </x:c>
      <x:c r="G3009" s="19" t="str">
        <x:v>速度/计算</x:v>
      </x:c>
      <x:c r="H3009" s="19" t="str">
        <x:v>D:/Codex/GRL研究/outputs/grid65/GRID65_report.md</x:v>
      </x:c>
    </x:row>
    <x:row r="3010" ht="36" customHeight="1">
      <x:c r="A3010" s="19" t="str">
        <x:v>GRID65</x:v>
      </x:c>
      <x:c r="B3010" s="19" t="str">
        <x:v>GRID65_report.md</x:v>
      </x:c>
      <x:c r="C3010" s="19" t="str">
        <x:v>1. GRID65：论文来源的自适应停止对照</x:v>
      </x:c>
      <x:c r="D3010" s="19" t="str">
        <x:v>方法=META_DQN0；质量日期=6/7</x:v>
      </x:c>
      <x:c r="E3010" s="19" t="str">
        <x:v>最坏完整周成本增幅</x:v>
      </x:c>
      <x:c r="F3010" s="19" t="str">
        <x:v>+2.973%</x:v>
      </x:c>
      <x:c r="G3010" s="19" t="str">
        <x:v>质量/成本</x:v>
      </x:c>
      <x:c r="H3010" s="19" t="str">
        <x:v>D:/Codex/GRL研究/outputs/grid65/GRID65_report.md</x:v>
      </x:c>
    </x:row>
    <x:row r="3011" ht="36" customHeight="1">
      <x:c r="A3011" s="19" t="str">
        <x:v>GRID65</x:v>
      </x:c>
      <x:c r="B3011" s="19" t="str">
        <x:v>GRID65_report.md</x:v>
      </x:c>
      <x:c r="C3011" s="19" t="str">
        <x:v>1. GRID65：论文来源的自适应停止对照</x:v>
      </x:c>
      <x:c r="D3011" s="19" t="str">
        <x:v>方法=META_DQN1；质量日期=5/7</x:v>
      </x:c>
      <x:c r="E3011" s="19" t="str">
        <x:v>质量日期</x:v>
      </x:c>
      <x:c r="F3011" s="19" t="str">
        <x:v>5/7</x:v>
      </x:c>
      <x:c r="G3011" s="19" t="str">
        <x:v>质量/成本</x:v>
      </x:c>
      <x:c r="H3011" s="19" t="str">
        <x:v>D:/Codex/GRL研究/outputs/grid65/GRID65_report.md</x:v>
      </x:c>
    </x:row>
    <x:row r="3012" ht="36" customHeight="1">
      <x:c r="A3012" s="19" t="str">
        <x:v>GRID65</x:v>
      </x:c>
      <x:c r="B3012" s="19" t="str">
        <x:v>GRID65_report.md</x:v>
      </x:c>
      <x:c r="C3012" s="19" t="str">
        <x:v>1. GRID65：论文来源的自适应停止对照</x:v>
      </x:c>
      <x:c r="D3012" s="19" t="str">
        <x:v>方法=META_DQN1；质量日期=5/7</x:v>
      </x:c>
      <x:c r="E3012" s="19" t="str">
        <x:v>完整周</x:v>
      </x:c>
      <x:c r="F3012" s="19" t="str">
        <x:v>5/7</x:v>
      </x:c>
      <x:c r="G3012" s="19" t="str">
        <x:v>质量/成本</x:v>
      </x:c>
      <x:c r="H3012" s="19" t="str">
        <x:v>D:/Codex/GRL研究/outputs/grid65/GRID65_report.md</x:v>
      </x:c>
    </x:row>
    <x:row r="3013" ht="36" customHeight="1">
      <x:c r="A3013" s="19" t="str">
        <x:v>GRID65</x:v>
      </x:c>
      <x:c r="B3013" s="19" t="str">
        <x:v>GRID65_report.md</x:v>
      </x:c>
      <x:c r="C3013" s="19" t="str">
        <x:v>1. GRID65：论文来源的自适应停止对照</x:v>
      </x:c>
      <x:c r="D3013" s="19" t="str">
        <x:v>方法=META_DQN1；质量日期=5/7</x:v>
      </x:c>
      <x:c r="E3013" s="19" t="str">
        <x:v>查询减少/FULL</x:v>
      </x:c>
      <x:c r="F3013" s="19" t="str">
        <x:v>+63.045%</x:v>
      </x:c>
      <x:c r="G3013" s="19" t="str">
        <x:v>速度/计算</x:v>
      </x:c>
      <x:c r="H3013" s="19" t="str">
        <x:v>D:/Codex/GRL研究/outputs/grid65/GRID65_report.md</x:v>
      </x:c>
    </x:row>
    <x:row r="3014" ht="36" customHeight="1">
      <x:c r="A3014" s="19" t="str">
        <x:v>GRID65</x:v>
      </x:c>
      <x:c r="B3014" s="19" t="str">
        <x:v>GRID65_report.md</x:v>
      </x:c>
      <x:c r="C3014" s="19" t="str">
        <x:v>1. GRID65：论文来源的自适应停止对照</x:v>
      </x:c>
      <x:c r="D3014" s="19" t="str">
        <x:v>方法=META_DQN1；质量日期=5/7</x:v>
      </x:c>
      <x:c r="E3014" s="19" t="str">
        <x:v>控制时间减少/FULL</x:v>
      </x:c>
      <x:c r="F3014" s="19" t="str">
        <x:v>+12.079%</x:v>
      </x:c>
      <x:c r="G3014" s="19" t="str">
        <x:v>速度/计算</x:v>
      </x:c>
      <x:c r="H3014" s="19" t="str">
        <x:v>D:/Codex/GRL研究/outputs/grid65/GRID65_report.md</x:v>
      </x:c>
    </x:row>
    <x:row r="3015" ht="36" customHeight="1">
      <x:c r="A3015" s="19" t="str">
        <x:v>GRID65</x:v>
      </x:c>
      <x:c r="B3015" s="19" t="str">
        <x:v>GRID65_report.md</x:v>
      </x:c>
      <x:c r="C3015" s="19" t="str">
        <x:v>1. GRID65：论文来源的自适应停止对照</x:v>
      </x:c>
      <x:c r="D3015" s="19" t="str">
        <x:v>方法=META_DQN1；质量日期=5/7</x:v>
      </x:c>
      <x:c r="E3015" s="19" t="str">
        <x:v>最坏完整周成本增幅</x:v>
      </x:c>
      <x:c r="F3015" s="19" t="str">
        <x:v>+3.983%</x:v>
      </x:c>
      <x:c r="G3015" s="19" t="str">
        <x:v>质量/成本</x:v>
      </x:c>
      <x:c r="H3015" s="19" t="str">
        <x:v>D:/Codex/GRL研究/outputs/grid65/GRID65_report.md</x:v>
      </x:c>
    </x:row>
    <x:row r="3016" ht="36" customHeight="1">
      <x:c r="A3016" s="19" t="str">
        <x:v>GRID65</x:v>
      </x:c>
      <x:c r="B3016" s="19" t="str">
        <x:v>GRID65_report.md</x:v>
      </x:c>
      <x:c r="C3016" s="19" t="str">
        <x:v>2. GRID65：论文来源的自适应停止对照</x:v>
      </x:c>
      <x:c r="D3016" s="19" t="str">
        <x:v>META种子=0；META全部日期质量通过=False</x:v>
      </x:c>
      <x:c r="E3016" s="19" t="str">
        <x:v>META全部日期质量通过</x:v>
      </x:c>
      <x:c r="F3016" s="19" t="str">
        <x:v>False</x:v>
      </x:c>
      <x:c r="G3016" s="19" t="str">
        <x:v>质量/成本</x:v>
      </x:c>
      <x:c r="H3016" s="19" t="str">
        <x:v>D:/Codex/GRL研究/outputs/grid65/GRID65_report.md</x:v>
      </x:c>
    </x:row>
    <x:row r="3017" ht="36" customHeight="1">
      <x:c r="A3017" s="19" t="str">
        <x:v>GRID65</x:v>
      </x:c>
      <x:c r="B3017" s="19" t="str">
        <x:v>GRID65_report.md</x:v>
      </x:c>
      <x:c r="C3017" s="19" t="str">
        <x:v>2. GRID65：论文来源的自适应停止对照</x:v>
      </x:c>
      <x:c r="D3017" s="19" t="str">
        <x:v>META种子=0；META全部日期质量通过=False</x:v>
      </x:c>
      <x:c r="E3017" s="19" t="str">
        <x:v>FRAME查询减少/META</x:v>
      </x:c>
      <x:c r="F3017" s="19" t="str">
        <x:v>+18.665%</x:v>
      </x:c>
      <x:c r="G3017" s="19" t="str">
        <x:v>速度/计算</x:v>
      </x:c>
      <x:c r="H3017" s="19" t="str">
        <x:v>D:/Codex/GRL研究/outputs/grid65/GRID65_report.md</x:v>
      </x:c>
    </x:row>
    <x:row r="3018" ht="36" customHeight="1">
      <x:c r="A3018" s="19" t="str">
        <x:v>GRID65</x:v>
      </x:c>
      <x:c r="B3018" s="19" t="str">
        <x:v>GRID65_report.md</x:v>
      </x:c>
      <x:c r="C3018" s="19" t="str">
        <x:v>2. GRID65：论文来源的自适应停止对照</x:v>
      </x:c>
      <x:c r="D3018" s="19" t="str">
        <x:v>META种子=0；META全部日期质量通过=False</x:v>
      </x:c>
      <x:c r="E3018" s="19" t="str">
        <x:v>FRAME控制时间减少/META</x:v>
      </x:c>
      <x:c r="F3018" s="19" t="str">
        <x:v>+0.056%</x:v>
      </x:c>
      <x:c r="G3018" s="19" t="str">
        <x:v>速度/计算</x:v>
      </x:c>
      <x:c r="H3018" s="19" t="str">
        <x:v>D:/Codex/GRL研究/outputs/grid65/GRID65_report.md</x:v>
      </x:c>
    </x:row>
    <x:row r="3019" ht="36" customHeight="1">
      <x:c r="A3019" s="19" t="str">
        <x:v>GRID65</x:v>
      </x:c>
      <x:c r="B3019" s="19" t="str">
        <x:v>GRID65_report.md</x:v>
      </x:c>
      <x:c r="C3019" s="19" t="str">
        <x:v>2. GRID65：论文来源的自适应停止对照</x:v>
      </x:c>
      <x:c r="D3019" s="19" t="str">
        <x:v>META种子=0；META全部日期质量通过=False</x:v>
      </x:c>
      <x:c r="E3019" s="19" t="str">
        <x:v>等时域日期</x:v>
      </x:c>
      <x:c r="F3019" s="19" t="str">
        <x:v>7</x:v>
      </x:c>
      <x:c r="G3019" s="19" t="str">
        <x:v>其他/配置</x:v>
      </x:c>
      <x:c r="H3019" s="19" t="str">
        <x:v>D:/Codex/GRL研究/outputs/grid65/GRID65_report.md</x:v>
      </x:c>
    </x:row>
    <x:row r="3020" ht="36" customHeight="1">
      <x:c r="A3020" s="19" t="str">
        <x:v>GRID65</x:v>
      </x:c>
      <x:c r="B3020" s="19" t="str">
        <x:v>GRID65_report.md</x:v>
      </x:c>
      <x:c r="C3020" s="19" t="str">
        <x:v>2. GRID65：论文来源的自适应停止对照</x:v>
      </x:c>
      <x:c r="D3020" s="19" t="str">
        <x:v>META种子=1；META全部日期质量通过=False</x:v>
      </x:c>
      <x:c r="E3020" s="19" t="str">
        <x:v>META全部日期质量通过</x:v>
      </x:c>
      <x:c r="F3020" s="19" t="str">
        <x:v>False</x:v>
      </x:c>
      <x:c r="G3020" s="19" t="str">
        <x:v>质量/成本</x:v>
      </x:c>
      <x:c r="H3020" s="19" t="str">
        <x:v>D:/Codex/GRL研究/outputs/grid65/GRID65_report.md</x:v>
      </x:c>
    </x:row>
    <x:row r="3021" ht="36" customHeight="1">
      <x:c r="A3021" s="19" t="str">
        <x:v>GRID65</x:v>
      </x:c>
      <x:c r="B3021" s="19" t="str">
        <x:v>GRID65_report.md</x:v>
      </x:c>
      <x:c r="C3021" s="19" t="str">
        <x:v>2. GRID65：论文来源的自适应停止对照</x:v>
      </x:c>
      <x:c r="D3021" s="19" t="str">
        <x:v>META种子=1；META全部日期质量通过=False</x:v>
      </x:c>
      <x:c r="E3021" s="19" t="str">
        <x:v>FRAME查询减少/META</x:v>
      </x:c>
      <x:c r="F3021" s="19" t="str">
        <x:v>+27.958%</x:v>
      </x:c>
      <x:c r="G3021" s="19" t="str">
        <x:v>速度/计算</x:v>
      </x:c>
      <x:c r="H3021" s="19" t="str">
        <x:v>D:/Codex/GRL研究/outputs/grid65/GRID65_report.md</x:v>
      </x:c>
    </x:row>
    <x:row r="3022" ht="36" customHeight="1">
      <x:c r="A3022" s="19" t="str">
        <x:v>GRID65</x:v>
      </x:c>
      <x:c r="B3022" s="19" t="str">
        <x:v>GRID65_report.md</x:v>
      </x:c>
      <x:c r="C3022" s="19" t="str">
        <x:v>2. GRID65：论文来源的自适应停止对照</x:v>
      </x:c>
      <x:c r="D3022" s="19" t="str">
        <x:v>META种子=1；META全部日期质量通过=False</x:v>
      </x:c>
      <x:c r="E3022" s="19" t="str">
        <x:v>FRAME控制时间减少/META</x:v>
      </x:c>
      <x:c r="F3022" s="19" t="str">
        <x:v>+1.743%</x:v>
      </x:c>
      <x:c r="G3022" s="19" t="str">
        <x:v>速度/计算</x:v>
      </x:c>
      <x:c r="H3022" s="19" t="str">
        <x:v>D:/Codex/GRL研究/outputs/grid65/GRID65_report.md</x:v>
      </x:c>
    </x:row>
    <x:row r="3023" ht="36" customHeight="1">
      <x:c r="A3023" s="19" t="str">
        <x:v>GRID65</x:v>
      </x:c>
      <x:c r="B3023" s="19" t="str">
        <x:v>GRID65_report.md</x:v>
      </x:c>
      <x:c r="C3023" s="19" t="str">
        <x:v>2. GRID65：论文来源的自适应停止对照</x:v>
      </x:c>
      <x:c r="D3023" s="19" t="str">
        <x:v>META种子=1；META全部日期质量通过=False</x:v>
      </x:c>
      <x:c r="E3023" s="19" t="str">
        <x:v>等时域日期</x:v>
      </x:c>
      <x:c r="F3023" s="19" t="str">
        <x:v>7</x:v>
      </x:c>
      <x:c r="G3023" s="19" t="str">
        <x:v>其他/配置</x:v>
      </x:c>
      <x:c r="H3023" s="19" t="str">
        <x:v>D:/Codex/GRL研究/outputs/grid65/GRID65_report.md</x:v>
      </x:c>
    </x:row>
    <x:row r="3024" ht="36" customHeight="1">
      <x:c r="A3024" s="19" t="str">
        <x:v>GRID67</x:v>
      </x:c>
      <x:c r="B3024" s="19" t="str">
        <x:v>GRID67_report.md</x:v>
      </x:c>
      <x:c r="C3024" s="19" t="str">
        <x:v>1. GRID67 实验结果</x:v>
      </x:c>
      <x:c r="D3024" s="19" t="str">
        <x:v>方法=FULL；质量日期=4/4</x:v>
      </x:c>
      <x:c r="E3024" s="19" t="str">
        <x:v>质量日期</x:v>
      </x:c>
      <x:c r="F3024" s="19" t="str">
        <x:v>4/4</x:v>
      </x:c>
      <x:c r="G3024" s="19" t="str">
        <x:v>质量/成本</x:v>
      </x:c>
      <x:c r="H3024" s="19" t="str">
        <x:v>D:/Codex/GRL研究/outputs/grid67/GRID67_report.md</x:v>
      </x:c>
    </x:row>
    <x:row r="3025" ht="36" customHeight="1">
      <x:c r="A3025" s="19" t="str">
        <x:v>GRID67</x:v>
      </x:c>
      <x:c r="B3025" s="19" t="str">
        <x:v>GRID67_report.md</x:v>
      </x:c>
      <x:c r="C3025" s="19" t="str">
        <x:v>1. GRID67 实验结果</x:v>
      </x:c>
      <x:c r="D3025" s="19" t="str">
        <x:v>方法=FULL；质量日期=4/4</x:v>
      </x:c>
      <x:c r="E3025" s="19" t="str">
        <x:v>完成日期</x:v>
      </x:c>
      <x:c r="F3025" s="19" t="str">
        <x:v>3/4</x:v>
      </x:c>
      <x:c r="G3025" s="19" t="str">
        <x:v>质量/成本</x:v>
      </x:c>
      <x:c r="H3025" s="19" t="str">
        <x:v>D:/Codex/GRL研究/outputs/grid67/GRID67_report.md</x:v>
      </x:c>
    </x:row>
    <x:row r="3026" ht="36" customHeight="1">
      <x:c r="A3026" s="19" t="str">
        <x:v>GRID67</x:v>
      </x:c>
      <x:c r="B3026" s="19" t="str">
        <x:v>GRID67_report.md</x:v>
      </x:c>
      <x:c r="C3026" s="19" t="str">
        <x:v>1. GRID67 实验结果</x:v>
      </x:c>
      <x:c r="D3026" s="19" t="str">
        <x:v>方法=FULL；质量日期=4/4</x:v>
      </x:c>
      <x:c r="E3026" s="19" t="str">
        <x:v>查询减少/FULL</x:v>
      </x:c>
      <x:c r="F3026" s="19" t="str">
        <x:v>+0.000%</x:v>
      </x:c>
      <x:c r="G3026" s="19" t="str">
        <x:v>速度/计算</x:v>
      </x:c>
      <x:c r="H3026" s="19" t="str">
        <x:v>D:/Codex/GRL研究/outputs/grid67/GRID67_report.md</x:v>
      </x:c>
    </x:row>
    <x:row r="3027" ht="36" customHeight="1">
      <x:c r="A3027" s="19" t="str">
        <x:v>GRID67</x:v>
      </x:c>
      <x:c r="B3027" s="19" t="str">
        <x:v>GRID67_report.md</x:v>
      </x:c>
      <x:c r="C3027" s="19" t="str">
        <x:v>1. GRID67 实验结果</x:v>
      </x:c>
      <x:c r="D3027" s="19" t="str">
        <x:v>方法=FULL；质量日期=4/4</x:v>
      </x:c>
      <x:c r="E3027" s="19" t="str">
        <x:v>控制时间减少/FULL</x:v>
      </x:c>
      <x:c r="F3027" s="19" t="str">
        <x:v>+0.000%</x:v>
      </x:c>
      <x:c r="G3027" s="19" t="str">
        <x:v>速度/计算</x:v>
      </x:c>
      <x:c r="H3027" s="19" t="str">
        <x:v>D:/Codex/GRL研究/outputs/grid67/GRID67_report.md</x:v>
      </x:c>
    </x:row>
    <x:row r="3028" ht="36" customHeight="1">
      <x:c r="A3028" s="19" t="str">
        <x:v>GRID67</x:v>
      </x:c>
      <x:c r="B3028" s="19" t="str">
        <x:v>GRID67_report.md</x:v>
      </x:c>
      <x:c r="C3028" s="19" t="str">
        <x:v>1. GRID67 实验结果</x:v>
      </x:c>
      <x:c r="D3028" s="19" t="str">
        <x:v>方法=FULL；质量日期=4/4</x:v>
      </x:c>
      <x:c r="E3028" s="19" t="str">
        <x:v>最坏完整周成本变化</x:v>
      </x:c>
      <x:c r="F3028" s="19" t="str">
        <x:v>+0.000%</x:v>
      </x:c>
      <x:c r="G3028" s="19" t="str">
        <x:v>质量/成本</x:v>
      </x:c>
      <x:c r="H3028" s="19" t="str">
        <x:v>D:/Codex/GRL研究/outputs/grid67/GRID67_report.md</x:v>
      </x:c>
    </x:row>
    <x:row r="3029" ht="36" customHeight="1">
      <x:c r="A3029" s="19" t="str">
        <x:v>GRID67</x:v>
      </x:c>
      <x:c r="B3029" s="19" t="str">
        <x:v>GRID67_report.md</x:v>
      </x:c>
      <x:c r="C3029" s="19" t="str">
        <x:v>1. GRID67 实验结果</x:v>
      </x:c>
      <x:c r="D3029" s="19" t="str">
        <x:v>方法=FRAME；质量日期=4/4</x:v>
      </x:c>
      <x:c r="E3029" s="19" t="str">
        <x:v>质量日期</x:v>
      </x:c>
      <x:c r="F3029" s="19" t="str">
        <x:v>4/4</x:v>
      </x:c>
      <x:c r="G3029" s="19" t="str">
        <x:v>质量/成本</x:v>
      </x:c>
      <x:c r="H3029" s="19" t="str">
        <x:v>D:/Codex/GRL研究/outputs/grid67/GRID67_report.md</x:v>
      </x:c>
    </x:row>
    <x:row r="3030" ht="36" customHeight="1">
      <x:c r="A3030" s="19" t="str">
        <x:v>GRID67</x:v>
      </x:c>
      <x:c r="B3030" s="19" t="str">
        <x:v>GRID67_report.md</x:v>
      </x:c>
      <x:c r="C3030" s="19" t="str">
        <x:v>1. GRID67 实验结果</x:v>
      </x:c>
      <x:c r="D3030" s="19" t="str">
        <x:v>方法=FRAME；质量日期=4/4</x:v>
      </x:c>
      <x:c r="E3030" s="19" t="str">
        <x:v>完成日期</x:v>
      </x:c>
      <x:c r="F3030" s="19" t="str">
        <x:v>3/4</x:v>
      </x:c>
      <x:c r="G3030" s="19" t="str">
        <x:v>质量/成本</x:v>
      </x:c>
      <x:c r="H3030" s="19" t="str">
        <x:v>D:/Codex/GRL研究/outputs/grid67/GRID67_report.md</x:v>
      </x:c>
    </x:row>
    <x:row r="3031" ht="36" customHeight="1">
      <x:c r="A3031" s="19" t="str">
        <x:v>GRID67</x:v>
      </x:c>
      <x:c r="B3031" s="19" t="str">
        <x:v>GRID67_report.md</x:v>
      </x:c>
      <x:c r="C3031" s="19" t="str">
        <x:v>1. GRID67 实验结果</x:v>
      </x:c>
      <x:c r="D3031" s="19" t="str">
        <x:v>方法=FRAME；质量日期=4/4</x:v>
      </x:c>
      <x:c r="E3031" s="19" t="str">
        <x:v>查询减少/FULL</x:v>
      </x:c>
      <x:c r="F3031" s="19" t="str">
        <x:v>+69.367%</x:v>
      </x:c>
      <x:c r="G3031" s="19" t="str">
        <x:v>速度/计算</x:v>
      </x:c>
      <x:c r="H3031" s="19" t="str">
        <x:v>D:/Codex/GRL研究/outputs/grid67/GRID67_report.md</x:v>
      </x:c>
    </x:row>
    <x:row r="3032" ht="36" customHeight="1">
      <x:c r="A3032" s="19" t="str">
        <x:v>GRID67</x:v>
      </x:c>
      <x:c r="B3032" s="19" t="str">
        <x:v>GRID67_report.md</x:v>
      </x:c>
      <x:c r="C3032" s="19" t="str">
        <x:v>1. GRID67 实验结果</x:v>
      </x:c>
      <x:c r="D3032" s="19" t="str">
        <x:v>方法=FRAME；质量日期=4/4</x:v>
      </x:c>
      <x:c r="E3032" s="19" t="str">
        <x:v>控制时间减少/FULL</x:v>
      </x:c>
      <x:c r="F3032" s="19" t="str">
        <x:v>+15.280%</x:v>
      </x:c>
      <x:c r="G3032" s="19" t="str">
        <x:v>速度/计算</x:v>
      </x:c>
      <x:c r="H3032" s="19" t="str">
        <x:v>D:/Codex/GRL研究/outputs/grid67/GRID67_report.md</x:v>
      </x:c>
    </x:row>
    <x:row r="3033" ht="36" customHeight="1">
      <x:c r="A3033" s="19" t="str">
        <x:v>GRID67</x:v>
      </x:c>
      <x:c r="B3033" s="19" t="str">
        <x:v>GRID67_report.md</x:v>
      </x:c>
      <x:c r="C3033" s="19" t="str">
        <x:v>1. GRID67 实验结果</x:v>
      </x:c>
      <x:c r="D3033" s="19" t="str">
        <x:v>方法=FRAME；质量日期=4/4</x:v>
      </x:c>
      <x:c r="E3033" s="19" t="str">
        <x:v>最坏完整周成本变化</x:v>
      </x:c>
      <x:c r="F3033" s="19" t="str">
        <x:v>+0.372%</x:v>
      </x:c>
      <x:c r="G3033" s="19" t="str">
        <x:v>质量/成本</x:v>
      </x:c>
      <x:c r="H3033" s="19" t="str">
        <x:v>D:/Codex/GRL研究/outputs/grid67/GRID67_report.md</x:v>
      </x:c>
    </x:row>
    <x:row r="3034" ht="36" customHeight="1">
      <x:c r="A3034" s="19" t="str">
        <x:v>GRID67</x:v>
      </x:c>
      <x:c r="B3034" s="19" t="str">
        <x:v>GRID67_report.md</x:v>
      </x:c>
      <x:c r="C3034" s="19" t="str">
        <x:v>1. GRID67 实验结果</x:v>
      </x:c>
      <x:c r="D3034" s="19" t="str">
        <x:v>方法=FRAME_P64；质量日期=3/4</x:v>
      </x:c>
      <x:c r="E3034" s="19" t="str">
        <x:v>质量日期</x:v>
      </x:c>
      <x:c r="F3034" s="19" t="str">
        <x:v>3/4</x:v>
      </x:c>
      <x:c r="G3034" s="19" t="str">
        <x:v>质量/成本</x:v>
      </x:c>
      <x:c r="H3034" s="19" t="str">
        <x:v>D:/Codex/GRL研究/outputs/grid67/GRID67_report.md</x:v>
      </x:c>
    </x:row>
    <x:row r="3035" ht="36" customHeight="1">
      <x:c r="A3035" s="19" t="str">
        <x:v>GRID67</x:v>
      </x:c>
      <x:c r="B3035" s="19" t="str">
        <x:v>GRID67_report.md</x:v>
      </x:c>
      <x:c r="C3035" s="19" t="str">
        <x:v>1. GRID67 实验结果</x:v>
      </x:c>
      <x:c r="D3035" s="19" t="str">
        <x:v>方法=FRAME_P64；质量日期=3/4</x:v>
      </x:c>
      <x:c r="E3035" s="19" t="str">
        <x:v>完成日期</x:v>
      </x:c>
      <x:c r="F3035" s="19" t="str">
        <x:v>3/4</x:v>
      </x:c>
      <x:c r="G3035" s="19" t="str">
        <x:v>质量/成本</x:v>
      </x:c>
      <x:c r="H3035" s="19" t="str">
        <x:v>D:/Codex/GRL研究/outputs/grid67/GRID67_report.md</x:v>
      </x:c>
    </x:row>
    <x:row r="3036" ht="36" customHeight="1">
      <x:c r="A3036" s="19" t="str">
        <x:v>GRID67</x:v>
      </x:c>
      <x:c r="B3036" s="19" t="str">
        <x:v>GRID67_report.md</x:v>
      </x:c>
      <x:c r="C3036" s="19" t="str">
        <x:v>1. GRID67 实验结果</x:v>
      </x:c>
      <x:c r="D3036" s="19" t="str">
        <x:v>方法=FRAME_P64；质量日期=3/4</x:v>
      </x:c>
      <x:c r="E3036" s="19" t="str">
        <x:v>查询减少/FULL</x:v>
      </x:c>
      <x:c r="F3036" s="19" t="str">
        <x:v>+72.873%</x:v>
      </x:c>
      <x:c r="G3036" s="19" t="str">
        <x:v>速度/计算</x:v>
      </x:c>
      <x:c r="H3036" s="19" t="str">
        <x:v>D:/Codex/GRL研究/outputs/grid67/GRID67_report.md</x:v>
      </x:c>
    </x:row>
    <x:row r="3037" ht="36" customHeight="1">
      <x:c r="A3037" s="19" t="str">
        <x:v>GRID67</x:v>
      </x:c>
      <x:c r="B3037" s="19" t="str">
        <x:v>GRID67_report.md</x:v>
      </x:c>
      <x:c r="C3037" s="19" t="str">
        <x:v>1. GRID67 实验结果</x:v>
      </x:c>
      <x:c r="D3037" s="19" t="str">
        <x:v>方法=FRAME_P64；质量日期=3/4</x:v>
      </x:c>
      <x:c r="E3037" s="19" t="str">
        <x:v>控制时间减少/FULL</x:v>
      </x:c>
      <x:c r="F3037" s="19" t="str">
        <x:v>+15.583%</x:v>
      </x:c>
      <x:c r="G3037" s="19" t="str">
        <x:v>速度/计算</x:v>
      </x:c>
      <x:c r="H3037" s="19" t="str">
        <x:v>D:/Codex/GRL研究/outputs/grid67/GRID67_report.md</x:v>
      </x:c>
    </x:row>
    <x:row r="3038" ht="36" customHeight="1">
      <x:c r="A3038" s="19" t="str">
        <x:v>GRID67</x:v>
      </x:c>
      <x:c r="B3038" s="19" t="str">
        <x:v>GRID67_report.md</x:v>
      </x:c>
      <x:c r="C3038" s="19" t="str">
        <x:v>1. GRID67 实验结果</x:v>
      </x:c>
      <x:c r="D3038" s="19" t="str">
        <x:v>方法=FRAME_P64；质量日期=3/4</x:v>
      </x:c>
      <x:c r="E3038" s="19" t="str">
        <x:v>最坏完整周成本变化</x:v>
      </x:c>
      <x:c r="F3038" s="19" t="str">
        <x:v>+0.530%</x:v>
      </x:c>
      <x:c r="G3038" s="19" t="str">
        <x:v>质量/成本</x:v>
      </x:c>
      <x:c r="H3038" s="19" t="str">
        <x:v>D:/Codex/GRL研究/outputs/grid67/GRID67_report.md</x:v>
      </x:c>
    </x:row>
    <x:row r="3039" ht="36" customHeight="1">
      <x:c r="A3039" s="19" t="str">
        <x:v>GRID67</x:v>
      </x:c>
      <x:c r="B3039" s="19" t="str">
        <x:v>GRID67_report.md</x:v>
      </x:c>
      <x:c r="C3039" s="19" t="str">
        <x:v>1. GRID67 实验结果</x:v>
      </x:c>
      <x:c r="D3039" s="19" t="str">
        <x:v>方法=FRAME_P256；质量日期=4/4</x:v>
      </x:c>
      <x:c r="E3039" s="19" t="str">
        <x:v>质量日期</x:v>
      </x:c>
      <x:c r="F3039" s="19" t="str">
        <x:v>4/4</x:v>
      </x:c>
      <x:c r="G3039" s="19" t="str">
        <x:v>质量/成本</x:v>
      </x:c>
      <x:c r="H3039" s="19" t="str">
        <x:v>D:/Codex/GRL研究/outputs/grid67/GRID67_report.md</x:v>
      </x:c>
    </x:row>
    <x:row r="3040" ht="36" customHeight="1">
      <x:c r="A3040" s="19" t="str">
        <x:v>GRID67</x:v>
      </x:c>
      <x:c r="B3040" s="19" t="str">
        <x:v>GRID67_report.md</x:v>
      </x:c>
      <x:c r="C3040" s="19" t="str">
        <x:v>1. GRID67 实验结果</x:v>
      </x:c>
      <x:c r="D3040" s="19" t="str">
        <x:v>方法=FRAME_P256；质量日期=4/4</x:v>
      </x:c>
      <x:c r="E3040" s="19" t="str">
        <x:v>完成日期</x:v>
      </x:c>
      <x:c r="F3040" s="19" t="str">
        <x:v>3/4</x:v>
      </x:c>
      <x:c r="G3040" s="19" t="str">
        <x:v>质量/成本</x:v>
      </x:c>
      <x:c r="H3040" s="19" t="str">
        <x:v>D:/Codex/GRL研究/outputs/grid67/GRID67_report.md</x:v>
      </x:c>
    </x:row>
    <x:row r="3041" ht="36" customHeight="1">
      <x:c r="A3041" s="19" t="str">
        <x:v>GRID67</x:v>
      </x:c>
      <x:c r="B3041" s="19" t="str">
        <x:v>GRID67_report.md</x:v>
      </x:c>
      <x:c r="C3041" s="19" t="str">
        <x:v>1. GRID67 实验结果</x:v>
      </x:c>
      <x:c r="D3041" s="19" t="str">
        <x:v>方法=FRAME_P256；质量日期=4/4</x:v>
      </x:c>
      <x:c r="E3041" s="19" t="str">
        <x:v>查询减少/FULL</x:v>
      </x:c>
      <x:c r="F3041" s="19" t="str">
        <x:v>+57.936%</x:v>
      </x:c>
      <x:c r="G3041" s="19" t="str">
        <x:v>速度/计算</x:v>
      </x:c>
      <x:c r="H3041" s="19" t="str">
        <x:v>D:/Codex/GRL研究/outputs/grid67/GRID67_report.md</x:v>
      </x:c>
    </x:row>
    <x:row r="3042" ht="36" customHeight="1">
      <x:c r="A3042" s="19" t="str">
        <x:v>GRID67</x:v>
      </x:c>
      <x:c r="B3042" s="19" t="str">
        <x:v>GRID67_report.md</x:v>
      </x:c>
      <x:c r="C3042" s="19" t="str">
        <x:v>1. GRID67 实验结果</x:v>
      </x:c>
      <x:c r="D3042" s="19" t="str">
        <x:v>方法=FRAME_P256；质量日期=4/4</x:v>
      </x:c>
      <x:c r="E3042" s="19" t="str">
        <x:v>控制时间减少/FULL</x:v>
      </x:c>
      <x:c r="F3042" s="19" t="str">
        <x:v>+12.997%</x:v>
      </x:c>
      <x:c r="G3042" s="19" t="str">
        <x:v>速度/计算</x:v>
      </x:c>
      <x:c r="H3042" s="19" t="str">
        <x:v>D:/Codex/GRL研究/outputs/grid67/GRID67_report.md</x:v>
      </x:c>
    </x:row>
    <x:row r="3043" ht="36" customHeight="1">
      <x:c r="A3043" s="19" t="str">
        <x:v>GRID67</x:v>
      </x:c>
      <x:c r="B3043" s="19" t="str">
        <x:v>GRID67_report.md</x:v>
      </x:c>
      <x:c r="C3043" s="19" t="str">
        <x:v>1. GRID67 实验结果</x:v>
      </x:c>
      <x:c r="D3043" s="19" t="str">
        <x:v>方法=FRAME_P256；质量日期=4/4</x:v>
      </x:c>
      <x:c r="E3043" s="19" t="str">
        <x:v>最坏完整周成本变化</x:v>
      </x:c>
      <x:c r="F3043" s="19" t="str">
        <x:v>+0.372%</x:v>
      </x:c>
      <x:c r="G3043" s="19" t="str">
        <x:v>质量/成本</x:v>
      </x:c>
      <x:c r="H3043" s="19" t="str">
        <x:v>D:/Codex/GRL研究/outputs/grid67/GRID67_report.md</x:v>
      </x:c>
    </x:row>
    <x:row r="3044" ht="36" customHeight="1">
      <x:c r="A3044" s="19" t="str">
        <x:v>GRID67</x:v>
      </x:c>
      <x:c r="B3044" s="19" t="str">
        <x:v>GRID67_report.md</x:v>
      </x:c>
      <x:c r="C3044" s="19" t="str">
        <x:v>1. GRID67 实验结果</x:v>
      </x:c>
      <x:c r="D3044" s="19" t="str">
        <x:v>方法=FRAME_S1；质量日期=4/4</x:v>
      </x:c>
      <x:c r="E3044" s="19" t="str">
        <x:v>质量日期</x:v>
      </x:c>
      <x:c r="F3044" s="19" t="str">
        <x:v>4/4</x:v>
      </x:c>
      <x:c r="G3044" s="19" t="str">
        <x:v>质量/成本</x:v>
      </x:c>
      <x:c r="H3044" s="19" t="str">
        <x:v>D:/Codex/GRL研究/outputs/grid67/GRID67_report.md</x:v>
      </x:c>
    </x:row>
    <x:row r="3045" ht="36" customHeight="1">
      <x:c r="A3045" s="19" t="str">
        <x:v>GRID67</x:v>
      </x:c>
      <x:c r="B3045" s="19" t="str">
        <x:v>GRID67_report.md</x:v>
      </x:c>
      <x:c r="C3045" s="19" t="str">
        <x:v>1. GRID67 实验结果</x:v>
      </x:c>
      <x:c r="D3045" s="19" t="str">
        <x:v>方法=FRAME_S1；质量日期=4/4</x:v>
      </x:c>
      <x:c r="E3045" s="19" t="str">
        <x:v>完成日期</x:v>
      </x:c>
      <x:c r="F3045" s="19" t="str">
        <x:v>3/4</x:v>
      </x:c>
      <x:c r="G3045" s="19" t="str">
        <x:v>质量/成本</x:v>
      </x:c>
      <x:c r="H3045" s="19" t="str">
        <x:v>D:/Codex/GRL研究/outputs/grid67/GRID67_report.md</x:v>
      </x:c>
    </x:row>
    <x:row r="3046" ht="36" customHeight="1">
      <x:c r="A3046" s="19" t="str">
        <x:v>GRID67</x:v>
      </x:c>
      <x:c r="B3046" s="19" t="str">
        <x:v>GRID67_report.md</x:v>
      </x:c>
      <x:c r="C3046" s="19" t="str">
        <x:v>1. GRID67 实验结果</x:v>
      </x:c>
      <x:c r="D3046" s="19" t="str">
        <x:v>方法=FRAME_S1；质量日期=4/4</x:v>
      </x:c>
      <x:c r="E3046" s="19" t="str">
        <x:v>查询减少/FULL</x:v>
      </x:c>
      <x:c r="F3046" s="19" t="str">
        <x:v>+70.105%</x:v>
      </x:c>
      <x:c r="G3046" s="19" t="str">
        <x:v>速度/计算</x:v>
      </x:c>
      <x:c r="H3046" s="19" t="str">
        <x:v>D:/Codex/GRL研究/outputs/grid67/GRID67_report.md</x:v>
      </x:c>
    </x:row>
    <x:row r="3047" ht="36" customHeight="1">
      <x:c r="A3047" s="19" t="str">
        <x:v>GRID67</x:v>
      </x:c>
      <x:c r="B3047" s="19" t="str">
        <x:v>GRID67_report.md</x:v>
      </x:c>
      <x:c r="C3047" s="19" t="str">
        <x:v>1. GRID67 实验结果</x:v>
      </x:c>
      <x:c r="D3047" s="19" t="str">
        <x:v>方法=FRAME_S1；质量日期=4/4</x:v>
      </x:c>
      <x:c r="E3047" s="19" t="str">
        <x:v>控制时间减少/FULL</x:v>
      </x:c>
      <x:c r="F3047" s="19" t="str">
        <x:v>+15.551%</x:v>
      </x:c>
      <x:c r="G3047" s="19" t="str">
        <x:v>速度/计算</x:v>
      </x:c>
      <x:c r="H3047" s="19" t="str">
        <x:v>D:/Codex/GRL研究/outputs/grid67/GRID67_report.md</x:v>
      </x:c>
    </x:row>
    <x:row r="3048" ht="36" customHeight="1">
      <x:c r="A3048" s="19" t="str">
        <x:v>GRID67</x:v>
      </x:c>
      <x:c r="B3048" s="19" t="str">
        <x:v>GRID67_report.md</x:v>
      </x:c>
      <x:c r="C3048" s="19" t="str">
        <x:v>1. GRID67 实验结果</x:v>
      </x:c>
      <x:c r="D3048" s="19" t="str">
        <x:v>方法=FRAME_S1；质量日期=4/4</x:v>
      </x:c>
      <x:c r="E3048" s="19" t="str">
        <x:v>最坏完整周成本变化</x:v>
      </x:c>
      <x:c r="F3048" s="19" t="str">
        <x:v>+0.372%</x:v>
      </x:c>
      <x:c r="G3048" s="19" t="str">
        <x:v>质量/成本</x:v>
      </x:c>
      <x:c r="H3048" s="19" t="str">
        <x:v>D:/Codex/GRL研究/outputs/grid67/GRID67_report.md</x:v>
      </x:c>
    </x:row>
    <x:row r="3049" ht="36" customHeight="1">
      <x:c r="A3049" s="19" t="str">
        <x:v>GRID67</x:v>
      </x:c>
      <x:c r="B3049" s="19" t="str">
        <x:v>GRID67_report.md</x:v>
      </x:c>
      <x:c r="C3049" s="19" t="str">
        <x:v>1. GRID67 实验结果</x:v>
      </x:c>
      <x:c r="D3049" s="19" t="str">
        <x:v>方法=FRAME_S3；质量日期=4/4</x:v>
      </x:c>
      <x:c r="E3049" s="19" t="str">
        <x:v>质量日期</x:v>
      </x:c>
      <x:c r="F3049" s="19" t="str">
        <x:v>4/4</x:v>
      </x:c>
      <x:c r="G3049" s="19" t="str">
        <x:v>质量/成本</x:v>
      </x:c>
      <x:c r="H3049" s="19" t="str">
        <x:v>D:/Codex/GRL研究/outputs/grid67/GRID67_report.md</x:v>
      </x:c>
    </x:row>
    <x:row r="3050" ht="36" customHeight="1">
      <x:c r="A3050" s="19" t="str">
        <x:v>GRID67</x:v>
      </x:c>
      <x:c r="B3050" s="19" t="str">
        <x:v>GRID67_report.md</x:v>
      </x:c>
      <x:c r="C3050" s="19" t="str">
        <x:v>1. GRID67 实验结果</x:v>
      </x:c>
      <x:c r="D3050" s="19" t="str">
        <x:v>方法=FRAME_S3；质量日期=4/4</x:v>
      </x:c>
      <x:c r="E3050" s="19" t="str">
        <x:v>完成日期</x:v>
      </x:c>
      <x:c r="F3050" s="19" t="str">
        <x:v>3/4</x:v>
      </x:c>
      <x:c r="G3050" s="19" t="str">
        <x:v>质量/成本</x:v>
      </x:c>
      <x:c r="H3050" s="19" t="str">
        <x:v>D:/Codex/GRL研究/outputs/grid67/GRID67_report.md</x:v>
      </x:c>
    </x:row>
    <x:row r="3051" ht="36" customHeight="1">
      <x:c r="A3051" s="19" t="str">
        <x:v>GRID67</x:v>
      </x:c>
      <x:c r="B3051" s="19" t="str">
        <x:v>GRID67_report.md</x:v>
      </x:c>
      <x:c r="C3051" s="19" t="str">
        <x:v>1. GRID67 实验结果</x:v>
      </x:c>
      <x:c r="D3051" s="19" t="str">
        <x:v>方法=FRAME_S3；质量日期=4/4</x:v>
      </x:c>
      <x:c r="E3051" s="19" t="str">
        <x:v>查询减少/FULL</x:v>
      </x:c>
      <x:c r="F3051" s="19" t="str">
        <x:v>+65.870%</x:v>
      </x:c>
      <x:c r="G3051" s="19" t="str">
        <x:v>速度/计算</x:v>
      </x:c>
      <x:c r="H3051" s="19" t="str">
        <x:v>D:/Codex/GRL研究/outputs/grid67/GRID67_report.md</x:v>
      </x:c>
    </x:row>
    <x:row r="3052" ht="36" customHeight="1">
      <x:c r="A3052" s="19" t="str">
        <x:v>GRID67</x:v>
      </x:c>
      <x:c r="B3052" s="19" t="str">
        <x:v>GRID67_report.md</x:v>
      </x:c>
      <x:c r="C3052" s="19" t="str">
        <x:v>1. GRID67 实验结果</x:v>
      </x:c>
      <x:c r="D3052" s="19" t="str">
        <x:v>方法=FRAME_S3；质量日期=4/4</x:v>
      </x:c>
      <x:c r="E3052" s="19" t="str">
        <x:v>控制时间减少/FULL</x:v>
      </x:c>
      <x:c r="F3052" s="19" t="str">
        <x:v>+14.790%</x:v>
      </x:c>
      <x:c r="G3052" s="19" t="str">
        <x:v>速度/计算</x:v>
      </x:c>
      <x:c r="H3052" s="19" t="str">
        <x:v>D:/Codex/GRL研究/outputs/grid67/GRID67_report.md</x:v>
      </x:c>
    </x:row>
    <x:row r="3053" ht="36" customHeight="1">
      <x:c r="A3053" s="19" t="str">
        <x:v>GRID67</x:v>
      </x:c>
      <x:c r="B3053" s="19" t="str">
        <x:v>GRID67_report.md</x:v>
      </x:c>
      <x:c r="C3053" s="19" t="str">
        <x:v>1. GRID67 实验结果</x:v>
      </x:c>
      <x:c r="D3053" s="19" t="str">
        <x:v>方法=FRAME_S3；质量日期=4/4</x:v>
      </x:c>
      <x:c r="E3053" s="19" t="str">
        <x:v>最坏完整周成本变化</x:v>
      </x:c>
      <x:c r="F3053" s="19" t="str">
        <x:v>+0.372%</x:v>
      </x:c>
      <x:c r="G3053" s="19" t="str">
        <x:v>质量/成本</x:v>
      </x:c>
      <x:c r="H3053" s="19" t="str">
        <x:v>D:/Codex/GRL研究/outputs/grid67/GRID67_report.md</x:v>
      </x:c>
    </x:row>
    <x:row r="3054" ht="36" customHeight="1">
      <x:c r="A3054" s="19" t="str">
        <x:v>GRID68</x:v>
      </x:c>
      <x:c r="B3054" s="19" t="str">
        <x:v>GRID68_report.md</x:v>
      </x:c>
      <x:c r="C3054" s="19" t="str">
        <x:v>1. GRID68 实验结果</x:v>
      </x:c>
      <x:c r="D3054" s="19" t="str">
        <x:v>方法=FULL；质量日期=6/6</x:v>
      </x:c>
      <x:c r="E3054" s="19" t="str">
        <x:v>质量日期</x:v>
      </x:c>
      <x:c r="F3054" s="19" t="str">
        <x:v>6/6</x:v>
      </x:c>
      <x:c r="G3054" s="19" t="str">
        <x:v>质量/成本</x:v>
      </x:c>
      <x:c r="H3054" s="19" t="str">
        <x:v>D:/Codex/GRL研究/outputs/grid68/GRID68_report.md</x:v>
      </x:c>
    </x:row>
    <x:row r="3055" ht="36" customHeight="1">
      <x:c r="A3055" s="19" t="str">
        <x:v>GRID68</x:v>
      </x:c>
      <x:c r="B3055" s="19" t="str">
        <x:v>GRID68_report.md</x:v>
      </x:c>
      <x:c r="C3055" s="19" t="str">
        <x:v>1. GRID68 实验结果</x:v>
      </x:c>
      <x:c r="D3055" s="19" t="str">
        <x:v>方法=FULL；质量日期=6/6</x:v>
      </x:c>
      <x:c r="E3055" s="19" t="str">
        <x:v>完成日期</x:v>
      </x:c>
      <x:c r="F3055" s="19" t="str">
        <x:v>6/6</x:v>
      </x:c>
      <x:c r="G3055" s="19" t="str">
        <x:v>质量/成本</x:v>
      </x:c>
      <x:c r="H3055" s="19" t="str">
        <x:v>D:/Codex/GRL研究/outputs/grid68/GRID68_report.md</x:v>
      </x:c>
    </x:row>
    <x:row r="3056" ht="36" customHeight="1">
      <x:c r="A3056" s="19" t="str">
        <x:v>GRID68</x:v>
      </x:c>
      <x:c r="B3056" s="19" t="str">
        <x:v>GRID68_report.md</x:v>
      </x:c>
      <x:c r="C3056" s="19" t="str">
        <x:v>1. GRID68 实验结果</x:v>
      </x:c>
      <x:c r="D3056" s="19" t="str">
        <x:v>方法=FULL；质量日期=6/6</x:v>
      </x:c>
      <x:c r="E3056" s="19" t="str">
        <x:v>查询减少/FULL</x:v>
      </x:c>
      <x:c r="F3056" s="19" t="str">
        <x:v>+0.000%</x:v>
      </x:c>
      <x:c r="G3056" s="19" t="str">
        <x:v>速度/计算</x:v>
      </x:c>
      <x:c r="H3056" s="19" t="str">
        <x:v>D:/Codex/GRL研究/outputs/grid68/GRID68_report.md</x:v>
      </x:c>
    </x:row>
    <x:row r="3057" ht="36" customHeight="1">
      <x:c r="A3057" s="19" t="str">
        <x:v>GRID68</x:v>
      </x:c>
      <x:c r="B3057" s="19" t="str">
        <x:v>GRID68_report.md</x:v>
      </x:c>
      <x:c r="C3057" s="19" t="str">
        <x:v>1. GRID68 实验结果</x:v>
      </x:c>
      <x:c r="D3057" s="19" t="str">
        <x:v>方法=FULL；质量日期=6/6</x:v>
      </x:c>
      <x:c r="E3057" s="19" t="str">
        <x:v>控制时间减少/FULL</x:v>
      </x:c>
      <x:c r="F3057" s="19" t="str">
        <x:v>+0.000%</x:v>
      </x:c>
      <x:c r="G3057" s="19" t="str">
        <x:v>速度/计算</x:v>
      </x:c>
      <x:c r="H3057" s="19" t="str">
        <x:v>D:/Codex/GRL研究/outputs/grid68/GRID68_report.md</x:v>
      </x:c>
    </x:row>
    <x:row r="3058" ht="36" customHeight="1">
      <x:c r="A3058" s="19" t="str">
        <x:v>GRID68</x:v>
      </x:c>
      <x:c r="B3058" s="19" t="str">
        <x:v>GRID68_report.md</x:v>
      </x:c>
      <x:c r="C3058" s="19" t="str">
        <x:v>1. GRID68 实验结果</x:v>
      </x:c>
      <x:c r="D3058" s="19" t="str">
        <x:v>方法=FULL；质量日期=6/6</x:v>
      </x:c>
      <x:c r="E3058" s="19" t="str">
        <x:v>最坏完整周成本变化</x:v>
      </x:c>
      <x:c r="F3058" s="19" t="str">
        <x:v>+0.000%</x:v>
      </x:c>
      <x:c r="G3058" s="19" t="str">
        <x:v>质量/成本</x:v>
      </x:c>
      <x:c r="H3058" s="19" t="str">
        <x:v>D:/Codex/GRL研究/outputs/grid68/GRID68_report.md</x:v>
      </x:c>
    </x:row>
    <x:row r="3059" ht="36" customHeight="1">
      <x:c r="A3059" s="19" t="str">
        <x:v>GRID68</x:v>
      </x:c>
      <x:c r="B3059" s="19" t="str">
        <x:v>GRID68_report.md</x:v>
      </x:c>
      <x:c r="C3059" s="19" t="str">
        <x:v>1. GRID68 实验结果</x:v>
      </x:c>
      <x:c r="D3059" s="19" t="str">
        <x:v>方法=FRAME；质量日期=4/6</x:v>
      </x:c>
      <x:c r="E3059" s="19" t="str">
        <x:v>质量日期</x:v>
      </x:c>
      <x:c r="F3059" s="19" t="str">
        <x:v>4/6</x:v>
      </x:c>
      <x:c r="G3059" s="19" t="str">
        <x:v>质量/成本</x:v>
      </x:c>
      <x:c r="H3059" s="19" t="str">
        <x:v>D:/Codex/GRL研究/outputs/grid68/GRID68_report.md</x:v>
      </x:c>
    </x:row>
    <x:row r="3060" ht="36" customHeight="1">
      <x:c r="A3060" s="19" t="str">
        <x:v>GRID68</x:v>
      </x:c>
      <x:c r="B3060" s="19" t="str">
        <x:v>GRID68_report.md</x:v>
      </x:c>
      <x:c r="C3060" s="19" t="str">
        <x:v>1. GRID68 实验结果</x:v>
      </x:c>
      <x:c r="D3060" s="19" t="str">
        <x:v>方法=FRAME；质量日期=4/6</x:v>
      </x:c>
      <x:c r="E3060" s="19" t="str">
        <x:v>完成日期</x:v>
      </x:c>
      <x:c r="F3060" s="19" t="str">
        <x:v>5/6</x:v>
      </x:c>
      <x:c r="G3060" s="19" t="str">
        <x:v>质量/成本</x:v>
      </x:c>
      <x:c r="H3060" s="19" t="str">
        <x:v>D:/Codex/GRL研究/outputs/grid68/GRID68_report.md</x:v>
      </x:c>
    </x:row>
    <x:row r="3061" ht="36" customHeight="1">
      <x:c r="A3061" s="19" t="str">
        <x:v>GRID68</x:v>
      </x:c>
      <x:c r="B3061" s="19" t="str">
        <x:v>GRID68_report.md</x:v>
      </x:c>
      <x:c r="C3061" s="19" t="str">
        <x:v>1. GRID68 实验结果</x:v>
      </x:c>
      <x:c r="D3061" s="19" t="str">
        <x:v>方法=FRAME；质量日期=4/6</x:v>
      </x:c>
      <x:c r="E3061" s="19" t="str">
        <x:v>查询减少/FULL</x:v>
      </x:c>
      <x:c r="F3061" s="19" t="str">
        <x:v>+66.640%</x:v>
      </x:c>
      <x:c r="G3061" s="19" t="str">
        <x:v>速度/计算</x:v>
      </x:c>
      <x:c r="H3061" s="19" t="str">
        <x:v>D:/Codex/GRL研究/outputs/grid68/GRID68_report.md</x:v>
      </x:c>
    </x:row>
    <x:row r="3062" ht="36" customHeight="1">
      <x:c r="A3062" s="19" t="str">
        <x:v>GRID68</x:v>
      </x:c>
      <x:c r="B3062" s="19" t="str">
        <x:v>GRID68_report.md</x:v>
      </x:c>
      <x:c r="C3062" s="19" t="str">
        <x:v>1. GRID68 实验结果</x:v>
      </x:c>
      <x:c r="D3062" s="19" t="str">
        <x:v>方法=FRAME；质量日期=4/6</x:v>
      </x:c>
      <x:c r="E3062" s="19" t="str">
        <x:v>控制时间减少/FULL</x:v>
      </x:c>
      <x:c r="F3062" s="19" t="str">
        <x:v>+16.375%</x:v>
      </x:c>
      <x:c r="G3062" s="19" t="str">
        <x:v>速度/计算</x:v>
      </x:c>
      <x:c r="H3062" s="19" t="str">
        <x:v>D:/Codex/GRL研究/outputs/grid68/GRID68_report.md</x:v>
      </x:c>
    </x:row>
    <x:row r="3063" ht="36" customHeight="1">
      <x:c r="A3063" s="19" t="str">
        <x:v>GRID68</x:v>
      </x:c>
      <x:c r="B3063" s="19" t="str">
        <x:v>GRID68_report.md</x:v>
      </x:c>
      <x:c r="C3063" s="19" t="str">
        <x:v>1. GRID68 实验结果</x:v>
      </x:c>
      <x:c r="D3063" s="19" t="str">
        <x:v>方法=FRAME；质量日期=4/6</x:v>
      </x:c>
      <x:c r="E3063" s="19" t="str">
        <x:v>最坏完整周成本变化</x:v>
      </x:c>
      <x:c r="F3063" s="19" t="str">
        <x:v>+0.641%</x:v>
      </x:c>
      <x:c r="G3063" s="19" t="str">
        <x:v>质量/成本</x:v>
      </x:c>
      <x:c r="H3063" s="19" t="str">
        <x:v>D:/Codex/GRL研究/outputs/grid68/GRID68_report.md</x:v>
      </x:c>
    </x:row>
    <x:row r="3064" ht="36" customHeight="1">
      <x:c r="A3064" s="19" t="str">
        <x:v>GRID68</x:v>
      </x:c>
      <x:c r="B3064" s="19" t="str">
        <x:v>GRID68_report.md</x:v>
      </x:c>
      <x:c r="C3064" s="19" t="str">
        <x:v>1. GRID68 实验结果</x:v>
      </x:c>
      <x:c r="D3064" s="19" t="str">
        <x:v>方法=GLOBAL_MATCH；质量日期=4/6</x:v>
      </x:c>
      <x:c r="E3064" s="19" t="str">
        <x:v>质量日期</x:v>
      </x:c>
      <x:c r="F3064" s="19" t="str">
        <x:v>4/6</x:v>
      </x:c>
      <x:c r="G3064" s="19" t="str">
        <x:v>质量/成本</x:v>
      </x:c>
      <x:c r="H3064" s="19" t="str">
        <x:v>D:/Codex/GRL研究/outputs/grid68/GRID68_report.md</x:v>
      </x:c>
    </x:row>
    <x:row r="3065" ht="36" customHeight="1">
      <x:c r="A3065" s="19" t="str">
        <x:v>GRID68</x:v>
      </x:c>
      <x:c r="B3065" s="19" t="str">
        <x:v>GRID68_report.md</x:v>
      </x:c>
      <x:c r="C3065" s="19" t="str">
        <x:v>1. GRID68 实验结果</x:v>
      </x:c>
      <x:c r="D3065" s="19" t="str">
        <x:v>方法=GLOBAL_MATCH；质量日期=4/6</x:v>
      </x:c>
      <x:c r="E3065" s="19" t="str">
        <x:v>完成日期</x:v>
      </x:c>
      <x:c r="F3065" s="19" t="str">
        <x:v>5/6</x:v>
      </x:c>
      <x:c r="G3065" s="19" t="str">
        <x:v>质量/成本</x:v>
      </x:c>
      <x:c r="H3065" s="19" t="str">
        <x:v>D:/Codex/GRL研究/outputs/grid68/GRID68_report.md</x:v>
      </x:c>
    </x:row>
    <x:row r="3066" ht="36" customHeight="1">
      <x:c r="A3066" s="19" t="str">
        <x:v>GRID68</x:v>
      </x:c>
      <x:c r="B3066" s="19" t="str">
        <x:v>GRID68_report.md</x:v>
      </x:c>
      <x:c r="C3066" s="19" t="str">
        <x:v>1. GRID68 实验结果</x:v>
      </x:c>
      <x:c r="D3066" s="19" t="str">
        <x:v>方法=GLOBAL_MATCH；质量日期=4/6</x:v>
      </x:c>
      <x:c r="E3066" s="19" t="str">
        <x:v>查询减少/FULL</x:v>
      </x:c>
      <x:c r="F3066" s="19" t="str">
        <x:v>+65.064%</x:v>
      </x:c>
      <x:c r="G3066" s="19" t="str">
        <x:v>速度/计算</x:v>
      </x:c>
      <x:c r="H3066" s="19" t="str">
        <x:v>D:/Codex/GRL研究/outputs/grid68/GRID68_report.md</x:v>
      </x:c>
    </x:row>
    <x:row r="3067" ht="36" customHeight="1">
      <x:c r="A3067" s="19" t="str">
        <x:v>GRID68</x:v>
      </x:c>
      <x:c r="B3067" s="19" t="str">
        <x:v>GRID68_report.md</x:v>
      </x:c>
      <x:c r="C3067" s="19" t="str">
        <x:v>1. GRID68 实验结果</x:v>
      </x:c>
      <x:c r="D3067" s="19" t="str">
        <x:v>方法=GLOBAL_MATCH；质量日期=4/6</x:v>
      </x:c>
      <x:c r="E3067" s="19" t="str">
        <x:v>控制时间减少/FULL</x:v>
      </x:c>
      <x:c r="F3067" s="19" t="str">
        <x:v>+14.219%</x:v>
      </x:c>
      <x:c r="G3067" s="19" t="str">
        <x:v>速度/计算</x:v>
      </x:c>
      <x:c r="H3067" s="19" t="str">
        <x:v>D:/Codex/GRL研究/outputs/grid68/GRID68_report.md</x:v>
      </x:c>
    </x:row>
    <x:row r="3068" ht="36" customHeight="1">
      <x:c r="A3068" s="19" t="str">
        <x:v>GRID68</x:v>
      </x:c>
      <x:c r="B3068" s="19" t="str">
        <x:v>GRID68_report.md</x:v>
      </x:c>
      <x:c r="C3068" s="19" t="str">
        <x:v>1. GRID68 实验结果</x:v>
      </x:c>
      <x:c r="D3068" s="19" t="str">
        <x:v>方法=GLOBAL_MATCH；质量日期=4/6</x:v>
      </x:c>
      <x:c r="E3068" s="19" t="str">
        <x:v>最坏完整周成本变化</x:v>
      </x:c>
      <x:c r="F3068" s="19" t="str">
        <x:v>+1.131%</x:v>
      </x:c>
      <x:c r="G3068" s="19" t="str">
        <x:v>质量/成本</x:v>
      </x:c>
      <x:c r="H3068" s="19" t="str">
        <x:v>D:/Codex/GRL研究/outputs/grid68/GRID68_report.md</x:v>
      </x:c>
    </x:row>
    <x:row r="3069" ht="36" customHeight="1">
      <x:c r="A3069" s="19" t="str">
        <x:v>GRID70</x:v>
      </x:c>
      <x:c r="B3069" s="19" t="str">
        <x:v>GRID70_report.md</x:v>
      </x:c>
      <x:c r="C3069" s="19" t="str">
        <x:v>1. 全部日期</x:v>
      </x:c>
      <x:c r="D3069" s="19" t="str">
        <x:v>日期=2035-07-09_2；FULL/原版/修复版步数=2017/1901/2017</x:v>
      </x:c>
      <x:c r="E3069" s="19" t="str">
        <x:v>FULL/原版/修复版步数</x:v>
      </x:c>
      <x:c r="F3069" s="19" t="str">
        <x:v>2017/1901/2017</x:v>
      </x:c>
      <x:c r="G3069" s="19" t="str">
        <x:v>质量/成本</x:v>
      </x:c>
      <x:c r="H3069" s="19" t="str">
        <x:v>D:/Codex/GRL研究/outputs/grid70/GRID70_report.md</x:v>
      </x:c>
    </x:row>
    <x:row r="3070" ht="36" customHeight="1">
      <x:c r="A3070" s="19" t="str">
        <x:v>GRID70</x:v>
      </x:c>
      <x:c r="B3070" s="19" t="str">
        <x:v>GRID70_report.md</x:v>
      </x:c>
      <x:c r="C3070" s="19" t="str">
        <x:v>1. 全部日期</x:v>
      </x:c>
      <x:c r="D3070" s="19" t="str">
        <x:v>日期=2035-07-09_2；FULL/原版/修复版步数=2017/1901/2017</x:v>
      </x:c>
      <x:c r="E3070" s="19" t="str">
        <x:v>原版成本变化</x:v>
      </x:c>
      <x:c r="F3070" s="19" t="str">
        <x:v>—</x:v>
      </x:c>
      <x:c r="G3070" s="19" t="str">
        <x:v>质量/成本</x:v>
      </x:c>
      <x:c r="H3070" s="19" t="str">
        <x:v>D:/Codex/GRL研究/outputs/grid70/GRID70_report.md</x:v>
      </x:c>
    </x:row>
    <x:row r="3071" ht="36" customHeight="1">
      <x:c r="A3071" s="19" t="str">
        <x:v>GRID70</x:v>
      </x:c>
      <x:c r="B3071" s="19" t="str">
        <x:v>GRID70_report.md</x:v>
      </x:c>
      <x:c r="C3071" s="19" t="str">
        <x:v>1. 全部日期</x:v>
      </x:c>
      <x:c r="D3071" s="19" t="str">
        <x:v>日期=2035-07-09_2；FULL/原版/修复版步数=2017/1901/2017</x:v>
      </x:c>
      <x:c r="E3071" s="19" t="str">
        <x:v>修复版成本变化</x:v>
      </x:c>
      <x:c r="F3071" s="19" t="str">
        <x:v>-0.250%</x:v>
      </x:c>
      <x:c r="G3071" s="19" t="str">
        <x:v>质量/成本</x:v>
      </x:c>
      <x:c r="H3071" s="19" t="str">
        <x:v>D:/Codex/GRL研究/outputs/grid70/GRID70_report.md</x:v>
      </x:c>
    </x:row>
    <x:row r="3072" ht="36" customHeight="1">
      <x:c r="A3072" s="19" t="str">
        <x:v>GRID70</x:v>
      </x:c>
      <x:c r="B3072" s="19" t="str">
        <x:v>GRID70_report.md</x:v>
      </x:c>
      <x:c r="C3072" s="19" t="str">
        <x:v>1. 全部日期</x:v>
      </x:c>
      <x:c r="D3072" s="19" t="str">
        <x:v>日期=2035-07-09_2；FULL/原版/修复版步数=2017/1901/2017</x:v>
      </x:c>
      <x:c r="E3072" s="19" t="str">
        <x:v>FULL/修复版查询</x:v>
      </x:c>
      <x:c r="F3072" s="19" t="str">
        <x:v>11178/5120</x:v>
      </x:c>
      <x:c r="G3072" s="19" t="str">
        <x:v>速度/计算</x:v>
      </x:c>
      <x:c r="H3072" s="19" t="str">
        <x:v>D:/Codex/GRL研究/outputs/grid70/GRID70_report.md</x:v>
      </x:c>
    </x:row>
    <x:row r="3073" ht="36" customHeight="1">
      <x:c r="A3073" s="19" t="str">
        <x:v>GRID70</x:v>
      </x:c>
      <x:c r="B3073" s="19" t="str">
        <x:v>GRID70_report.md</x:v>
      </x:c>
      <x:c r="C3073" s="19" t="str">
        <x:v>1. 全部日期</x:v>
      </x:c>
      <x:c r="D3073" s="19" t="str">
        <x:v>日期=2035-07-09_2；FULL/原版/修复版步数=2017/1901/2017</x:v>
      </x:c>
      <x:c r="E3073" s="19" t="str">
        <x:v>查询减少</x:v>
      </x:c>
      <x:c r="F3073" s="19" t="str">
        <x:v>+54.196%</x:v>
      </x:c>
      <x:c r="G3073" s="19" t="str">
        <x:v>速度/计算</x:v>
      </x:c>
      <x:c r="H3073" s="19" t="str">
        <x:v>D:/Codex/GRL研究/outputs/grid70/GRID70_report.md</x:v>
      </x:c>
    </x:row>
    <x:row r="3074" ht="36" customHeight="1">
      <x:c r="A3074" s="19" t="str">
        <x:v>GRID70</x:v>
      </x:c>
      <x:c r="B3074" s="19" t="str">
        <x:v>GRID70_report.md</x:v>
      </x:c>
      <x:c r="C3074" s="19" t="str">
        <x:v>1. 全部日期</x:v>
      </x:c>
      <x:c r="D3074" s="19" t="str">
        <x:v>日期=2035-07-09_2；FULL/原版/修复版步数=2017/1901/2017</x:v>
      </x:c>
      <x:c r="E3074" s="19" t="str">
        <x:v>质量筛查</x:v>
      </x:c>
      <x:c r="F3074" s="19" t="str">
        <x:v>通过</x:v>
      </x:c>
      <x:c r="G3074" s="19" t="str">
        <x:v>质量/成本</x:v>
      </x:c>
      <x:c r="H3074" s="19" t="str">
        <x:v>D:/Codex/GRL研究/outputs/grid70/GRID70_report.md</x:v>
      </x:c>
    </x:row>
    <x:row r="3075" ht="36" customHeight="1">
      <x:c r="A3075" s="19" t="str">
        <x:v>GRID70</x:v>
      </x:c>
      <x:c r="B3075" s="19" t="str">
        <x:v>GRID70_report.md</x:v>
      </x:c>
      <x:c r="C3075" s="19" t="str">
        <x:v>1. 全部日期</x:v>
      </x:c>
      <x:c r="D3075" s="19" t="str">
        <x:v>日期=2035-12-10_6；FULL/原版/修复版步数=2017/2017/2017</x:v>
      </x:c>
      <x:c r="E3075" s="19" t="str">
        <x:v>FULL/原版/修复版步数</x:v>
      </x:c>
      <x:c r="F3075" s="19" t="str">
        <x:v>2017/2017/2017</x:v>
      </x:c>
      <x:c r="G3075" s="19" t="str">
        <x:v>质量/成本</x:v>
      </x:c>
      <x:c r="H3075" s="19" t="str">
        <x:v>D:/Codex/GRL研究/outputs/grid70/GRID70_report.md</x:v>
      </x:c>
    </x:row>
    <x:row r="3076" ht="36" customHeight="1">
      <x:c r="A3076" s="19" t="str">
        <x:v>GRID70</x:v>
      </x:c>
      <x:c r="B3076" s="19" t="str">
        <x:v>GRID70_report.md</x:v>
      </x:c>
      <x:c r="C3076" s="19" t="str">
        <x:v>1. 全部日期</x:v>
      </x:c>
      <x:c r="D3076" s="19" t="str">
        <x:v>日期=2035-12-10_6；FULL/原版/修复版步数=2017/2017/2017</x:v>
      </x:c>
      <x:c r="E3076" s="19" t="str">
        <x:v>原版成本变化</x:v>
      </x:c>
      <x:c r="F3076" s="19" t="str">
        <x:v>+0.641%</x:v>
      </x:c>
      <x:c r="G3076" s="19" t="str">
        <x:v>质量/成本</x:v>
      </x:c>
      <x:c r="H3076" s="19" t="str">
        <x:v>D:/Codex/GRL研究/outputs/grid70/GRID70_report.md</x:v>
      </x:c>
    </x:row>
    <x:row r="3077" ht="36" customHeight="1">
      <x:c r="A3077" s="19" t="str">
        <x:v>GRID70</x:v>
      </x:c>
      <x:c r="B3077" s="19" t="str">
        <x:v>GRID70_report.md</x:v>
      </x:c>
      <x:c r="C3077" s="19" t="str">
        <x:v>1. 全部日期</x:v>
      </x:c>
      <x:c r="D3077" s="19" t="str">
        <x:v>日期=2035-12-10_6；FULL/原版/修复版步数=2017/2017/2017</x:v>
      </x:c>
      <x:c r="E3077" s="19" t="str">
        <x:v>修复版成本变化</x:v>
      </x:c>
      <x:c r="F3077" s="19" t="str">
        <x:v>-0.031%</x:v>
      </x:c>
      <x:c r="G3077" s="19" t="str">
        <x:v>质量/成本</x:v>
      </x:c>
      <x:c r="H3077" s="19" t="str">
        <x:v>D:/Codex/GRL研究/outputs/grid70/GRID70_report.md</x:v>
      </x:c>
    </x:row>
    <x:row r="3078" ht="36" customHeight="1">
      <x:c r="A3078" s="19" t="str">
        <x:v>GRID70</x:v>
      </x:c>
      <x:c r="B3078" s="19" t="str">
        <x:v>GRID70_report.md</x:v>
      </x:c>
      <x:c r="C3078" s="19" t="str">
        <x:v>1. 全部日期</x:v>
      </x:c>
      <x:c r="D3078" s="19" t="str">
        <x:v>日期=2035-12-10_6；FULL/原版/修复版步数=2017/2017/2017</x:v>
      </x:c>
      <x:c r="E3078" s="19" t="str">
        <x:v>FULL/修复版查询</x:v>
      </x:c>
      <x:c r="F3078" s="19" t="str">
        <x:v>12619/4351</x:v>
      </x:c>
      <x:c r="G3078" s="19" t="str">
        <x:v>速度/计算</x:v>
      </x:c>
      <x:c r="H3078" s="19" t="str">
        <x:v>D:/Codex/GRL研究/outputs/grid70/GRID70_report.md</x:v>
      </x:c>
    </x:row>
    <x:row r="3079" ht="36" customHeight="1">
      <x:c r="A3079" s="19" t="str">
        <x:v>GRID70</x:v>
      </x:c>
      <x:c r="B3079" s="19" t="str">
        <x:v>GRID70_report.md</x:v>
      </x:c>
      <x:c r="C3079" s="19" t="str">
        <x:v>1. 全部日期</x:v>
      </x:c>
      <x:c r="D3079" s="19" t="str">
        <x:v>日期=2035-12-10_6；FULL/原版/修复版步数=2017/2017/2017</x:v>
      </x:c>
      <x:c r="E3079" s="19" t="str">
        <x:v>查询减少</x:v>
      </x:c>
      <x:c r="F3079" s="19" t="str">
        <x:v>+65.520%</x:v>
      </x:c>
      <x:c r="G3079" s="19" t="str">
        <x:v>速度/计算</x:v>
      </x:c>
      <x:c r="H3079" s="19" t="str">
        <x:v>D:/Codex/GRL研究/outputs/grid70/GRID70_report.md</x:v>
      </x:c>
    </x:row>
    <x:row r="3080" ht="36" customHeight="1">
      <x:c r="A3080" s="19" t="str">
        <x:v>GRID70</x:v>
      </x:c>
      <x:c r="B3080" s="19" t="str">
        <x:v>GRID70_report.md</x:v>
      </x:c>
      <x:c r="C3080" s="19" t="str">
        <x:v>1. 全部日期</x:v>
      </x:c>
      <x:c r="D3080" s="19" t="str">
        <x:v>日期=2035-12-10_6；FULL/原版/修复版步数=2017/2017/2017</x:v>
      </x:c>
      <x:c r="E3080" s="19" t="str">
        <x:v>质量筛查</x:v>
      </x:c>
      <x:c r="F3080" s="19" t="str">
        <x:v>通过</x:v>
      </x:c>
      <x:c r="G3080" s="19" t="str">
        <x:v>质量/成本</x:v>
      </x:c>
      <x:c r="H3080" s="19" t="str">
        <x:v>D:/Codex/GRL研究/outputs/grid70/GRID70_report.md</x:v>
      </x:c>
    </x:row>
    <x:row r="3081" ht="36" customHeight="1">
      <x:c r="A3081" s="19" t="str">
        <x:v>GRID70</x:v>
      </x:c>
      <x:c r="B3081" s="19" t="str">
        <x:v>GRID70_report.md</x:v>
      </x:c>
      <x:c r="C3081" s="19" t="str">
        <x:v>1. 全部日期</x:v>
      </x:c>
      <x:c r="D3081" s="19" t="str">
        <x:v>日期=2035-03-05_0；FULL/原版/修复版步数=2017/2017/2017</x:v>
      </x:c>
      <x:c r="E3081" s="19" t="str">
        <x:v>FULL/原版/修复版步数</x:v>
      </x:c>
      <x:c r="F3081" s="19" t="str">
        <x:v>2017/2017/2017</x:v>
      </x:c>
      <x:c r="G3081" s="19" t="str">
        <x:v>质量/成本</x:v>
      </x:c>
      <x:c r="H3081" s="19" t="str">
        <x:v>D:/Codex/GRL研究/outputs/grid70/GRID70_report.md</x:v>
      </x:c>
    </x:row>
    <x:row r="3082" ht="36" customHeight="1">
      <x:c r="A3082" s="19" t="str">
        <x:v>GRID70</x:v>
      </x:c>
      <x:c r="B3082" s="19" t="str">
        <x:v>GRID70_report.md</x:v>
      </x:c>
      <x:c r="C3082" s="19" t="str">
        <x:v>1. 全部日期</x:v>
      </x:c>
      <x:c r="D3082" s="19" t="str">
        <x:v>日期=2035-03-05_0；FULL/原版/修复版步数=2017/2017/2017</x:v>
      </x:c>
      <x:c r="E3082" s="19" t="str">
        <x:v>原版成本变化</x:v>
      </x:c>
      <x:c r="F3082" s="19" t="str">
        <x:v>+0.372%</x:v>
      </x:c>
      <x:c r="G3082" s="19" t="str">
        <x:v>质量/成本</x:v>
      </x:c>
      <x:c r="H3082" s="19" t="str">
        <x:v>D:/Codex/GRL研究/outputs/grid70/GRID70_report.md</x:v>
      </x:c>
    </x:row>
    <x:row r="3083" ht="36" customHeight="1">
      <x:c r="A3083" s="19" t="str">
        <x:v>GRID70</x:v>
      </x:c>
      <x:c r="B3083" s="19" t="str">
        <x:v>GRID70_report.md</x:v>
      </x:c>
      <x:c r="C3083" s="19" t="str">
        <x:v>1. 全部日期</x:v>
      </x:c>
      <x:c r="D3083" s="19" t="str">
        <x:v>日期=2035-03-05_0；FULL/原版/修复版步数=2017/2017/2017</x:v>
      </x:c>
      <x:c r="E3083" s="19" t="str">
        <x:v>修复版成本变化</x:v>
      </x:c>
      <x:c r="F3083" s="19" t="str">
        <x:v>+0.372%</x:v>
      </x:c>
      <x:c r="G3083" s="19" t="str">
        <x:v>质量/成本</x:v>
      </x:c>
      <x:c r="H3083" s="19" t="str">
        <x:v>D:/Codex/GRL研究/outputs/grid70/GRID70_report.md</x:v>
      </x:c>
    </x:row>
    <x:row r="3084" ht="36" customHeight="1">
      <x:c r="A3084" s="19" t="str">
        <x:v>GRID70</x:v>
      </x:c>
      <x:c r="B3084" s="19" t="str">
        <x:v>GRID70_report.md</x:v>
      </x:c>
      <x:c r="C3084" s="19" t="str">
        <x:v>1. 全部日期</x:v>
      </x:c>
      <x:c r="D3084" s="19" t="str">
        <x:v>日期=2035-03-05_0；FULL/原版/修复版步数=2017/2017/2017</x:v>
      </x:c>
      <x:c r="E3084" s="19" t="str">
        <x:v>FULL/修复版查询</x:v>
      </x:c>
      <x:c r="F3084" s="19" t="str">
        <x:v>9578/3720</x:v>
      </x:c>
      <x:c r="G3084" s="19" t="str">
        <x:v>速度/计算</x:v>
      </x:c>
      <x:c r="H3084" s="19" t="str">
        <x:v>D:/Codex/GRL研究/outputs/grid70/GRID70_report.md</x:v>
      </x:c>
    </x:row>
    <x:row r="3085" ht="36" customHeight="1">
      <x:c r="A3085" s="19" t="str">
        <x:v>GRID70</x:v>
      </x:c>
      <x:c r="B3085" s="19" t="str">
        <x:v>GRID70_report.md</x:v>
      </x:c>
      <x:c r="C3085" s="19" t="str">
        <x:v>1. 全部日期</x:v>
      </x:c>
      <x:c r="D3085" s="19" t="str">
        <x:v>日期=2035-03-05_0；FULL/原版/修复版步数=2017/2017/2017</x:v>
      </x:c>
      <x:c r="E3085" s="19" t="str">
        <x:v>查询减少</x:v>
      </x:c>
      <x:c r="F3085" s="19" t="str">
        <x:v>+61.161%</x:v>
      </x:c>
      <x:c r="G3085" s="19" t="str">
        <x:v>速度/计算</x:v>
      </x:c>
      <x:c r="H3085" s="19" t="str">
        <x:v>D:/Codex/GRL研究/outputs/grid70/GRID70_report.md</x:v>
      </x:c>
    </x:row>
    <x:row r="3086" ht="36" customHeight="1">
      <x:c r="A3086" s="19" t="str">
        <x:v>GRID70</x:v>
      </x:c>
      <x:c r="B3086" s="19" t="str">
        <x:v>GRID70_report.md</x:v>
      </x:c>
      <x:c r="C3086" s="19" t="str">
        <x:v>1. 全部日期</x:v>
      </x:c>
      <x:c r="D3086" s="19" t="str">
        <x:v>日期=2035-03-05_0；FULL/原版/修复版步数=2017/2017/2017</x:v>
      </x:c>
      <x:c r="E3086" s="19" t="str">
        <x:v>质量筛查</x:v>
      </x:c>
      <x:c r="F3086" s="19" t="str">
        <x:v>通过</x:v>
      </x:c>
      <x:c r="G3086" s="19" t="str">
        <x:v>质量/成本</x:v>
      </x:c>
      <x:c r="H3086" s="19" t="str">
        <x:v>D:/Codex/GRL研究/outputs/grid70/GRID70_report.md</x:v>
      </x:c>
    </x:row>
    <x:row r="3087" ht="36" customHeight="1">
      <x:c r="A3087" s="19" t="str">
        <x:v>GRID70</x:v>
      </x:c>
      <x:c r="B3087" s="19" t="str">
        <x:v>GRID70_report.md</x:v>
      </x:c>
      <x:c r="C3087" s="19" t="str">
        <x:v>1. 全部日期</x:v>
      </x:c>
      <x:c r="D3087" s="19" t="str">
        <x:v>日期=2035-06-25_8；FULL/原版/修复版步数=1901/1901/1901</x:v>
      </x:c>
      <x:c r="E3087" s="19" t="str">
        <x:v>FULL/原版/修复版步数</x:v>
      </x:c>
      <x:c r="F3087" s="19" t="str">
        <x:v>1901/1901/1901</x:v>
      </x:c>
      <x:c r="G3087" s="19" t="str">
        <x:v>质量/成本</x:v>
      </x:c>
      <x:c r="H3087" s="19" t="str">
        <x:v>D:/Codex/GRL研究/outputs/grid70/GRID70_report.md</x:v>
      </x:c>
    </x:row>
    <x:row r="3088" ht="36" customHeight="1">
      <x:c r="A3088" s="19" t="str">
        <x:v>GRID70</x:v>
      </x:c>
      <x:c r="B3088" s="19" t="str">
        <x:v>GRID70_report.md</x:v>
      </x:c>
      <x:c r="C3088" s="19" t="str">
        <x:v>1. 全部日期</x:v>
      </x:c>
      <x:c r="D3088" s="19" t="str">
        <x:v>日期=2035-06-25_8；FULL/原版/修复版步数=1901/1901/1901</x:v>
      </x:c>
      <x:c r="E3088" s="19" t="str">
        <x:v>原版成本变化</x:v>
      </x:c>
      <x:c r="F3088" s="19" t="str">
        <x:v>—</x:v>
      </x:c>
      <x:c r="G3088" s="19" t="str">
        <x:v>质量/成本</x:v>
      </x:c>
      <x:c r="H3088" s="19" t="str">
        <x:v>D:/Codex/GRL研究/outputs/grid70/GRID70_report.md</x:v>
      </x:c>
    </x:row>
    <x:row r="3089" ht="36" customHeight="1">
      <x:c r="A3089" s="19" t="str">
        <x:v>GRID70</x:v>
      </x:c>
      <x:c r="B3089" s="19" t="str">
        <x:v>GRID70_report.md</x:v>
      </x:c>
      <x:c r="C3089" s="19" t="str">
        <x:v>1. 全部日期</x:v>
      </x:c>
      <x:c r="D3089" s="19" t="str">
        <x:v>日期=2035-06-25_8；FULL/原版/修复版步数=1901/1901/1901</x:v>
      </x:c>
      <x:c r="E3089" s="19" t="str">
        <x:v>修复版成本变化</x:v>
      </x:c>
      <x:c r="F3089" s="19" t="str">
        <x:v>—</x:v>
      </x:c>
      <x:c r="G3089" s="19" t="str">
        <x:v>质量/成本</x:v>
      </x:c>
      <x:c r="H3089" s="19" t="str">
        <x:v>D:/Codex/GRL研究/outputs/grid70/GRID70_report.md</x:v>
      </x:c>
    </x:row>
    <x:row r="3090" ht="36" customHeight="1">
      <x:c r="A3090" s="19" t="str">
        <x:v>GRID70</x:v>
      </x:c>
      <x:c r="B3090" s="19" t="str">
        <x:v>GRID70_report.md</x:v>
      </x:c>
      <x:c r="C3090" s="19" t="str">
        <x:v>1. 全部日期</x:v>
      </x:c>
      <x:c r="D3090" s="19" t="str">
        <x:v>日期=2035-06-25_8；FULL/原版/修复版步数=1901/1901/1901</x:v>
      </x:c>
      <x:c r="E3090" s="19" t="str">
        <x:v>FULL/修复版查询</x:v>
      </x:c>
      <x:c r="F3090" s="19" t="str">
        <x:v>4002/1889</x:v>
      </x:c>
      <x:c r="G3090" s="19" t="str">
        <x:v>速度/计算</x:v>
      </x:c>
      <x:c r="H3090" s="19" t="str">
        <x:v>D:/Codex/GRL研究/outputs/grid70/GRID70_report.md</x:v>
      </x:c>
    </x:row>
    <x:row r="3091" ht="36" customHeight="1">
      <x:c r="A3091" s="19" t="str">
        <x:v>GRID70</x:v>
      </x:c>
      <x:c r="B3091" s="19" t="str">
        <x:v>GRID70_report.md</x:v>
      </x:c>
      <x:c r="C3091" s="19" t="str">
        <x:v>1. 全部日期</x:v>
      </x:c>
      <x:c r="D3091" s="19" t="str">
        <x:v>日期=2035-06-25_8；FULL/原版/修复版步数=1901/1901/1901</x:v>
      </x:c>
      <x:c r="E3091" s="19" t="str">
        <x:v>查询减少</x:v>
      </x:c>
      <x:c r="F3091" s="19" t="str">
        <x:v>+52.799%</x:v>
      </x:c>
      <x:c r="G3091" s="19" t="str">
        <x:v>速度/计算</x:v>
      </x:c>
      <x:c r="H3091" s="19" t="str">
        <x:v>D:/Codex/GRL研究/outputs/grid70/GRID70_report.md</x:v>
      </x:c>
    </x:row>
    <x:row r="3092" ht="36" customHeight="1">
      <x:c r="A3092" s="19" t="str">
        <x:v>GRID70</x:v>
      </x:c>
      <x:c r="B3092" s="19" t="str">
        <x:v>GRID70_report.md</x:v>
      </x:c>
      <x:c r="C3092" s="19" t="str">
        <x:v>1. 全部日期</x:v>
      </x:c>
      <x:c r="D3092" s="19" t="str">
        <x:v>日期=2035-06-25_8；FULL/原版/修复版步数=1901/1901/1901</x:v>
      </x:c>
      <x:c r="E3092" s="19" t="str">
        <x:v>质量筛查</x:v>
      </x:c>
      <x:c r="F3092" s="19" t="str">
        <x:v>通过</x:v>
      </x:c>
      <x:c r="G3092" s="19" t="str">
        <x:v>质量/成本</x:v>
      </x:c>
      <x:c r="H3092" s="19" t="str">
        <x:v>D:/Codex/GRL研究/outputs/grid70/GRID70_report.md</x:v>
      </x:c>
    </x:row>
    <x:row r="3093" ht="36" customHeight="1">
      <x:c r="A3093" s="19" t="str">
        <x:v>GRID70</x:v>
      </x:c>
      <x:c r="B3093" s="19" t="str">
        <x:v>GRID70_report.md</x:v>
      </x:c>
      <x:c r="C3093" s="19" t="str">
        <x:v>1. 全部日期</x:v>
      </x:c>
      <x:c r="D3093" s="19" t="str">
        <x:v>日期=2035-09-03_4；FULL/原版/修复版步数=2017/2017/2017</x:v>
      </x:c>
      <x:c r="E3093" s="19" t="str">
        <x:v>FULL/原版/修复版步数</x:v>
      </x:c>
      <x:c r="F3093" s="19" t="str">
        <x:v>2017/2017/2017</x:v>
      </x:c>
      <x:c r="G3093" s="19" t="str">
        <x:v>质量/成本</x:v>
      </x:c>
      <x:c r="H3093" s="19" t="str">
        <x:v>D:/Codex/GRL研究/outputs/grid70/GRID70_report.md</x:v>
      </x:c>
    </x:row>
    <x:row r="3094" ht="36" customHeight="1">
      <x:c r="A3094" s="19" t="str">
        <x:v>GRID70</x:v>
      </x:c>
      <x:c r="B3094" s="19" t="str">
        <x:v>GRID70_report.md</x:v>
      </x:c>
      <x:c r="C3094" s="19" t="str">
        <x:v>1. 全部日期</x:v>
      </x:c>
      <x:c r="D3094" s="19" t="str">
        <x:v>日期=2035-09-03_4；FULL/原版/修复版步数=2017/2017/2017</x:v>
      </x:c>
      <x:c r="E3094" s="19" t="str">
        <x:v>原版成本变化</x:v>
      </x:c>
      <x:c r="F3094" s="19" t="str">
        <x:v>-1.867%</x:v>
      </x:c>
      <x:c r="G3094" s="19" t="str">
        <x:v>质量/成本</x:v>
      </x:c>
      <x:c r="H3094" s="19" t="str">
        <x:v>D:/Codex/GRL研究/outputs/grid70/GRID70_report.md</x:v>
      </x:c>
    </x:row>
    <x:row r="3095" ht="36" customHeight="1">
      <x:c r="A3095" s="19" t="str">
        <x:v>GRID70</x:v>
      </x:c>
      <x:c r="B3095" s="19" t="str">
        <x:v>GRID70_report.md</x:v>
      </x:c>
      <x:c r="C3095" s="19" t="str">
        <x:v>1. 全部日期</x:v>
      </x:c>
      <x:c r="D3095" s="19" t="str">
        <x:v>日期=2035-09-03_4；FULL/原版/修复版步数=2017/2017/2017</x:v>
      </x:c>
      <x:c r="E3095" s="19" t="str">
        <x:v>修复版成本变化</x:v>
      </x:c>
      <x:c r="F3095" s="19" t="str">
        <x:v>-1.867%</x:v>
      </x:c>
      <x:c r="G3095" s="19" t="str">
        <x:v>质量/成本</x:v>
      </x:c>
      <x:c r="H3095" s="19" t="str">
        <x:v>D:/Codex/GRL研究/outputs/grid70/GRID70_report.md</x:v>
      </x:c>
    </x:row>
    <x:row r="3096" ht="36" customHeight="1">
      <x:c r="A3096" s="19" t="str">
        <x:v>GRID70</x:v>
      </x:c>
      <x:c r="B3096" s="19" t="str">
        <x:v>GRID70_report.md</x:v>
      </x:c>
      <x:c r="C3096" s="19" t="str">
        <x:v>1. 全部日期</x:v>
      </x:c>
      <x:c r="D3096" s="19" t="str">
        <x:v>日期=2035-09-03_4；FULL/原版/修复版步数=2017/2017/2017</x:v>
      </x:c>
      <x:c r="E3096" s="19" t="str">
        <x:v>FULL/修复版查询</x:v>
      </x:c>
      <x:c r="F3096" s="19" t="str">
        <x:v>7200/2987</x:v>
      </x:c>
      <x:c r="G3096" s="19" t="str">
        <x:v>速度/计算</x:v>
      </x:c>
      <x:c r="H3096" s="19" t="str">
        <x:v>D:/Codex/GRL研究/outputs/grid70/GRID70_report.md</x:v>
      </x:c>
    </x:row>
    <x:row r="3097" ht="36" customHeight="1">
      <x:c r="A3097" s="19" t="str">
        <x:v>GRID70</x:v>
      </x:c>
      <x:c r="B3097" s="19" t="str">
        <x:v>GRID70_report.md</x:v>
      </x:c>
      <x:c r="C3097" s="19" t="str">
        <x:v>1. 全部日期</x:v>
      </x:c>
      <x:c r="D3097" s="19" t="str">
        <x:v>日期=2035-09-03_4；FULL/原版/修复版步数=2017/2017/2017</x:v>
      </x:c>
      <x:c r="E3097" s="19" t="str">
        <x:v>查询减少</x:v>
      </x:c>
      <x:c r="F3097" s="19" t="str">
        <x:v>+58.514%</x:v>
      </x:c>
      <x:c r="G3097" s="19" t="str">
        <x:v>速度/计算</x:v>
      </x:c>
      <x:c r="H3097" s="19" t="str">
        <x:v>D:/Codex/GRL研究/outputs/grid70/GRID70_report.md</x:v>
      </x:c>
    </x:row>
    <x:row r="3098" ht="36" customHeight="1">
      <x:c r="A3098" s="19" t="str">
        <x:v>GRID70</x:v>
      </x:c>
      <x:c r="B3098" s="19" t="str">
        <x:v>GRID70_report.md</x:v>
      </x:c>
      <x:c r="C3098" s="19" t="str">
        <x:v>1. 全部日期</x:v>
      </x:c>
      <x:c r="D3098" s="19" t="str">
        <x:v>日期=2035-09-03_4；FULL/原版/修复版步数=2017/2017/2017</x:v>
      </x:c>
      <x:c r="E3098" s="19" t="str">
        <x:v>质量筛查</x:v>
      </x:c>
      <x:c r="F3098" s="19" t="str">
        <x:v>通过</x:v>
      </x:c>
      <x:c r="G3098" s="19" t="str">
        <x:v>质量/成本</x:v>
      </x:c>
      <x:c r="H3098" s="19" t="str">
        <x:v>D:/Codex/GRL研究/outputs/grid70/GRID70_report.md</x:v>
      </x:c>
    </x:row>
    <x:row r="3099" ht="36" customHeight="1">
      <x:c r="A3099" s="19" t="str">
        <x:v>GRID70</x:v>
      </x:c>
      <x:c r="B3099" s="19" t="str">
        <x:v>GRID70_report.md</x:v>
      </x:c>
      <x:c r="C3099" s="19" t="str">
        <x:v>1. 全部日期</x:v>
      </x:c>
      <x:c r="D3099" s="19" t="str">
        <x:v>日期=2035-10-01_5；FULL/原版/修复版步数=2017/2017/2017</x:v>
      </x:c>
      <x:c r="E3099" s="19" t="str">
        <x:v>FULL/原版/修复版步数</x:v>
      </x:c>
      <x:c r="F3099" s="19" t="str">
        <x:v>2017/2017/2017</x:v>
      </x:c>
      <x:c r="G3099" s="19" t="str">
        <x:v>质量/成本</x:v>
      </x:c>
      <x:c r="H3099" s="19" t="str">
        <x:v>D:/Codex/GRL研究/outputs/grid70/GRID70_report.md</x:v>
      </x:c>
    </x:row>
    <x:row r="3100" ht="36" customHeight="1">
      <x:c r="A3100" s="19" t="str">
        <x:v>GRID70</x:v>
      </x:c>
      <x:c r="B3100" s="19" t="str">
        <x:v>GRID70_report.md</x:v>
      </x:c>
      <x:c r="C3100" s="19" t="str">
        <x:v>1. 全部日期</x:v>
      </x:c>
      <x:c r="D3100" s="19" t="str">
        <x:v>日期=2035-10-01_5；FULL/原版/修复版步数=2017/2017/2017</x:v>
      </x:c>
      <x:c r="E3100" s="19" t="str">
        <x:v>原版成本变化</x:v>
      </x:c>
      <x:c r="F3100" s="19" t="str">
        <x:v>+0.000%</x:v>
      </x:c>
      <x:c r="G3100" s="19" t="str">
        <x:v>质量/成本</x:v>
      </x:c>
      <x:c r="H3100" s="19" t="str">
        <x:v>D:/Codex/GRL研究/outputs/grid70/GRID70_report.md</x:v>
      </x:c>
    </x:row>
    <x:row r="3101" ht="36" customHeight="1">
      <x:c r="A3101" s="19" t="str">
        <x:v>GRID70</x:v>
      </x:c>
      <x:c r="B3101" s="19" t="str">
        <x:v>GRID70_report.md</x:v>
      </x:c>
      <x:c r="C3101" s="19" t="str">
        <x:v>1. 全部日期</x:v>
      </x:c>
      <x:c r="D3101" s="19" t="str">
        <x:v>日期=2035-10-01_5；FULL/原版/修复版步数=2017/2017/2017</x:v>
      </x:c>
      <x:c r="E3101" s="19" t="str">
        <x:v>修复版成本变化</x:v>
      </x:c>
      <x:c r="F3101" s="19" t="str">
        <x:v>+0.000%</x:v>
      </x:c>
      <x:c r="G3101" s="19" t="str">
        <x:v>质量/成本</x:v>
      </x:c>
      <x:c r="H3101" s="19" t="str">
        <x:v>D:/Codex/GRL研究/outputs/grid70/GRID70_report.md</x:v>
      </x:c>
    </x:row>
    <x:row r="3102" ht="36" customHeight="1">
      <x:c r="A3102" s="19" t="str">
        <x:v>GRID70</x:v>
      </x:c>
      <x:c r="B3102" s="19" t="str">
        <x:v>GRID70_report.md</x:v>
      </x:c>
      <x:c r="C3102" s="19" t="str">
        <x:v>1. 全部日期</x:v>
      </x:c>
      <x:c r="D3102" s="19" t="str">
        <x:v>日期=2035-10-01_5；FULL/原版/修复版步数=2017/2017/2017</x:v>
      </x:c>
      <x:c r="E3102" s="19" t="str">
        <x:v>FULL/修复版查询</x:v>
      </x:c>
      <x:c r="F3102" s="19" t="str">
        <x:v>1817/512</x:v>
      </x:c>
      <x:c r="G3102" s="19" t="str">
        <x:v>速度/计算</x:v>
      </x:c>
      <x:c r="H3102" s="19" t="str">
        <x:v>D:/Codex/GRL研究/outputs/grid70/GRID70_report.md</x:v>
      </x:c>
    </x:row>
    <x:row r="3103" ht="36" customHeight="1">
      <x:c r="A3103" s="19" t="str">
        <x:v>GRID70</x:v>
      </x:c>
      <x:c r="B3103" s="19" t="str">
        <x:v>GRID70_report.md</x:v>
      </x:c>
      <x:c r="C3103" s="19" t="str">
        <x:v>1. 全部日期</x:v>
      </x:c>
      <x:c r="D3103" s="19" t="str">
        <x:v>日期=2035-10-01_5；FULL/原版/修复版步数=2017/2017/2017</x:v>
      </x:c>
      <x:c r="E3103" s="19" t="str">
        <x:v>查询减少</x:v>
      </x:c>
      <x:c r="F3103" s="19" t="str">
        <x:v>+71.822%</x:v>
      </x:c>
      <x:c r="G3103" s="19" t="str">
        <x:v>速度/计算</x:v>
      </x:c>
      <x:c r="H3103" s="19" t="str">
        <x:v>D:/Codex/GRL研究/outputs/grid70/GRID70_report.md</x:v>
      </x:c>
    </x:row>
    <x:row r="3104" ht="36" customHeight="1">
      <x:c r="A3104" s="19" t="str">
        <x:v>GRID70</x:v>
      </x:c>
      <x:c r="B3104" s="19" t="str">
        <x:v>GRID70_report.md</x:v>
      </x:c>
      <x:c r="C3104" s="19" t="str">
        <x:v>1. 全部日期</x:v>
      </x:c>
      <x:c r="D3104" s="19" t="str">
        <x:v>日期=2035-10-01_5；FULL/原版/修复版步数=2017/2017/2017</x:v>
      </x:c>
      <x:c r="E3104" s="19" t="str">
        <x:v>质量筛查</x:v>
      </x:c>
      <x:c r="F3104" s="19" t="str">
        <x:v>通过</x:v>
      </x:c>
      <x:c r="G3104" s="19" t="str">
        <x:v>质量/成本</x:v>
      </x:c>
      <x:c r="H3104" s="19" t="str">
        <x:v>D:/Codex/GRL研究/outputs/grid70/GRID70_report.md</x:v>
      </x:c>
    </x:row>
    <x:row r="3105" ht="36" customHeight="1">
      <x:c r="A3105" s="19" t="str">
        <x:v>GRID70</x:v>
      </x:c>
      <x:c r="B3105" s="19" t="str">
        <x:v>GRID70_report.md</x:v>
      </x:c>
      <x:c r="C3105" s="19" t="str">
        <x:v>1. 全部日期</x:v>
      </x:c>
      <x:c r="D3105" s="19" t="str">
        <x:v>日期=2035-04-09_3；FULL/原版/修复版步数=2017/2017/2017</x:v>
      </x:c>
      <x:c r="E3105" s="19" t="str">
        <x:v>FULL/原版/修复版步数</x:v>
      </x:c>
      <x:c r="F3105" s="19" t="str">
        <x:v>2017/2017/2017</x:v>
      </x:c>
      <x:c r="G3105" s="19" t="str">
        <x:v>质量/成本</x:v>
      </x:c>
      <x:c r="H3105" s="19" t="str">
        <x:v>D:/Codex/GRL研究/outputs/grid70/GRID70_report.md</x:v>
      </x:c>
    </x:row>
    <x:row r="3106" ht="36" customHeight="1">
      <x:c r="A3106" s="19" t="str">
        <x:v>GRID70</x:v>
      </x:c>
      <x:c r="B3106" s="19" t="str">
        <x:v>GRID70_report.md</x:v>
      </x:c>
      <x:c r="C3106" s="19" t="str">
        <x:v>1. 全部日期</x:v>
      </x:c>
      <x:c r="D3106" s="19" t="str">
        <x:v>日期=2035-04-09_3；FULL/原版/修复版步数=2017/2017/2017</x:v>
      </x:c>
      <x:c r="E3106" s="19" t="str">
        <x:v>原版成本变化</x:v>
      </x:c>
      <x:c r="F3106" s="19" t="str">
        <x:v>-1.328%</x:v>
      </x:c>
      <x:c r="G3106" s="19" t="str">
        <x:v>质量/成本</x:v>
      </x:c>
      <x:c r="H3106" s="19" t="str">
        <x:v>D:/Codex/GRL研究/outputs/grid70/GRID70_report.md</x:v>
      </x:c>
    </x:row>
    <x:row r="3107" ht="36" customHeight="1">
      <x:c r="A3107" s="19" t="str">
        <x:v>GRID70</x:v>
      </x:c>
      <x:c r="B3107" s="19" t="str">
        <x:v>GRID70_report.md</x:v>
      </x:c>
      <x:c r="C3107" s="19" t="str">
        <x:v>1. 全部日期</x:v>
      </x:c>
      <x:c r="D3107" s="19" t="str">
        <x:v>日期=2035-04-09_3；FULL/原版/修复版步数=2017/2017/2017</x:v>
      </x:c>
      <x:c r="E3107" s="19" t="str">
        <x:v>修复版成本变化</x:v>
      </x:c>
      <x:c r="F3107" s="19" t="str">
        <x:v>-1.389%</x:v>
      </x:c>
      <x:c r="G3107" s="19" t="str">
        <x:v>质量/成本</x:v>
      </x:c>
      <x:c r="H3107" s="19" t="str">
        <x:v>D:/Codex/GRL研究/outputs/grid70/GRID70_report.md</x:v>
      </x:c>
    </x:row>
    <x:row r="3108" ht="36" customHeight="1">
      <x:c r="A3108" s="19" t="str">
        <x:v>GRID70</x:v>
      </x:c>
      <x:c r="B3108" s="19" t="str">
        <x:v>GRID70_report.md</x:v>
      </x:c>
      <x:c r="C3108" s="19" t="str">
        <x:v>1. 全部日期</x:v>
      </x:c>
      <x:c r="D3108" s="19" t="str">
        <x:v>日期=2035-04-09_3；FULL/原版/修复版步数=2017/2017/2017</x:v>
      </x:c>
      <x:c r="E3108" s="19" t="str">
        <x:v>FULL/修复版查询</x:v>
      </x:c>
      <x:c r="F3108" s="19" t="str">
        <x:v>5445/1589</x:v>
      </x:c>
      <x:c r="G3108" s="19" t="str">
        <x:v>速度/计算</x:v>
      </x:c>
      <x:c r="H3108" s="19" t="str">
        <x:v>D:/Codex/GRL研究/outputs/grid70/GRID70_report.md</x:v>
      </x:c>
    </x:row>
    <x:row r="3109" ht="36" customHeight="1">
      <x:c r="A3109" s="19" t="str">
        <x:v>GRID70</x:v>
      </x:c>
      <x:c r="B3109" s="19" t="str">
        <x:v>GRID70_report.md</x:v>
      </x:c>
      <x:c r="C3109" s="19" t="str">
        <x:v>1. 全部日期</x:v>
      </x:c>
      <x:c r="D3109" s="19" t="str">
        <x:v>日期=2035-04-09_3；FULL/原版/修复版步数=2017/2017/2017</x:v>
      </x:c>
      <x:c r="E3109" s="19" t="str">
        <x:v>查询减少</x:v>
      </x:c>
      <x:c r="F3109" s="19" t="str">
        <x:v>+70.817%</x:v>
      </x:c>
      <x:c r="G3109" s="19" t="str">
        <x:v>速度/计算</x:v>
      </x:c>
      <x:c r="H3109" s="19" t="str">
        <x:v>D:/Codex/GRL研究/outputs/grid70/GRID70_report.md</x:v>
      </x:c>
    </x:row>
    <x:row r="3110" ht="36" customHeight="1">
      <x:c r="A3110" s="19" t="str">
        <x:v>GRID70</x:v>
      </x:c>
      <x:c r="B3110" s="19" t="str">
        <x:v>GRID70_report.md</x:v>
      </x:c>
      <x:c r="C3110" s="19" t="str">
        <x:v>1. 全部日期</x:v>
      </x:c>
      <x:c r="D3110" s="19" t="str">
        <x:v>日期=2035-04-09_3；FULL/原版/修复版步数=2017/2017/2017</x:v>
      </x:c>
      <x:c r="E3110" s="19" t="str">
        <x:v>质量筛查</x:v>
      </x:c>
      <x:c r="F3110" s="19" t="str">
        <x:v>通过</x:v>
      </x:c>
      <x:c r="G3110" s="19" t="str">
        <x:v>质量/成本</x:v>
      </x:c>
      <x:c r="H3110" s="19" t="str">
        <x:v>D:/Codex/GRL研究/outputs/grid70/GRID70_report.md</x:v>
      </x:c>
    </x:row>
    <x:row r="3111" ht="36" customHeight="1">
      <x:c r="A3111" s="19" t="str">
        <x:v>GRID70</x:v>
      </x:c>
      <x:c r="B3111" s="19" t="str">
        <x:v>GRID70_report.md</x:v>
      </x:c>
      <x:c r="C3111" s="19" t="str">
        <x:v>1. 全部日期</x:v>
      </x:c>
      <x:c r="D3111" s="19" t="str">
        <x:v>日期=2035-05-14_14；FULL/原版/修复版步数=747/747/747</x:v>
      </x:c>
      <x:c r="E3111" s="19" t="str">
        <x:v>FULL/原版/修复版步数</x:v>
      </x:c>
      <x:c r="F3111" s="19" t="str">
        <x:v>747/747/747</x:v>
      </x:c>
      <x:c r="G3111" s="19" t="str">
        <x:v>质量/成本</x:v>
      </x:c>
      <x:c r="H3111" s="19" t="str">
        <x:v>D:/Codex/GRL研究/outputs/grid70/GRID70_report.md</x:v>
      </x:c>
    </x:row>
    <x:row r="3112" ht="36" customHeight="1">
      <x:c r="A3112" s="19" t="str">
        <x:v>GRID70</x:v>
      </x:c>
      <x:c r="B3112" s="19" t="str">
        <x:v>GRID70_report.md</x:v>
      </x:c>
      <x:c r="C3112" s="19" t="str">
        <x:v>1. 全部日期</x:v>
      </x:c>
      <x:c r="D3112" s="19" t="str">
        <x:v>日期=2035-05-14_14；FULL/原版/修复版步数=747/747/747</x:v>
      </x:c>
      <x:c r="E3112" s="19" t="str">
        <x:v>原版成本变化</x:v>
      </x:c>
      <x:c r="F3112" s="19" t="str">
        <x:v>—</x:v>
      </x:c>
      <x:c r="G3112" s="19" t="str">
        <x:v>质量/成本</x:v>
      </x:c>
      <x:c r="H3112" s="19" t="str">
        <x:v>D:/Codex/GRL研究/outputs/grid70/GRID70_report.md</x:v>
      </x:c>
    </x:row>
    <x:row r="3113" ht="36" customHeight="1">
      <x:c r="A3113" s="19" t="str">
        <x:v>GRID70</x:v>
      </x:c>
      <x:c r="B3113" s="19" t="str">
        <x:v>GRID70_report.md</x:v>
      </x:c>
      <x:c r="C3113" s="19" t="str">
        <x:v>1. 全部日期</x:v>
      </x:c>
      <x:c r="D3113" s="19" t="str">
        <x:v>日期=2035-05-14_14；FULL/原版/修复版步数=747/747/747</x:v>
      </x:c>
      <x:c r="E3113" s="19" t="str">
        <x:v>修复版成本变化</x:v>
      </x:c>
      <x:c r="F3113" s="19" t="str">
        <x:v>—</x:v>
      </x:c>
      <x:c r="G3113" s="19" t="str">
        <x:v>质量/成本</x:v>
      </x:c>
      <x:c r="H3113" s="19" t="str">
        <x:v>D:/Codex/GRL研究/outputs/grid70/GRID70_report.md</x:v>
      </x:c>
    </x:row>
    <x:row r="3114" ht="36" customHeight="1">
      <x:c r="A3114" s="19" t="str">
        <x:v>GRID70</x:v>
      </x:c>
      <x:c r="B3114" s="19" t="str">
        <x:v>GRID70_report.md</x:v>
      </x:c>
      <x:c r="C3114" s="19" t="str">
        <x:v>1. 全部日期</x:v>
      </x:c>
      <x:c r="D3114" s="19" t="str">
        <x:v>日期=2035-05-14_14；FULL/原版/修复版步数=747/747/747</x:v>
      </x:c>
      <x:c r="E3114" s="19" t="str">
        <x:v>FULL/修复版查询</x:v>
      </x:c>
      <x:c r="F3114" s="19" t="str">
        <x:v>0/0</x:v>
      </x:c>
      <x:c r="G3114" s="19" t="str">
        <x:v>速度/计算</x:v>
      </x:c>
      <x:c r="H3114" s="19" t="str">
        <x:v>D:/Codex/GRL研究/outputs/grid70/GRID70_report.md</x:v>
      </x:c>
    </x:row>
    <x:row r="3115" ht="36" customHeight="1">
      <x:c r="A3115" s="19" t="str">
        <x:v>GRID70</x:v>
      </x:c>
      <x:c r="B3115" s="19" t="str">
        <x:v>GRID70_report.md</x:v>
      </x:c>
      <x:c r="C3115" s="19" t="str">
        <x:v>1. 全部日期</x:v>
      </x:c>
      <x:c r="D3115" s="19" t="str">
        <x:v>日期=2035-05-14_14；FULL/原版/修复版步数=747/747/747</x:v>
      </x:c>
      <x:c r="E3115" s="19" t="str">
        <x:v>查询减少</x:v>
      </x:c>
      <x:c r="F3115" s="19" t="str">
        <x:v>—</x:v>
      </x:c>
      <x:c r="G3115" s="19" t="str">
        <x:v>速度/计算</x:v>
      </x:c>
      <x:c r="H3115" s="19" t="str">
        <x:v>D:/Codex/GRL研究/outputs/grid70/GRID70_report.md</x:v>
      </x:c>
    </x:row>
    <x:row r="3116" ht="36" customHeight="1">
      <x:c r="A3116" s="19" t="str">
        <x:v>GRID70</x:v>
      </x:c>
      <x:c r="B3116" s="19" t="str">
        <x:v>GRID70_report.md</x:v>
      </x:c>
      <x:c r="C3116" s="19" t="str">
        <x:v>1. 全部日期</x:v>
      </x:c>
      <x:c r="D3116" s="19" t="str">
        <x:v>日期=2035-05-14_14；FULL/原版/修复版步数=747/747/747</x:v>
      </x:c>
      <x:c r="E3116" s="19" t="str">
        <x:v>质量筛查</x:v>
      </x:c>
      <x:c r="F3116" s="19" t="str">
        <x:v>通过</x:v>
      </x:c>
      <x:c r="G3116" s="19" t="str">
        <x:v>质量/成本</x:v>
      </x:c>
      <x:c r="H3116" s="19" t="str">
        <x:v>D:/Codex/GRL研究/outputs/grid70/GRID70_report.md</x:v>
      </x:c>
    </x:row>
    <x:row r="3117" ht="36" customHeight="1">
      <x:c r="A3117" s="19" t="str">
        <x:v>GRID70</x:v>
      </x:c>
      <x:c r="B3117" s="19" t="str">
        <x:v>GRID70_report.md</x:v>
      </x:c>
      <x:c r="C3117" s="19" t="str">
        <x:v>1. 全部日期</x:v>
      </x:c>
      <x:c r="D3117" s="19" t="str">
        <x:v>日期=2035-11-19_0；FULL/原版/修复版步数=2017/2017/2017</x:v>
      </x:c>
      <x:c r="E3117" s="19" t="str">
        <x:v>FULL/原版/修复版步数</x:v>
      </x:c>
      <x:c r="F3117" s="19" t="str">
        <x:v>2017/2017/2017</x:v>
      </x:c>
      <x:c r="G3117" s="19" t="str">
        <x:v>质量/成本</x:v>
      </x:c>
      <x:c r="H3117" s="19" t="str">
        <x:v>D:/Codex/GRL研究/outputs/grid70/GRID70_report.md</x:v>
      </x:c>
    </x:row>
    <x:row r="3118" ht="36" customHeight="1">
      <x:c r="A3118" s="19" t="str">
        <x:v>GRID70</x:v>
      </x:c>
      <x:c r="B3118" s="19" t="str">
        <x:v>GRID70_report.md</x:v>
      </x:c>
      <x:c r="C3118" s="19" t="str">
        <x:v>1. 全部日期</x:v>
      </x:c>
      <x:c r="D3118" s="19" t="str">
        <x:v>日期=2035-11-19_0；FULL/原版/修复版步数=2017/2017/2017</x:v>
      </x:c>
      <x:c r="E3118" s="19" t="str">
        <x:v>原版成本变化</x:v>
      </x:c>
      <x:c r="F3118" s="19" t="str">
        <x:v>+0.014%</x:v>
      </x:c>
      <x:c r="G3118" s="19" t="str">
        <x:v>质量/成本</x:v>
      </x:c>
      <x:c r="H3118" s="19" t="str">
        <x:v>D:/Codex/GRL研究/outputs/grid70/GRID70_report.md</x:v>
      </x:c>
    </x:row>
    <x:row r="3119" ht="36" customHeight="1">
      <x:c r="A3119" s="19" t="str">
        <x:v>GRID70</x:v>
      </x:c>
      <x:c r="B3119" s="19" t="str">
        <x:v>GRID70_report.md</x:v>
      </x:c>
      <x:c r="C3119" s="19" t="str">
        <x:v>1. 全部日期</x:v>
      </x:c>
      <x:c r="D3119" s="19" t="str">
        <x:v>日期=2035-11-19_0；FULL/原版/修复版步数=2017/2017/2017</x:v>
      </x:c>
      <x:c r="E3119" s="19" t="str">
        <x:v>修复版成本变化</x:v>
      </x:c>
      <x:c r="F3119" s="19" t="str">
        <x:v>-0.023%</x:v>
      </x:c>
      <x:c r="G3119" s="19" t="str">
        <x:v>质量/成本</x:v>
      </x:c>
      <x:c r="H3119" s="19" t="str">
        <x:v>D:/Codex/GRL研究/outputs/grid70/GRID70_report.md</x:v>
      </x:c>
    </x:row>
    <x:row r="3120" ht="36" customHeight="1">
      <x:c r="A3120" s="19" t="str">
        <x:v>GRID70</x:v>
      </x:c>
      <x:c r="B3120" s="19" t="str">
        <x:v>GRID70_report.md</x:v>
      </x:c>
      <x:c r="C3120" s="19" t="str">
        <x:v>1. 全部日期</x:v>
      </x:c>
      <x:c r="D3120" s="19" t="str">
        <x:v>日期=2035-11-19_0；FULL/原版/修复版步数=2017/2017/2017</x:v>
      </x:c>
      <x:c r="E3120" s="19" t="str">
        <x:v>FULL/修复版查询</x:v>
      </x:c>
      <x:c r="F3120" s="19" t="str">
        <x:v>2680/921</x:v>
      </x:c>
      <x:c r="G3120" s="19" t="str">
        <x:v>速度/计算</x:v>
      </x:c>
      <x:c r="H3120" s="19" t="str">
        <x:v>D:/Codex/GRL研究/outputs/grid70/GRID70_report.md</x:v>
      </x:c>
    </x:row>
    <x:row r="3121" ht="36" customHeight="1">
      <x:c r="A3121" s="19" t="str">
        <x:v>GRID70</x:v>
      </x:c>
      <x:c r="B3121" s="19" t="str">
        <x:v>GRID70_report.md</x:v>
      </x:c>
      <x:c r="C3121" s="19" t="str">
        <x:v>1. 全部日期</x:v>
      </x:c>
      <x:c r="D3121" s="19" t="str">
        <x:v>日期=2035-11-19_0；FULL/原版/修复版步数=2017/2017/2017</x:v>
      </x:c>
      <x:c r="E3121" s="19" t="str">
        <x:v>查询减少</x:v>
      </x:c>
      <x:c r="F3121" s="19" t="str">
        <x:v>+65.634%</x:v>
      </x:c>
      <x:c r="G3121" s="19" t="str">
        <x:v>速度/计算</x:v>
      </x:c>
      <x:c r="H3121" s="19" t="str">
        <x:v>D:/Codex/GRL研究/outputs/grid70/GRID70_report.md</x:v>
      </x:c>
    </x:row>
    <x:row r="3122" ht="36" customHeight="1">
      <x:c r="A3122" s="19" t="str">
        <x:v>GRID70</x:v>
      </x:c>
      <x:c r="B3122" s="19" t="str">
        <x:v>GRID70_report.md</x:v>
      </x:c>
      <x:c r="C3122" s="19" t="str">
        <x:v>1. 全部日期</x:v>
      </x:c>
      <x:c r="D3122" s="19" t="str">
        <x:v>日期=2035-11-19_0；FULL/原版/修复版步数=2017/2017/2017</x:v>
      </x:c>
      <x:c r="E3122" s="19" t="str">
        <x:v>质量筛查</x:v>
      </x:c>
      <x:c r="F3122" s="19" t="str">
        <x:v>通过</x:v>
      </x:c>
      <x:c r="G3122" s="19" t="str">
        <x:v>质量/成本</x:v>
      </x:c>
      <x:c r="H3122" s="19" t="str">
        <x:v>D:/Codex/GRL研究/outputs/grid70/GRID70_report.md</x:v>
      </x:c>
    </x:row>
    <x:row r="3123" ht="36" customHeight="1">
      <x:c r="A3123" s="19" t="str">
        <x:v>GRID70</x:v>
      </x:c>
      <x:c r="B3123" s="19" t="str">
        <x:v>GRID70_report.md</x:v>
      </x:c>
      <x:c r="C3123" s="19" t="str">
        <x:v>1. 全部日期</x:v>
      </x:c>
      <x:c r="D3123" s="19" t="str">
        <x:v>日期=2035-01-01_8；FULL/原版/修复版步数=2017/2017/2017</x:v>
      </x:c>
      <x:c r="E3123" s="19" t="str">
        <x:v>FULL/原版/修复版步数</x:v>
      </x:c>
      <x:c r="F3123" s="19" t="str">
        <x:v>2017/2017/2017</x:v>
      </x:c>
      <x:c r="G3123" s="19" t="str">
        <x:v>质量/成本</x:v>
      </x:c>
      <x:c r="H3123" s="19" t="str">
        <x:v>D:/Codex/GRL研究/outputs/grid70/GRID70_report.md</x:v>
      </x:c>
    </x:row>
    <x:row r="3124" ht="36" customHeight="1">
      <x:c r="A3124" s="19" t="str">
        <x:v>GRID70</x:v>
      </x:c>
      <x:c r="B3124" s="19" t="str">
        <x:v>GRID70_report.md</x:v>
      </x:c>
      <x:c r="C3124" s="19" t="str">
        <x:v>1. 全部日期</x:v>
      </x:c>
      <x:c r="D3124" s="19" t="str">
        <x:v>日期=2035-01-01_8；FULL/原版/修复版步数=2017/2017/2017</x:v>
      </x:c>
      <x:c r="E3124" s="19" t="str">
        <x:v>原版成本变化</x:v>
      </x:c>
      <x:c r="F3124" s="19" t="str">
        <x:v>-1.517%</x:v>
      </x:c>
      <x:c r="G3124" s="19" t="str">
        <x:v>质量/成本</x:v>
      </x:c>
      <x:c r="H3124" s="19" t="str">
        <x:v>D:/Codex/GRL研究/outputs/grid70/GRID70_report.md</x:v>
      </x:c>
    </x:row>
    <x:row r="3125" ht="36" customHeight="1">
      <x:c r="A3125" s="19" t="str">
        <x:v>GRID70</x:v>
      </x:c>
      <x:c r="B3125" s="19" t="str">
        <x:v>GRID70_report.md</x:v>
      </x:c>
      <x:c r="C3125" s="19" t="str">
        <x:v>1. 全部日期</x:v>
      </x:c>
      <x:c r="D3125" s="19" t="str">
        <x:v>日期=2035-01-01_8；FULL/原版/修复版步数=2017/2017/2017</x:v>
      </x:c>
      <x:c r="E3125" s="19" t="str">
        <x:v>修复版成本变化</x:v>
      </x:c>
      <x:c r="F3125" s="19" t="str">
        <x:v>+0.000%</x:v>
      </x:c>
      <x:c r="G3125" s="19" t="str">
        <x:v>质量/成本</x:v>
      </x:c>
      <x:c r="H3125" s="19" t="str">
        <x:v>D:/Codex/GRL研究/outputs/grid70/GRID70_report.md</x:v>
      </x:c>
    </x:row>
    <x:row r="3126" ht="36" customHeight="1">
      <x:c r="A3126" s="19" t="str">
        <x:v>GRID70</x:v>
      </x:c>
      <x:c r="B3126" s="19" t="str">
        <x:v>GRID70_report.md</x:v>
      </x:c>
      <x:c r="C3126" s="19" t="str">
        <x:v>1. 全部日期</x:v>
      </x:c>
      <x:c r="D3126" s="19" t="str">
        <x:v>日期=2035-01-01_8；FULL/原版/修复版步数=2017/2017/2017</x:v>
      </x:c>
      <x:c r="E3126" s="19" t="str">
        <x:v>FULL/修复版查询</x:v>
      </x:c>
      <x:c r="F3126" s="19" t="str">
        <x:v>1788/767</x:v>
      </x:c>
      <x:c r="G3126" s="19" t="str">
        <x:v>速度/计算</x:v>
      </x:c>
      <x:c r="H3126" s="19" t="str">
        <x:v>D:/Codex/GRL研究/outputs/grid70/GRID70_report.md</x:v>
      </x:c>
    </x:row>
    <x:row r="3127" ht="36" customHeight="1">
      <x:c r="A3127" s="19" t="str">
        <x:v>GRID70</x:v>
      </x:c>
      <x:c r="B3127" s="19" t="str">
        <x:v>GRID70_report.md</x:v>
      </x:c>
      <x:c r="C3127" s="19" t="str">
        <x:v>1. 全部日期</x:v>
      </x:c>
      <x:c r="D3127" s="19" t="str">
        <x:v>日期=2035-01-01_8；FULL/原版/修复版步数=2017/2017/2017</x:v>
      </x:c>
      <x:c r="E3127" s="19" t="str">
        <x:v>查询减少</x:v>
      </x:c>
      <x:c r="F3127" s="19" t="str">
        <x:v>+57.103%</x:v>
      </x:c>
      <x:c r="G3127" s="19" t="str">
        <x:v>速度/计算</x:v>
      </x:c>
      <x:c r="H3127" s="19" t="str">
        <x:v>D:/Codex/GRL研究/outputs/grid70/GRID70_report.md</x:v>
      </x:c>
    </x:row>
    <x:row r="3128" ht="36" customHeight="1">
      <x:c r="A3128" s="19" t="str">
        <x:v>GRID70</x:v>
      </x:c>
      <x:c r="B3128" s="19" t="str">
        <x:v>GRID70_report.md</x:v>
      </x:c>
      <x:c r="C3128" s="19" t="str">
        <x:v>1. 全部日期</x:v>
      </x:c>
      <x:c r="D3128" s="19" t="str">
        <x:v>日期=2035-01-01_8；FULL/原版/修复版步数=2017/2017/2017</x:v>
      </x:c>
      <x:c r="E3128" s="19" t="str">
        <x:v>质量筛查</x:v>
      </x:c>
      <x:c r="F3128" s="19" t="str">
        <x:v>通过</x:v>
      </x:c>
      <x:c r="G3128" s="19" t="str">
        <x:v>质量/成本</x:v>
      </x:c>
      <x:c r="H3128" s="19" t="str">
        <x:v>D:/Codex/GRL研究/outputs/grid70/GRID70_report.md</x:v>
      </x:c>
    </x:row>
    <x:row r="3129" ht="36" customHeight="1">
      <x:c r="A3129" s="19" t="str">
        <x:v>GRID70</x:v>
      </x:c>
      <x:c r="B3129" s="19" t="str">
        <x:v>GRID70_report.md</x:v>
      </x:c>
      <x:c r="C3129" s="19" t="str">
        <x:v>1. 全部日期</x:v>
      </x:c>
      <x:c r="D3129" s="19" t="str">
        <x:v>日期=2035-02-19_8；FULL/原版/修复版步数=2017/2017/2017</x:v>
      </x:c>
      <x:c r="E3129" s="19" t="str">
        <x:v>FULL/原版/修复版步数</x:v>
      </x:c>
      <x:c r="F3129" s="19" t="str">
        <x:v>2017/2017/2017</x:v>
      </x:c>
      <x:c r="G3129" s="19" t="str">
        <x:v>质量/成本</x:v>
      </x:c>
      <x:c r="H3129" s="19" t="str">
        <x:v>D:/Codex/GRL研究/outputs/grid70/GRID70_report.md</x:v>
      </x:c>
    </x:row>
    <x:row r="3130" ht="36" customHeight="1">
      <x:c r="A3130" s="19" t="str">
        <x:v>GRID70</x:v>
      </x:c>
      <x:c r="B3130" s="19" t="str">
        <x:v>GRID70_report.md</x:v>
      </x:c>
      <x:c r="C3130" s="19" t="str">
        <x:v>1. 全部日期</x:v>
      </x:c>
      <x:c r="D3130" s="19" t="str">
        <x:v>日期=2035-02-19_8；FULL/原版/修复版步数=2017/2017/2017</x:v>
      </x:c>
      <x:c r="E3130" s="19" t="str">
        <x:v>原版成本变化</x:v>
      </x:c>
      <x:c r="F3130" s="19" t="str">
        <x:v>-2.255%</x:v>
      </x:c>
      <x:c r="G3130" s="19" t="str">
        <x:v>质量/成本</x:v>
      </x:c>
      <x:c r="H3130" s="19" t="str">
        <x:v>D:/Codex/GRL研究/outputs/grid70/GRID70_report.md</x:v>
      </x:c>
    </x:row>
    <x:row r="3131" ht="36" customHeight="1">
      <x:c r="A3131" s="19" t="str">
        <x:v>GRID70</x:v>
      </x:c>
      <x:c r="B3131" s="19" t="str">
        <x:v>GRID70_report.md</x:v>
      </x:c>
      <x:c r="C3131" s="19" t="str">
        <x:v>1. 全部日期</x:v>
      </x:c>
      <x:c r="D3131" s="19" t="str">
        <x:v>日期=2035-02-19_8；FULL/原版/修复版步数=2017/2017/2017</x:v>
      </x:c>
      <x:c r="E3131" s="19" t="str">
        <x:v>修复版成本变化</x:v>
      </x:c>
      <x:c r="F3131" s="19" t="str">
        <x:v>-2.239%</x:v>
      </x:c>
      <x:c r="G3131" s="19" t="str">
        <x:v>质量/成本</x:v>
      </x:c>
      <x:c r="H3131" s="19" t="str">
        <x:v>D:/Codex/GRL研究/outputs/grid70/GRID70_report.md</x:v>
      </x:c>
    </x:row>
    <x:row r="3132" ht="36" customHeight="1">
      <x:c r="A3132" s="19" t="str">
        <x:v>GRID70</x:v>
      </x:c>
      <x:c r="B3132" s="19" t="str">
        <x:v>GRID70_report.md</x:v>
      </x:c>
      <x:c r="C3132" s="19" t="str">
        <x:v>1. 全部日期</x:v>
      </x:c>
      <x:c r="D3132" s="19" t="str">
        <x:v>日期=2035-02-19_8；FULL/原版/修复版步数=2017/2017/2017</x:v>
      </x:c>
      <x:c r="E3132" s="19" t="str">
        <x:v>FULL/修复版查询</x:v>
      </x:c>
      <x:c r="F3132" s="19" t="str">
        <x:v>13324/6853</x:v>
      </x:c>
      <x:c r="G3132" s="19" t="str">
        <x:v>速度/计算</x:v>
      </x:c>
      <x:c r="H3132" s="19" t="str">
        <x:v>D:/Codex/GRL研究/outputs/grid70/GRID70_report.md</x:v>
      </x:c>
    </x:row>
    <x:row r="3133" ht="36" customHeight="1">
      <x:c r="A3133" s="19" t="str">
        <x:v>GRID70</x:v>
      </x:c>
      <x:c r="B3133" s="19" t="str">
        <x:v>GRID70_report.md</x:v>
      </x:c>
      <x:c r="C3133" s="19" t="str">
        <x:v>1. 全部日期</x:v>
      </x:c>
      <x:c r="D3133" s="19" t="str">
        <x:v>日期=2035-02-19_8；FULL/原版/修复版步数=2017/2017/2017</x:v>
      </x:c>
      <x:c r="E3133" s="19" t="str">
        <x:v>查询减少</x:v>
      </x:c>
      <x:c r="F3133" s="19" t="str">
        <x:v>+48.566%</x:v>
      </x:c>
      <x:c r="G3133" s="19" t="str">
        <x:v>速度/计算</x:v>
      </x:c>
      <x:c r="H3133" s="19" t="str">
        <x:v>D:/Codex/GRL研究/outputs/grid70/GRID70_report.md</x:v>
      </x:c>
    </x:row>
    <x:row r="3134" ht="36" customHeight="1">
      <x:c r="A3134" s="19" t="str">
        <x:v>GRID70</x:v>
      </x:c>
      <x:c r="B3134" s="19" t="str">
        <x:v>GRID70_report.md</x:v>
      </x:c>
      <x:c r="C3134" s="19" t="str">
        <x:v>1. 全部日期</x:v>
      </x:c>
      <x:c r="D3134" s="19" t="str">
        <x:v>日期=2035-02-19_8；FULL/原版/修复版步数=2017/2017/2017</x:v>
      </x:c>
      <x:c r="E3134" s="19" t="str">
        <x:v>质量筛查</x:v>
      </x:c>
      <x:c r="F3134" s="19" t="str">
        <x:v>通过</x:v>
      </x:c>
      <x:c r="G3134" s="19" t="str">
        <x:v>质量/成本</x:v>
      </x:c>
      <x:c r="H3134" s="19" t="str">
        <x:v>D:/Codex/GRL研究/outputs/grid70/GRID70_report.md</x:v>
      </x:c>
    </x:row>
    <x:row r="3135" ht="36" customHeight="1">
      <x:c r="A3135" s="19" t="str">
        <x:v>GRID70</x:v>
      </x:c>
      <x:c r="B3135" s="19" t="str">
        <x:v>GRID70_report.md</x:v>
      </x:c>
      <x:c r="C3135" s="19" t="str">
        <x:v>1. 全部日期</x:v>
      </x:c>
      <x:c r="D3135" s="19" t="str">
        <x:v>日期=2035-04-02_9；FULL/原版/修复版步数=2017/2017/2017</x:v>
      </x:c>
      <x:c r="E3135" s="19" t="str">
        <x:v>FULL/原版/修复版步数</x:v>
      </x:c>
      <x:c r="F3135" s="19" t="str">
        <x:v>2017/2017/2017</x:v>
      </x:c>
      <x:c r="G3135" s="19" t="str">
        <x:v>质量/成本</x:v>
      </x:c>
      <x:c r="H3135" s="19" t="str">
        <x:v>D:/Codex/GRL研究/outputs/grid70/GRID70_report.md</x:v>
      </x:c>
    </x:row>
    <x:row r="3136" ht="36" customHeight="1">
      <x:c r="A3136" s="19" t="str">
        <x:v>GRID70</x:v>
      </x:c>
      <x:c r="B3136" s="19" t="str">
        <x:v>GRID70_report.md</x:v>
      </x:c>
      <x:c r="C3136" s="19" t="str">
        <x:v>1. 全部日期</x:v>
      </x:c>
      <x:c r="D3136" s="19" t="str">
        <x:v>日期=2035-04-02_9；FULL/原版/修复版步数=2017/2017/2017</x:v>
      </x:c>
      <x:c r="E3136" s="19" t="str">
        <x:v>原版成本变化</x:v>
      </x:c>
      <x:c r="F3136" s="19" t="str">
        <x:v>-3.158%</x:v>
      </x:c>
      <x:c r="G3136" s="19" t="str">
        <x:v>质量/成本</x:v>
      </x:c>
      <x:c r="H3136" s="19" t="str">
        <x:v>D:/Codex/GRL研究/outputs/grid70/GRID70_report.md</x:v>
      </x:c>
    </x:row>
    <x:row r="3137" ht="36" customHeight="1">
      <x:c r="A3137" s="19" t="str">
        <x:v>GRID70</x:v>
      </x:c>
      <x:c r="B3137" s="19" t="str">
        <x:v>GRID70_report.md</x:v>
      </x:c>
      <x:c r="C3137" s="19" t="str">
        <x:v>1. 全部日期</x:v>
      </x:c>
      <x:c r="D3137" s="19" t="str">
        <x:v>日期=2035-04-02_9；FULL/原版/修复版步数=2017/2017/2017</x:v>
      </x:c>
      <x:c r="E3137" s="19" t="str">
        <x:v>修复版成本变化</x:v>
      </x:c>
      <x:c r="F3137" s="19" t="str">
        <x:v>-3.158%</x:v>
      </x:c>
      <x:c r="G3137" s="19" t="str">
        <x:v>质量/成本</x:v>
      </x:c>
      <x:c r="H3137" s="19" t="str">
        <x:v>D:/Codex/GRL研究/outputs/grid70/GRID70_report.md</x:v>
      </x:c>
    </x:row>
    <x:row r="3138" ht="36" customHeight="1">
      <x:c r="A3138" s="19" t="str">
        <x:v>GRID70</x:v>
      </x:c>
      <x:c r="B3138" s="19" t="str">
        <x:v>GRID70_report.md</x:v>
      </x:c>
      <x:c r="C3138" s="19" t="str">
        <x:v>1. 全部日期</x:v>
      </x:c>
      <x:c r="D3138" s="19" t="str">
        <x:v>日期=2035-04-02_9；FULL/原版/修复版步数=2017/2017/2017</x:v>
      </x:c>
      <x:c r="E3138" s="19" t="str">
        <x:v>FULL/修复版查询</x:v>
      </x:c>
      <x:c r="F3138" s="19" t="str">
        <x:v>9810/2619</x:v>
      </x:c>
      <x:c r="G3138" s="19" t="str">
        <x:v>速度/计算</x:v>
      </x:c>
      <x:c r="H3138" s="19" t="str">
        <x:v>D:/Codex/GRL研究/outputs/grid70/GRID70_report.md</x:v>
      </x:c>
    </x:row>
    <x:row r="3139" ht="36" customHeight="1">
      <x:c r="A3139" s="19" t="str">
        <x:v>GRID70</x:v>
      </x:c>
      <x:c r="B3139" s="19" t="str">
        <x:v>GRID70_report.md</x:v>
      </x:c>
      <x:c r="C3139" s="19" t="str">
        <x:v>1. 全部日期</x:v>
      </x:c>
      <x:c r="D3139" s="19" t="str">
        <x:v>日期=2035-04-02_9；FULL/原版/修复版步数=2017/2017/2017</x:v>
      </x:c>
      <x:c r="E3139" s="19" t="str">
        <x:v>查询减少</x:v>
      </x:c>
      <x:c r="F3139" s="19" t="str">
        <x:v>+73.303%</x:v>
      </x:c>
      <x:c r="G3139" s="19" t="str">
        <x:v>速度/计算</x:v>
      </x:c>
      <x:c r="H3139" s="19" t="str">
        <x:v>D:/Codex/GRL研究/outputs/grid70/GRID70_report.md</x:v>
      </x:c>
    </x:row>
    <x:row r="3140" ht="36" customHeight="1">
      <x:c r="A3140" s="19" t="str">
        <x:v>GRID70</x:v>
      </x:c>
      <x:c r="B3140" s="19" t="str">
        <x:v>GRID70_report.md</x:v>
      </x:c>
      <x:c r="C3140" s="19" t="str">
        <x:v>1. 全部日期</x:v>
      </x:c>
      <x:c r="D3140" s="19" t="str">
        <x:v>日期=2035-04-02_9；FULL/原版/修复版步数=2017/2017/2017</x:v>
      </x:c>
      <x:c r="E3140" s="19" t="str">
        <x:v>质量筛查</x:v>
      </x:c>
      <x:c r="F3140" s="19" t="str">
        <x:v>通过</x:v>
      </x:c>
      <x:c r="G3140" s="19" t="str">
        <x:v>质量/成本</x:v>
      </x:c>
      <x:c r="H3140" s="19" t="str">
        <x:v>D:/Codex/GRL研究/outputs/grid70/GRID70_report.md</x:v>
      </x:c>
    </x:row>
    <x:row r="3141" ht="36" customHeight="1">
      <x:c r="A3141" s="19" t="str">
        <x:v>GRID70</x:v>
      </x:c>
      <x:c r="B3141" s="19" t="str">
        <x:v>GRID70_report.md</x:v>
      </x:c>
      <x:c r="C3141" s="19" t="str">
        <x:v>1. 全部日期</x:v>
      </x:c>
      <x:c r="D3141" s="19" t="str">
        <x:v>日期=2035-12-17_1；FULL/原版/修复版步数=2017/2017/2017</x:v>
      </x:c>
      <x:c r="E3141" s="19" t="str">
        <x:v>FULL/原版/修复版步数</x:v>
      </x:c>
      <x:c r="F3141" s="19" t="str">
        <x:v>2017/2017/2017</x:v>
      </x:c>
      <x:c r="G3141" s="19" t="str">
        <x:v>质量/成本</x:v>
      </x:c>
      <x:c r="H3141" s="19" t="str">
        <x:v>D:/Codex/GRL研究/outputs/grid70/GRID70_report.md</x:v>
      </x:c>
    </x:row>
    <x:row r="3142" ht="36" customHeight="1">
      <x:c r="A3142" s="19" t="str">
        <x:v>GRID70</x:v>
      </x:c>
      <x:c r="B3142" s="19" t="str">
        <x:v>GRID70_report.md</x:v>
      </x:c>
      <x:c r="C3142" s="19" t="str">
        <x:v>1. 全部日期</x:v>
      </x:c>
      <x:c r="D3142" s="19" t="str">
        <x:v>日期=2035-12-17_1；FULL/原版/修复版步数=2017/2017/2017</x:v>
      </x:c>
      <x:c r="E3142" s="19" t="str">
        <x:v>原版成本变化</x:v>
      </x:c>
      <x:c r="F3142" s="19" t="str">
        <x:v>-0.109%</x:v>
      </x:c>
      <x:c r="G3142" s="19" t="str">
        <x:v>质量/成本</x:v>
      </x:c>
      <x:c r="H3142" s="19" t="str">
        <x:v>D:/Codex/GRL研究/outputs/grid70/GRID70_report.md</x:v>
      </x:c>
    </x:row>
    <x:row r="3143" ht="36" customHeight="1">
      <x:c r="A3143" s="19" t="str">
        <x:v>GRID70</x:v>
      </x:c>
      <x:c r="B3143" s="19" t="str">
        <x:v>GRID70_report.md</x:v>
      </x:c>
      <x:c r="C3143" s="19" t="str">
        <x:v>1. 全部日期</x:v>
      </x:c>
      <x:c r="D3143" s="19" t="str">
        <x:v>日期=2035-12-17_1；FULL/原版/修复版步数=2017/2017/2017</x:v>
      </x:c>
      <x:c r="E3143" s="19" t="str">
        <x:v>修复版成本变化</x:v>
      </x:c>
      <x:c r="F3143" s="19" t="str">
        <x:v>-0.109%</x:v>
      </x:c>
      <x:c r="G3143" s="19" t="str">
        <x:v>质量/成本</x:v>
      </x:c>
      <x:c r="H3143" s="19" t="str">
        <x:v>D:/Codex/GRL研究/outputs/grid70/GRID70_report.md</x:v>
      </x:c>
    </x:row>
    <x:row r="3144" ht="36" customHeight="1">
      <x:c r="A3144" s="19" t="str">
        <x:v>GRID70</x:v>
      </x:c>
      <x:c r="B3144" s="19" t="str">
        <x:v>GRID70_report.md</x:v>
      </x:c>
      <x:c r="C3144" s="19" t="str">
        <x:v>1. 全部日期</x:v>
      </x:c>
      <x:c r="D3144" s="19" t="str">
        <x:v>日期=2035-12-17_1；FULL/原版/修复版步数=2017/2017/2017</x:v>
      </x:c>
      <x:c r="E3144" s="19" t="str">
        <x:v>FULL/修复版查询</x:v>
      </x:c>
      <x:c r="F3144" s="19" t="str">
        <x:v>12091/4286</x:v>
      </x:c>
      <x:c r="G3144" s="19" t="str">
        <x:v>速度/计算</x:v>
      </x:c>
      <x:c r="H3144" s="19" t="str">
        <x:v>D:/Codex/GRL研究/outputs/grid70/GRID70_report.md</x:v>
      </x:c>
    </x:row>
    <x:row r="3145" ht="36" customHeight="1">
      <x:c r="A3145" s="19" t="str">
        <x:v>GRID70</x:v>
      </x:c>
      <x:c r="B3145" s="19" t="str">
        <x:v>GRID70_report.md</x:v>
      </x:c>
      <x:c r="C3145" s="19" t="str">
        <x:v>1. 全部日期</x:v>
      </x:c>
      <x:c r="D3145" s="19" t="str">
        <x:v>日期=2035-12-17_1；FULL/原版/修复版步数=2017/2017/2017</x:v>
      </x:c>
      <x:c r="E3145" s="19" t="str">
        <x:v>查询减少</x:v>
      </x:c>
      <x:c r="F3145" s="19" t="str">
        <x:v>+64.552%</x:v>
      </x:c>
      <x:c r="G3145" s="19" t="str">
        <x:v>速度/计算</x:v>
      </x:c>
      <x:c r="H3145" s="19" t="str">
        <x:v>D:/Codex/GRL研究/outputs/grid70/GRID70_report.md</x:v>
      </x:c>
    </x:row>
    <x:row r="3146" ht="36" customHeight="1">
      <x:c r="A3146" s="19" t="str">
        <x:v>GRID70</x:v>
      </x:c>
      <x:c r="B3146" s="19" t="str">
        <x:v>GRID70_report.md</x:v>
      </x:c>
      <x:c r="C3146" s="19" t="str">
        <x:v>1. 全部日期</x:v>
      </x:c>
      <x:c r="D3146" s="19" t="str">
        <x:v>日期=2035-12-17_1；FULL/原版/修复版步数=2017/2017/2017</x:v>
      </x:c>
      <x:c r="E3146" s="19" t="str">
        <x:v>质量筛查</x:v>
      </x:c>
      <x:c r="F3146" s="19" t="str">
        <x:v>通过</x:v>
      </x:c>
      <x:c r="G3146" s="19" t="str">
        <x:v>质量/成本</x:v>
      </x:c>
      <x:c r="H3146" s="19" t="str">
        <x:v>D:/Codex/GRL研究/outputs/grid70/GRID70_report.md</x:v>
      </x:c>
    </x:row>
    <x:row r="3147" ht="36" customHeight="1">
      <x:c r="A3147" s="19" t="str">
        <x:v>GRID72</x:v>
      </x:c>
      <x:c r="B3147" s="19" t="str">
        <x:v>GRID72_report.md</x:v>
      </x:c>
      <x:c r="C3147" s="19" t="str">
        <x:v>1. GRID72 条件核查第一版</x:v>
      </x:c>
      <x:c r="D3147" s="19" t="str">
        <x:v>输入=plain；校准查询节省=2.934%</x:v>
      </x:c>
      <x:c r="E3147" s="19" t="str">
        <x:v>校准查询节省</x:v>
      </x:c>
      <x:c r="F3147" s="19" t="str">
        <x:v>2.934%</x:v>
      </x:c>
      <x:c r="G3147" s="19" t="str">
        <x:v>速度/计算</x:v>
      </x:c>
      <x:c r="H3147" s="19" t="str">
        <x:v>D:/Codex/GRL研究/outputs/grid72/GRID72_report.md</x:v>
      </x:c>
    </x:row>
    <x:row r="3148" ht="36" customHeight="1">
      <x:c r="A3148" s="19" t="str">
        <x:v>GRID72</x:v>
      </x:c>
      <x:c r="B3148" s="19" t="str">
        <x:v>GRID72_report.md</x:v>
      </x:c>
      <x:c r="C3148" s="19" t="str">
        <x:v>1. GRID72 条件核查第一版</x:v>
      </x:c>
      <x:c r="D3148" s="19" t="str">
        <x:v>输入=plain；校准查询节省=2.934%</x:v>
      </x:c>
      <x:c r="E3148" s="19" t="str">
        <x:v>跳过核查</x:v>
      </x:c>
      <x:c r="F3148" s="19" t="str">
        <x:v>1/14</x:v>
      </x:c>
      <x:c r="G3148" s="19" t="str">
        <x:v>其他/配置</x:v>
      </x:c>
      <x:c r="H3148" s="19" t="str">
        <x:v>D:/Codex/GRL研究/outputs/grid72/GRID72_report.md</x:v>
      </x:c>
    </x:row>
    <x:row r="3149" ht="36" customHeight="1">
      <x:c r="A3149" s="19" t="str">
        <x:v>GRID72</x:v>
      </x:c>
      <x:c r="B3149" s="19" t="str">
        <x:v>GRID72_report.md</x:v>
      </x:c>
      <x:c r="C3149" s="19" t="str">
        <x:v>1. GRID72 条件核查第一版</x:v>
      </x:c>
      <x:c r="D3149" s="19" t="str">
        <x:v>输入=plain；校准查询节省=2.934%</x:v>
      </x:c>
      <x:c r="E3149" s="19" t="str">
        <x:v>漏改变案例</x:v>
      </x:c>
      <x:c r="F3149" s="19" t="str">
        <x:v>0</x:v>
      </x:c>
      <x:c r="G3149" s="19" t="str">
        <x:v>其他/配置</x:v>
      </x:c>
      <x:c r="H3149" s="19" t="str">
        <x:v>D:/Codex/GRL研究/outputs/grid72/GRID72_report.md</x:v>
      </x:c>
    </x:row>
    <x:row r="3150" ht="36" customHeight="1">
      <x:c r="A3150" s="19" t="str">
        <x:v>GRID72</x:v>
      </x:c>
      <x:c r="B3150" s="19" t="str">
        <x:v>GRID72_report.md</x:v>
      </x:c>
      <x:c r="C3150" s="19" t="str">
        <x:v>1. GRID72 条件核查第一版</x:v>
      </x:c>
      <x:c r="D3150" s="19" t="str">
        <x:v>输入=plain；校准查询节省=2.934%</x:v>
      </x:c>
      <x:c r="E3150" s="19" t="str">
        <x:v>资格</x:v>
      </x:c>
      <x:c r="F3150" s="19" t="str">
        <x:v>False</x:v>
      </x:c>
      <x:c r="G3150" s="19" t="str">
        <x:v>其他/配置</x:v>
      </x:c>
      <x:c r="H3150" s="19" t="str">
        <x:v>D:/Codex/GRL研究/outputs/grid72/GRID72_report.md</x:v>
      </x:c>
    </x:row>
    <x:row r="3151" ht="36" customHeight="1">
      <x:c r="A3151" s="19" t="str">
        <x:v>GRID72</x:v>
      </x:c>
      <x:c r="B3151" s="19" t="str">
        <x:v>GRID72_report.md</x:v>
      </x:c>
      <x:c r="C3151" s="19" t="str">
        <x:v>1. GRID72 条件核查第一版</x:v>
      </x:c>
      <x:c r="D3151" s="19" t="str">
        <x:v>输入=struct；校准查询节省=5.868%</x:v>
      </x:c>
      <x:c r="E3151" s="19" t="str">
        <x:v>校准查询节省</x:v>
      </x:c>
      <x:c r="F3151" s="19" t="str">
        <x:v>5.868%</x:v>
      </x:c>
      <x:c r="G3151" s="19" t="str">
        <x:v>速度/计算</x:v>
      </x:c>
      <x:c r="H3151" s="19" t="str">
        <x:v>D:/Codex/GRL研究/outputs/grid72/GRID72_report.md</x:v>
      </x:c>
    </x:row>
    <x:row r="3152" ht="36" customHeight="1">
      <x:c r="A3152" s="19" t="str">
        <x:v>GRID72</x:v>
      </x:c>
      <x:c r="B3152" s="19" t="str">
        <x:v>GRID72_report.md</x:v>
      </x:c>
      <x:c r="C3152" s="19" t="str">
        <x:v>1. GRID72 条件核查第一版</x:v>
      </x:c>
      <x:c r="D3152" s="19" t="str">
        <x:v>输入=struct；校准查询节省=5.868%</x:v>
      </x:c>
      <x:c r="E3152" s="19" t="str">
        <x:v>跳过核查</x:v>
      </x:c>
      <x:c r="F3152" s="19" t="str">
        <x:v>2/14</x:v>
      </x:c>
      <x:c r="G3152" s="19" t="str">
        <x:v>其他/配置</x:v>
      </x:c>
      <x:c r="H3152" s="19" t="str">
        <x:v>D:/Codex/GRL研究/outputs/grid72/GRID72_report.md</x:v>
      </x:c>
    </x:row>
    <x:row r="3153" ht="36" customHeight="1">
      <x:c r="A3153" s="19" t="str">
        <x:v>GRID72</x:v>
      </x:c>
      <x:c r="B3153" s="19" t="str">
        <x:v>GRID72_report.md</x:v>
      </x:c>
      <x:c r="C3153" s="19" t="str">
        <x:v>1. GRID72 条件核查第一版</x:v>
      </x:c>
      <x:c r="D3153" s="19" t="str">
        <x:v>输入=struct；校准查询节省=5.868%</x:v>
      </x:c>
      <x:c r="E3153" s="19" t="str">
        <x:v>漏改变案例</x:v>
      </x:c>
      <x:c r="F3153" s="19" t="str">
        <x:v>0</x:v>
      </x:c>
      <x:c r="G3153" s="19" t="str">
        <x:v>其他/配置</x:v>
      </x:c>
      <x:c r="H3153" s="19" t="str">
        <x:v>D:/Codex/GRL研究/outputs/grid72/GRID72_report.md</x:v>
      </x:c>
    </x:row>
    <x:row r="3154" ht="36" customHeight="1">
      <x:c r="A3154" s="19" t="str">
        <x:v>GRID72</x:v>
      </x:c>
      <x:c r="B3154" s="19" t="str">
        <x:v>GRID72_report.md</x:v>
      </x:c>
      <x:c r="C3154" s="19" t="str">
        <x:v>1. GRID72 条件核查第一版</x:v>
      </x:c>
      <x:c r="D3154" s="19" t="str">
        <x:v>输入=struct；校准查询节省=5.868%</x:v>
      </x:c>
      <x:c r="E3154" s="19" t="str">
        <x:v>资格</x:v>
      </x:c>
      <x:c r="F3154" s="19" t="str">
        <x:v>False</x:v>
      </x:c>
      <x:c r="G3154" s="19" t="str">
        <x:v>其他/配置</x:v>
      </x:c>
      <x:c r="H3154" s="19" t="str">
        <x:v>D:/Codex/GRL研究/outputs/grid72/GRID72_report.md</x:v>
      </x:c>
    </x:row>
    <x:row r="3155" ht="36" customHeight="1">
      <x:c r="A3155" s="19" t="str">
        <x:v>GRID73</x:v>
      </x:c>
      <x:c r="B3155" s="19" t="str">
        <x:v>GRID73_report.md</x:v>
      </x:c>
      <x:c r="C3155" s="19" t="str">
        <x:v>1. GRID73 分区校准小树结果</x:v>
      </x:c>
      <x:c r="D3155" s="19" t="str">
        <x:v>输入=plain；校准查询节省=0.000%</x:v>
      </x:c>
      <x:c r="E3155" s="19" t="str">
        <x:v>校准查询节省</x:v>
      </x:c>
      <x:c r="F3155" s="19" t="str">
        <x:v>0.000%</x:v>
      </x:c>
      <x:c r="G3155" s="19" t="str">
        <x:v>速度/计算</x:v>
      </x:c>
      <x:c r="H3155" s="19" t="str">
        <x:v>D:/Codex/GRL研究/outputs/grid73/GRID73_report.md</x:v>
      </x:c>
    </x:row>
    <x:row r="3156" ht="36" customHeight="1">
      <x:c r="A3156" s="19" t="str">
        <x:v>GRID73</x:v>
      </x:c>
      <x:c r="B3156" s="19" t="str">
        <x:v>GRID73_report.md</x:v>
      </x:c>
      <x:c r="C3156" s="19" t="str">
        <x:v>1. GRID73 分区校准小树结果</x:v>
      </x:c>
      <x:c r="D3156" s="19" t="str">
        <x:v>输入=plain；校准查询节省=0.000%</x:v>
      </x:c>
      <x:c r="E3156" s="19" t="str">
        <x:v>跳过核查</x:v>
      </x:c>
      <x:c r="F3156" s="19" t="str">
        <x:v>0/14</x:v>
      </x:c>
      <x:c r="G3156" s="19" t="str">
        <x:v>其他/配置</x:v>
      </x:c>
      <x:c r="H3156" s="19" t="str">
        <x:v>D:/Codex/GRL研究/outputs/grid73/GRID73_report.md</x:v>
      </x:c>
    </x:row>
    <x:row r="3157" ht="36" customHeight="1">
      <x:c r="A3157" s="19" t="str">
        <x:v>GRID73</x:v>
      </x:c>
      <x:c r="B3157" s="19" t="str">
        <x:v>GRID73_report.md</x:v>
      </x:c>
      <x:c r="C3157" s="19" t="str">
        <x:v>1. GRID73 分区校准小树结果</x:v>
      </x:c>
      <x:c r="D3157" s="19" t="str">
        <x:v>输入=plain；校准查询节省=0.000%</x:v>
      </x:c>
      <x:c r="E3157" s="19" t="str">
        <x:v>资格</x:v>
      </x:c>
      <x:c r="F3157" s="19" t="str">
        <x:v>False</x:v>
      </x:c>
      <x:c r="G3157" s="19" t="str">
        <x:v>其他/配置</x:v>
      </x:c>
      <x:c r="H3157" s="19" t="str">
        <x:v>D:/Codex/GRL研究/outputs/grid73/GRID73_report.md</x:v>
      </x:c>
    </x:row>
    <x:row r="3158" ht="36" customHeight="1">
      <x:c r="A3158" s="19" t="str">
        <x:v>GRID73</x:v>
      </x:c>
      <x:c r="B3158" s="19" t="str">
        <x:v>GRID73_report.md</x:v>
      </x:c>
      <x:c r="C3158" s="19" t="str">
        <x:v>1. GRID73 分区校准小树结果</x:v>
      </x:c>
      <x:c r="D3158" s="19" t="str">
        <x:v>输入=struct；校准查询节省=2.934%</x:v>
      </x:c>
      <x:c r="E3158" s="19" t="str">
        <x:v>校准查询节省</x:v>
      </x:c>
      <x:c r="F3158" s="19" t="str">
        <x:v>2.934%</x:v>
      </x:c>
      <x:c r="G3158" s="19" t="str">
        <x:v>速度/计算</x:v>
      </x:c>
      <x:c r="H3158" s="19" t="str">
        <x:v>D:/Codex/GRL研究/outputs/grid73/GRID73_report.md</x:v>
      </x:c>
    </x:row>
    <x:row r="3159" ht="36" customHeight="1">
      <x:c r="A3159" s="19" t="str">
        <x:v>GRID73</x:v>
      </x:c>
      <x:c r="B3159" s="19" t="str">
        <x:v>GRID73_report.md</x:v>
      </x:c>
      <x:c r="C3159" s="19" t="str">
        <x:v>1. GRID73 分区校准小树结果</x:v>
      </x:c>
      <x:c r="D3159" s="19" t="str">
        <x:v>输入=struct；校准查询节省=2.934%</x:v>
      </x:c>
      <x:c r="E3159" s="19" t="str">
        <x:v>跳过核查</x:v>
      </x:c>
      <x:c r="F3159" s="19" t="str">
        <x:v>1/14</x:v>
      </x:c>
      <x:c r="G3159" s="19" t="str">
        <x:v>其他/配置</x:v>
      </x:c>
      <x:c r="H3159" s="19" t="str">
        <x:v>D:/Codex/GRL研究/outputs/grid73/GRID73_report.md</x:v>
      </x:c>
    </x:row>
    <x:row r="3160" ht="36" customHeight="1">
      <x:c r="A3160" s="19" t="str">
        <x:v>GRID73</x:v>
      </x:c>
      <x:c r="B3160" s="19" t="str">
        <x:v>GRID73_report.md</x:v>
      </x:c>
      <x:c r="C3160" s="19" t="str">
        <x:v>1. GRID73 分区校准小树结果</x:v>
      </x:c>
      <x:c r="D3160" s="19" t="str">
        <x:v>输入=struct；校准查询节省=2.934%</x:v>
      </x:c>
      <x:c r="E3160" s="19" t="str">
        <x:v>资格</x:v>
      </x:c>
      <x:c r="F3160" s="19" t="str">
        <x:v>False</x:v>
      </x:c>
      <x:c r="G3160" s="19" t="str">
        <x:v>其他/配置</x:v>
      </x:c>
      <x:c r="H3160" s="19" t="str">
        <x:v>D:/Codex/GRL研究/outputs/grid73/GRID73_report.md</x:v>
      </x:c>
    </x:row>
    <x:row r="3161" ht="36" customHeight="1">
      <x:c r="A3161" s="19" t="str">
        <x:v>GRID74</x:v>
      </x:c>
      <x:c r="B3161" s="19" t="str">
        <x:v>GRID74_report.md</x:v>
      </x:c>
      <x:c r="C3161" s="19" t="str">
        <x:v>1. GRID74 探针后条件核查结果</x:v>
      </x:c>
      <x:c r="D3161" s="19" t="str">
        <x:v>输入=plain；校准查询节省=5.868%</x:v>
      </x:c>
      <x:c r="E3161" s="19" t="str">
        <x:v>校准查询节省</x:v>
      </x:c>
      <x:c r="F3161" s="19" t="str">
        <x:v>5.868%</x:v>
      </x:c>
      <x:c r="G3161" s="19" t="str">
        <x:v>速度/计算</x:v>
      </x:c>
      <x:c r="H3161" s="19" t="str">
        <x:v>D:/Codex/GRL研究/outputs/grid74/GRID74_report.md</x:v>
      </x:c>
    </x:row>
    <x:row r="3162" ht="36" customHeight="1">
      <x:c r="A3162" s="19" t="str">
        <x:v>GRID74</x:v>
      </x:c>
      <x:c r="B3162" s="19" t="str">
        <x:v>GRID74_report.md</x:v>
      </x:c>
      <x:c r="C3162" s="19" t="str">
        <x:v>1. GRID74 探针后条件核查结果</x:v>
      </x:c>
      <x:c r="D3162" s="19" t="str">
        <x:v>输入=plain；校准查询节省=5.868%</x:v>
      </x:c>
      <x:c r="E3162" s="19" t="str">
        <x:v>跳过核查</x:v>
      </x:c>
      <x:c r="F3162" s="19" t="str">
        <x:v>4/14</x:v>
      </x:c>
      <x:c r="G3162" s="19" t="str">
        <x:v>其他/配置</x:v>
      </x:c>
      <x:c r="H3162" s="19" t="str">
        <x:v>D:/Codex/GRL研究/outputs/grid74/GRID74_report.md</x:v>
      </x:c>
    </x:row>
    <x:row r="3163" ht="36" customHeight="1">
      <x:c r="A3163" s="19" t="str">
        <x:v>GRID74</x:v>
      </x:c>
      <x:c r="B3163" s="19" t="str">
        <x:v>GRID74_report.md</x:v>
      </x:c>
      <x:c r="C3163" s="19" t="str">
        <x:v>1. GRID74 探针后条件核查结果</x:v>
      </x:c>
      <x:c r="D3163" s="19" t="str">
        <x:v>输入=plain；校准查询节省=5.868%</x:v>
      </x:c>
      <x:c r="E3163" s="19" t="str">
        <x:v>资格</x:v>
      </x:c>
      <x:c r="F3163" s="19" t="str">
        <x:v>False</x:v>
      </x:c>
      <x:c r="G3163" s="19" t="str">
        <x:v>其他/配置</x:v>
      </x:c>
      <x:c r="H3163" s="19" t="str">
        <x:v>D:/Codex/GRL研究/outputs/grid74/GRID74_report.md</x:v>
      </x:c>
    </x:row>
    <x:row r="3164" ht="36" customHeight="1">
      <x:c r="A3164" s="19" t="str">
        <x:v>GRID74</x:v>
      </x:c>
      <x:c r="B3164" s="19" t="str">
        <x:v>GRID74_report.md</x:v>
      </x:c>
      <x:c r="C3164" s="19" t="str">
        <x:v>1. GRID74 探针后条件核查结果</x:v>
      </x:c>
      <x:c r="D3164" s="19" t="str">
        <x:v>输入=struct；校准查询节省=1.467%</x:v>
      </x:c>
      <x:c r="E3164" s="19" t="str">
        <x:v>校准查询节省</x:v>
      </x:c>
      <x:c r="F3164" s="19" t="str">
        <x:v>1.467%</x:v>
      </x:c>
      <x:c r="G3164" s="19" t="str">
        <x:v>速度/计算</x:v>
      </x:c>
      <x:c r="H3164" s="19" t="str">
        <x:v>D:/Codex/GRL研究/outputs/grid74/GRID74_report.md</x:v>
      </x:c>
    </x:row>
    <x:row r="3165" ht="36" customHeight="1">
      <x:c r="A3165" s="19" t="str">
        <x:v>GRID74</x:v>
      </x:c>
      <x:c r="B3165" s="19" t="str">
        <x:v>GRID74_report.md</x:v>
      </x:c>
      <x:c r="C3165" s="19" t="str">
        <x:v>1. GRID74 探针后条件核查结果</x:v>
      </x:c>
      <x:c r="D3165" s="19" t="str">
        <x:v>输入=struct；校准查询节省=1.467%</x:v>
      </x:c>
      <x:c r="E3165" s="19" t="str">
        <x:v>跳过核查</x:v>
      </x:c>
      <x:c r="F3165" s="19" t="str">
        <x:v>1/14</x:v>
      </x:c>
      <x:c r="G3165" s="19" t="str">
        <x:v>其他/配置</x:v>
      </x:c>
      <x:c r="H3165" s="19" t="str">
        <x:v>D:/Codex/GRL研究/outputs/grid74/GRID74_report.md</x:v>
      </x:c>
    </x:row>
    <x:row r="3166" ht="36" customHeight="1">
      <x:c r="A3166" s="19" t="str">
        <x:v>GRID74</x:v>
      </x:c>
      <x:c r="B3166" s="19" t="str">
        <x:v>GRID74_report.md</x:v>
      </x:c>
      <x:c r="C3166" s="19" t="str">
        <x:v>1. GRID74 探针后条件核查结果</x:v>
      </x:c>
      <x:c r="D3166" s="19" t="str">
        <x:v>输入=struct；校准查询节省=1.467%</x:v>
      </x:c>
      <x:c r="E3166" s="19" t="str">
        <x:v>资格</x:v>
      </x:c>
      <x:c r="F3166" s="19" t="str">
        <x:v>False</x:v>
      </x:c>
      <x:c r="G3166" s="19" t="str">
        <x:v>其他/配置</x:v>
      </x:c>
      <x:c r="H3166" s="19" t="str">
        <x:v>D:/Codex/GRL研究/outputs/grid74/GRID74_report.md</x:v>
      </x:c>
    </x:row>
    <x:row r="3167" ht="36" customHeight="1">
      <x:c r="A3167" s="19" t="str">
        <x:v>GRID75</x:v>
      </x:c>
      <x:c r="B3167" s="19" t="str">
        <x:v>GRID75_report.md</x:v>
      </x:c>
      <x:c r="C3167" s="19" t="str">
        <x:v>1. GRID75 电网上下文输入资格结果</x:v>
      </x:c>
      <x:c r="D3167" s="19" t="str">
        <x:v>输入=plain；校准查询节省=11.735%</x:v>
      </x:c>
      <x:c r="E3167" s="19" t="str">
        <x:v>校准查询节省</x:v>
      </x:c>
      <x:c r="F3167" s="19" t="str">
        <x:v>11.735%</x:v>
      </x:c>
      <x:c r="G3167" s="19" t="str">
        <x:v>速度/计算</x:v>
      </x:c>
      <x:c r="H3167" s="19" t="str">
        <x:v>D:/Codex/GRL研究/outputs/grid75/GRID75_report.md</x:v>
      </x:c>
    </x:row>
    <x:row r="3168" ht="36" customHeight="1">
      <x:c r="A3168" s="19" t="str">
        <x:v>GRID75</x:v>
      </x:c>
      <x:c r="B3168" s="19" t="str">
        <x:v>GRID75_report.md</x:v>
      </x:c>
      <x:c r="C3168" s="19" t="str">
        <x:v>1. GRID75 电网上下文输入资格结果</x:v>
      </x:c>
      <x:c r="D3168" s="19" t="str">
        <x:v>输入=plain；校准查询节省=11.735%</x:v>
      </x:c>
      <x:c r="E3168" s="19" t="str">
        <x:v>略过核查</x:v>
      </x:c>
      <x:c r="F3168" s="19" t="str">
        <x:v>4/14</x:v>
      </x:c>
      <x:c r="G3168" s="19" t="str">
        <x:v>其他/配置</x:v>
      </x:c>
      <x:c r="H3168" s="19" t="str">
        <x:v>D:/Codex/GRL研究/outputs/grid75/GRID75_report.md</x:v>
      </x:c>
    </x:row>
    <x:row r="3169" ht="36" customHeight="1">
      <x:c r="A3169" s="19" t="str">
        <x:v>GRID75</x:v>
      </x:c>
      <x:c r="B3169" s="19" t="str">
        <x:v>GRID75_report.md</x:v>
      </x:c>
      <x:c r="C3169" s="19" t="str">
        <x:v>1. GRID75 电网上下文输入资格结果</x:v>
      </x:c>
      <x:c r="D3169" s="19" t="str">
        <x:v>输入=plain；校准查询节省=11.735%</x:v>
      </x:c>
      <x:c r="E3169" s="19" t="str">
        <x:v>资格</x:v>
      </x:c>
      <x:c r="F3169" s="19" t="str">
        <x:v>True</x:v>
      </x:c>
      <x:c r="G3169" s="19" t="str">
        <x:v>其他/配置</x:v>
      </x:c>
      <x:c r="H3169" s="19" t="str">
        <x:v>D:/Codex/GRL研究/outputs/grid75/GRID75_report.md</x:v>
      </x:c>
    </x:row>
    <x:row r="3170" ht="36" customHeight="1">
      <x:c r="A3170" s="19" t="str">
        <x:v>GRID75</x:v>
      </x:c>
      <x:c r="B3170" s="19" t="str">
        <x:v>GRID75_report.md</x:v>
      </x:c>
      <x:c r="C3170" s="19" t="str">
        <x:v>1. GRID75 电网上下文输入资格结果</x:v>
      </x:c>
      <x:c r="D3170" s="19" t="str">
        <x:v>输入=struct；校准查询节省=5.868%</x:v>
      </x:c>
      <x:c r="E3170" s="19" t="str">
        <x:v>校准查询节省</x:v>
      </x:c>
      <x:c r="F3170" s="19" t="str">
        <x:v>5.868%</x:v>
      </x:c>
      <x:c r="G3170" s="19" t="str">
        <x:v>速度/计算</x:v>
      </x:c>
      <x:c r="H3170" s="19" t="str">
        <x:v>D:/Codex/GRL研究/outputs/grid75/GRID75_report.md</x:v>
      </x:c>
    </x:row>
    <x:row r="3171" ht="36" customHeight="1">
      <x:c r="A3171" s="19" t="str">
        <x:v>GRID75</x:v>
      </x:c>
      <x:c r="B3171" s="19" t="str">
        <x:v>GRID75_report.md</x:v>
      </x:c>
      <x:c r="C3171" s="19" t="str">
        <x:v>1. GRID75 电网上下文输入资格结果</x:v>
      </x:c>
      <x:c r="D3171" s="19" t="str">
        <x:v>输入=struct；校准查询节省=5.868%</x:v>
      </x:c>
      <x:c r="E3171" s="19" t="str">
        <x:v>略过核查</x:v>
      </x:c>
      <x:c r="F3171" s="19" t="str">
        <x:v>2/14</x:v>
      </x:c>
      <x:c r="G3171" s="19" t="str">
        <x:v>其他/配置</x:v>
      </x:c>
      <x:c r="H3171" s="19" t="str">
        <x:v>D:/Codex/GRL研究/outputs/grid75/GRID75_report.md</x:v>
      </x:c>
    </x:row>
    <x:row r="3172" ht="36" customHeight="1">
      <x:c r="A3172" s="19" t="str">
        <x:v>GRID75</x:v>
      </x:c>
      <x:c r="B3172" s="19" t="str">
        <x:v>GRID75_report.md</x:v>
      </x:c>
      <x:c r="C3172" s="19" t="str">
        <x:v>1. GRID75 电网上下文输入资格结果</x:v>
      </x:c>
      <x:c r="D3172" s="19" t="str">
        <x:v>输入=struct；校准查询节省=5.868%</x:v>
      </x:c>
      <x:c r="E3172" s="19" t="str">
        <x:v>资格</x:v>
      </x:c>
      <x:c r="F3172" s="19" t="str">
        <x:v>False</x:v>
      </x:c>
      <x:c r="G3172" s="19" t="str">
        <x:v>其他/配置</x:v>
      </x:c>
      <x:c r="H3172" s="19" t="str">
        <x:v>D:/Codex/GRL研究/outputs/grid75/GRID75_report.md</x:v>
      </x:c>
    </x:row>
    <x:row r="3173" ht="36" customHeight="1">
      <x:c r="A3173" s="19" t="str">
        <x:v>GRID76</x:v>
      </x:c>
      <x:c r="B3173" s="19" t="str">
        <x:v>GRID76_report.md</x:v>
      </x:c>
      <x:c r="C3173" s="19" t="str">
        <x:v>1. GRID76 普通上下文门控：13 日期闭环开发检查</x:v>
      </x:c>
      <x:c r="D3173" s="19" t="str">
        <x:v>日期=2035-07-09_2；步数=2017</x:v>
      </x:c>
      <x:c r="E3173" s="19" t="str">
        <x:v>步数</x:v>
      </x:c>
      <x:c r="F3173" s="19" t="str">
        <x:v>2017</x:v>
      </x:c>
      <x:c r="G3173" s="19" t="str">
        <x:v>质量/成本</x:v>
      </x:c>
      <x:c r="H3173" s="19" t="str">
        <x:v>D:/Codex/GRL研究/outputs/grid76/GRID76_report.md</x:v>
      </x:c>
    </x:row>
    <x:row r="3174" ht="36" customHeight="1">
      <x:c r="A3174" s="19" t="str">
        <x:v>GRID76</x:v>
      </x:c>
      <x:c r="B3174" s="19" t="str">
        <x:v>GRID76_report.md</x:v>
      </x:c>
      <x:c r="C3174" s="19" t="str">
        <x:v>1. GRID76 普通上下文门控：13 日期闭环开发检查</x:v>
      </x:c>
      <x:c r="D3174" s="19" t="str">
        <x:v>日期=2035-07-09_2；步数=2017</x:v>
      </x:c>
      <x:c r="E3174" s="19" t="str">
        <x:v>相对FULL完整周成本</x:v>
      </x:c>
      <x:c r="F3174" s="19" t="str">
        <x:v>-0.2135%</x:v>
      </x:c>
      <x:c r="G3174" s="19" t="str">
        <x:v>质量/成本</x:v>
      </x:c>
      <x:c r="H3174" s="19" t="str">
        <x:v>D:/Codex/GRL研究/outputs/grid76/GRID76_report.md</x:v>
      </x:c>
    </x:row>
    <x:row r="3175" ht="36" customHeight="1">
      <x:c r="A3175" s="19" t="str">
        <x:v>GRID76</x:v>
      </x:c>
      <x:c r="B3175" s="19" t="str">
        <x:v>GRID76_report.md</x:v>
      </x:c>
      <x:c r="C3175" s="19" t="str">
        <x:v>1. GRID76 普通上下文门控：13 日期闭环开发检查</x:v>
      </x:c>
      <x:c r="D3175" s="19" t="str">
        <x:v>日期=2035-07-09_2；步数=2017</x:v>
      </x:c>
      <x:c r="E3175" s="19" t="str">
        <x:v>查询</x:v>
      </x:c>
      <x:c r="F3175" s="19" t="str">
        <x:v>4618</x:v>
      </x:c>
      <x:c r="G3175" s="19" t="str">
        <x:v>速度/计算</x:v>
      </x:c>
      <x:c r="H3175" s="19" t="str">
        <x:v>D:/Codex/GRL研究/outputs/grid76/GRID76_report.md</x:v>
      </x:c>
    </x:row>
    <x:row r="3176" ht="36" customHeight="1">
      <x:c r="A3176" s="19" t="str">
        <x:v>GRID76</x:v>
      </x:c>
      <x:c r="B3176" s="19" t="str">
        <x:v>GRID76_report.md</x:v>
      </x:c>
      <x:c r="C3176" s="19" t="str">
        <x:v>1. GRID76 普通上下文门控：13 日期闭环开发检查</x:v>
      </x:c>
      <x:c r="D3176" s="19" t="str">
        <x:v>日期=2035-12-10_6；步数=2017</x:v>
      </x:c>
      <x:c r="E3176" s="19" t="str">
        <x:v>步数</x:v>
      </x:c>
      <x:c r="F3176" s="19" t="str">
        <x:v>2017</x:v>
      </x:c>
      <x:c r="G3176" s="19" t="str">
        <x:v>质量/成本</x:v>
      </x:c>
      <x:c r="H3176" s="19" t="str">
        <x:v>D:/Codex/GRL研究/outputs/grid76/GRID76_report.md</x:v>
      </x:c>
    </x:row>
    <x:row r="3177" ht="36" customHeight="1">
      <x:c r="A3177" s="19" t="str">
        <x:v>GRID76</x:v>
      </x:c>
      <x:c r="B3177" s="19" t="str">
        <x:v>GRID76_report.md</x:v>
      </x:c>
      <x:c r="C3177" s="19" t="str">
        <x:v>1. GRID76 普通上下文门控：13 日期闭环开发检查</x:v>
      </x:c>
      <x:c r="D3177" s="19" t="str">
        <x:v>日期=2035-12-10_6；步数=2017</x:v>
      </x:c>
      <x:c r="E3177" s="19" t="str">
        <x:v>相对FULL完整周成本</x:v>
      </x:c>
      <x:c r="F3177" s="19" t="str">
        <x:v>-0.0313%</x:v>
      </x:c>
      <x:c r="G3177" s="19" t="str">
        <x:v>质量/成本</x:v>
      </x:c>
      <x:c r="H3177" s="19" t="str">
        <x:v>D:/Codex/GRL研究/outputs/grid76/GRID76_report.md</x:v>
      </x:c>
    </x:row>
    <x:row r="3178" ht="36" customHeight="1">
      <x:c r="A3178" s="19" t="str">
        <x:v>GRID76</x:v>
      </x:c>
      <x:c r="B3178" s="19" t="str">
        <x:v>GRID76_report.md</x:v>
      </x:c>
      <x:c r="C3178" s="19" t="str">
        <x:v>1. GRID76 普通上下文门控：13 日期闭环开发检查</x:v>
      </x:c>
      <x:c r="D3178" s="19" t="str">
        <x:v>日期=2035-12-10_6；步数=2017</x:v>
      </x:c>
      <x:c r="E3178" s="19" t="str">
        <x:v>查询</x:v>
      </x:c>
      <x:c r="F3178" s="19" t="str">
        <x:v>4351</x:v>
      </x:c>
      <x:c r="G3178" s="19" t="str">
        <x:v>速度/计算</x:v>
      </x:c>
      <x:c r="H3178" s="19" t="str">
        <x:v>D:/Codex/GRL研究/outputs/grid76/GRID76_report.md</x:v>
      </x:c>
    </x:row>
    <x:row r="3179" ht="36" customHeight="1">
      <x:c r="A3179" s="19" t="str">
        <x:v>GRID76</x:v>
      </x:c>
      <x:c r="B3179" s="19" t="str">
        <x:v>GRID76_report.md</x:v>
      </x:c>
      <x:c r="C3179" s="19" t="str">
        <x:v>1. GRID76 普通上下文门控：13 日期闭环开发检查</x:v>
      </x:c>
      <x:c r="D3179" s="19" t="str">
        <x:v>日期=2035-03-05_0；步数=2017</x:v>
      </x:c>
      <x:c r="E3179" s="19" t="str">
        <x:v>步数</x:v>
      </x:c>
      <x:c r="F3179" s="19" t="str">
        <x:v>2017</x:v>
      </x:c>
      <x:c r="G3179" s="19" t="str">
        <x:v>质量/成本</x:v>
      </x:c>
      <x:c r="H3179" s="19" t="str">
        <x:v>D:/Codex/GRL研究/outputs/grid76/GRID76_report.md</x:v>
      </x:c>
    </x:row>
    <x:row r="3180" ht="36" customHeight="1">
      <x:c r="A3180" s="19" t="str">
        <x:v>GRID76</x:v>
      </x:c>
      <x:c r="B3180" s="19" t="str">
        <x:v>GRID76_report.md</x:v>
      </x:c>
      <x:c r="C3180" s="19" t="str">
        <x:v>1. GRID76 普通上下文门控：13 日期闭环开发检查</x:v>
      </x:c>
      <x:c r="D3180" s="19" t="str">
        <x:v>日期=2035-03-05_0；步数=2017</x:v>
      </x:c>
      <x:c r="E3180" s="19" t="str">
        <x:v>相对FULL完整周成本</x:v>
      </x:c>
      <x:c r="F3180" s="19" t="str">
        <x:v>+0.3720%</x:v>
      </x:c>
      <x:c r="G3180" s="19" t="str">
        <x:v>质量/成本</x:v>
      </x:c>
      <x:c r="H3180" s="19" t="str">
        <x:v>D:/Codex/GRL研究/outputs/grid76/GRID76_report.md</x:v>
      </x:c>
    </x:row>
    <x:row r="3181" ht="36" customHeight="1">
      <x:c r="A3181" s="19" t="str">
        <x:v>GRID76</x:v>
      </x:c>
      <x:c r="B3181" s="19" t="str">
        <x:v>GRID76_report.md</x:v>
      </x:c>
      <x:c r="C3181" s="19" t="str">
        <x:v>1. GRID76 普通上下文门控：13 日期闭环开发检查</x:v>
      </x:c>
      <x:c r="D3181" s="19" t="str">
        <x:v>日期=2035-03-05_0；步数=2017</x:v>
      </x:c>
      <x:c r="E3181" s="19" t="str">
        <x:v>查询</x:v>
      </x:c>
      <x:c r="F3181" s="19" t="str">
        <x:v>3592</x:v>
      </x:c>
      <x:c r="G3181" s="19" t="str">
        <x:v>速度/计算</x:v>
      </x:c>
      <x:c r="H3181" s="19" t="str">
        <x:v>D:/Codex/GRL研究/outputs/grid76/GRID76_report.md</x:v>
      </x:c>
    </x:row>
    <x:row r="3182" ht="36" customHeight="1">
      <x:c r="A3182" s="19" t="str">
        <x:v>GRID76</x:v>
      </x:c>
      <x:c r="B3182" s="19" t="str">
        <x:v>GRID76_report.md</x:v>
      </x:c>
      <x:c r="C3182" s="19" t="str">
        <x:v>1. GRID76 普通上下文门控：13 日期闭环开发检查</x:v>
      </x:c>
      <x:c r="D3182" s="19" t="str">
        <x:v>日期=2035-06-25_8；步数=1901</x:v>
      </x:c>
      <x:c r="E3182" s="19" t="str">
        <x:v>步数</x:v>
      </x:c>
      <x:c r="F3182" s="19" t="str">
        <x:v>1901</x:v>
      </x:c>
      <x:c r="G3182" s="19" t="str">
        <x:v>质量/成本</x:v>
      </x:c>
      <x:c r="H3182" s="19" t="str">
        <x:v>D:/Codex/GRL研究/outputs/grid76/GRID76_report.md</x:v>
      </x:c>
    </x:row>
    <x:row r="3183" ht="36" customHeight="1">
      <x:c r="A3183" s="19" t="str">
        <x:v>GRID76</x:v>
      </x:c>
      <x:c r="B3183" s="19" t="str">
        <x:v>GRID76_report.md</x:v>
      </x:c>
      <x:c r="C3183" s="19" t="str">
        <x:v>1. GRID76 普通上下文门控：13 日期闭环开发检查</x:v>
      </x:c>
      <x:c r="D3183" s="19" t="str">
        <x:v>日期=2035-06-25_8；步数=1901</x:v>
      </x:c>
      <x:c r="E3183" s="19" t="str">
        <x:v>相对FULL完整周成本</x:v>
      </x:c>
      <x:c r="F3183" s="19" t="str">
        <x:v>未完成，不能比较完整周成本</x:v>
      </x:c>
      <x:c r="G3183" s="19" t="str">
        <x:v>质量/成本</x:v>
      </x:c>
      <x:c r="H3183" s="19" t="str">
        <x:v>D:/Codex/GRL研究/outputs/grid76/GRID76_report.md</x:v>
      </x:c>
    </x:row>
    <x:row r="3184" ht="36" customHeight="1">
      <x:c r="A3184" s="19" t="str">
        <x:v>GRID76</x:v>
      </x:c>
      <x:c r="B3184" s="19" t="str">
        <x:v>GRID76_report.md</x:v>
      </x:c>
      <x:c r="C3184" s="19" t="str">
        <x:v>1. GRID76 普通上下文门控：13 日期闭环开发检查</x:v>
      </x:c>
      <x:c r="D3184" s="19" t="str">
        <x:v>日期=2035-06-25_8；步数=1901</x:v>
      </x:c>
      <x:c r="E3184" s="19" t="str">
        <x:v>查询</x:v>
      </x:c>
      <x:c r="F3184" s="19" t="str">
        <x:v>1428</x:v>
      </x:c>
      <x:c r="G3184" s="19" t="str">
        <x:v>速度/计算</x:v>
      </x:c>
      <x:c r="H3184" s="19" t="str">
        <x:v>D:/Codex/GRL研究/outputs/grid76/GRID76_report.md</x:v>
      </x:c>
    </x:row>
    <x:row r="3185" ht="36" customHeight="1">
      <x:c r="A3185" s="19" t="str">
        <x:v>GRID76</x:v>
      </x:c>
      <x:c r="B3185" s="19" t="str">
        <x:v>GRID76_report.md</x:v>
      </x:c>
      <x:c r="C3185" s="19" t="str">
        <x:v>1. GRID76 普通上下文门控：13 日期闭环开发检查</x:v>
      </x:c>
      <x:c r="D3185" s="19" t="str">
        <x:v>日期=2035-09-03_4；步数=2017</x:v>
      </x:c>
      <x:c r="E3185" s="19" t="str">
        <x:v>步数</x:v>
      </x:c>
      <x:c r="F3185" s="19" t="str">
        <x:v>2017</x:v>
      </x:c>
      <x:c r="G3185" s="19" t="str">
        <x:v>质量/成本</x:v>
      </x:c>
      <x:c r="H3185" s="19" t="str">
        <x:v>D:/Codex/GRL研究/outputs/grid76/GRID76_report.md</x:v>
      </x:c>
    </x:row>
    <x:row r="3186" ht="36" customHeight="1">
      <x:c r="A3186" s="19" t="str">
        <x:v>GRID76</x:v>
      </x:c>
      <x:c r="B3186" s="19" t="str">
        <x:v>GRID76_report.md</x:v>
      </x:c>
      <x:c r="C3186" s="19" t="str">
        <x:v>1. GRID76 普通上下文门控：13 日期闭环开发检查</x:v>
      </x:c>
      <x:c r="D3186" s="19" t="str">
        <x:v>日期=2035-09-03_4；步数=2017</x:v>
      </x:c>
      <x:c r="E3186" s="19" t="str">
        <x:v>相对FULL完整周成本</x:v>
      </x:c>
      <x:c r="F3186" s="19" t="str">
        <x:v>-1.8666%</x:v>
      </x:c>
      <x:c r="G3186" s="19" t="str">
        <x:v>质量/成本</x:v>
      </x:c>
      <x:c r="H3186" s="19" t="str">
        <x:v>D:/Codex/GRL研究/outputs/grid76/GRID76_report.md</x:v>
      </x:c>
    </x:row>
    <x:row r="3187" ht="36" customHeight="1">
      <x:c r="A3187" s="19" t="str">
        <x:v>GRID76</x:v>
      </x:c>
      <x:c r="B3187" s="19" t="str">
        <x:v>GRID76_report.md</x:v>
      </x:c>
      <x:c r="C3187" s="19" t="str">
        <x:v>1. GRID76 普通上下文门控：13 日期闭环开发检查</x:v>
      </x:c>
      <x:c r="D3187" s="19" t="str">
        <x:v>日期=2035-09-03_4；步数=2017</x:v>
      </x:c>
      <x:c r="E3187" s="19" t="str">
        <x:v>查询</x:v>
      </x:c>
      <x:c r="F3187" s="19" t="str">
        <x:v>2859</x:v>
      </x:c>
      <x:c r="G3187" s="19" t="str">
        <x:v>速度/计算</x:v>
      </x:c>
      <x:c r="H3187" s="19" t="str">
        <x:v>D:/Codex/GRL研究/outputs/grid76/GRID76_report.md</x:v>
      </x:c>
    </x:row>
    <x:row r="3188" ht="36" customHeight="1">
      <x:c r="A3188" s="19" t="str">
        <x:v>GRID76</x:v>
      </x:c>
      <x:c r="B3188" s="19" t="str">
        <x:v>GRID76_report.md</x:v>
      </x:c>
      <x:c r="C3188" s="19" t="str">
        <x:v>1. GRID76 普通上下文门控：13 日期闭环开发检查</x:v>
      </x:c>
      <x:c r="D3188" s="19" t="str">
        <x:v>日期=2035-10-01_5；步数=2017</x:v>
      </x:c>
      <x:c r="E3188" s="19" t="str">
        <x:v>步数</x:v>
      </x:c>
      <x:c r="F3188" s="19" t="str">
        <x:v>2017</x:v>
      </x:c>
      <x:c r="G3188" s="19" t="str">
        <x:v>质量/成本</x:v>
      </x:c>
      <x:c r="H3188" s="19" t="str">
        <x:v>D:/Codex/GRL研究/outputs/grid76/GRID76_report.md</x:v>
      </x:c>
    </x:row>
    <x:row r="3189" ht="36" customHeight="1">
      <x:c r="A3189" s="19" t="str">
        <x:v>GRID76</x:v>
      </x:c>
      <x:c r="B3189" s="19" t="str">
        <x:v>GRID76_report.md</x:v>
      </x:c>
      <x:c r="C3189" s="19" t="str">
        <x:v>1. GRID76 普通上下文门控：13 日期闭环开发检查</x:v>
      </x:c>
      <x:c r="D3189" s="19" t="str">
        <x:v>日期=2035-10-01_5；步数=2017</x:v>
      </x:c>
      <x:c r="E3189" s="19" t="str">
        <x:v>相对FULL完整周成本</x:v>
      </x:c>
      <x:c r="F3189" s="19" t="str">
        <x:v>+0.0000%</x:v>
      </x:c>
      <x:c r="G3189" s="19" t="str">
        <x:v>质量/成本</x:v>
      </x:c>
      <x:c r="H3189" s="19" t="str">
        <x:v>D:/Codex/GRL研究/outputs/grid76/GRID76_report.md</x:v>
      </x:c>
    </x:row>
    <x:row r="3190" ht="36" customHeight="1">
      <x:c r="A3190" s="19" t="str">
        <x:v>GRID76</x:v>
      </x:c>
      <x:c r="B3190" s="19" t="str">
        <x:v>GRID76_report.md</x:v>
      </x:c>
      <x:c r="C3190" s="19" t="str">
        <x:v>1. GRID76 普通上下文门控：13 日期闭环开发检查</x:v>
      </x:c>
      <x:c r="D3190" s="19" t="str">
        <x:v>日期=2035-10-01_5；步数=2017</x:v>
      </x:c>
      <x:c r="E3190" s="19" t="str">
        <x:v>查询</x:v>
      </x:c>
      <x:c r="F3190" s="19" t="str">
        <x:v>256</x:v>
      </x:c>
      <x:c r="G3190" s="19" t="str">
        <x:v>速度/计算</x:v>
      </x:c>
      <x:c r="H3190" s="19" t="str">
        <x:v>D:/Codex/GRL研究/outputs/grid76/GRID76_report.md</x:v>
      </x:c>
    </x:row>
    <x:row r="3191" ht="36" customHeight="1">
      <x:c r="A3191" s="19" t="str">
        <x:v>GRID76</x:v>
      </x:c>
      <x:c r="B3191" s="19" t="str">
        <x:v>GRID76_report.md</x:v>
      </x:c>
      <x:c r="C3191" s="19" t="str">
        <x:v>1. GRID76 普通上下文门控：13 日期闭环开发检查</x:v>
      </x:c>
      <x:c r="D3191" s="19" t="str">
        <x:v>日期=2035-04-09_3；步数=2017</x:v>
      </x:c>
      <x:c r="E3191" s="19" t="str">
        <x:v>步数</x:v>
      </x:c>
      <x:c r="F3191" s="19" t="str">
        <x:v>2017</x:v>
      </x:c>
      <x:c r="G3191" s="19" t="str">
        <x:v>质量/成本</x:v>
      </x:c>
      <x:c r="H3191" s="19" t="str">
        <x:v>D:/Codex/GRL研究/outputs/grid76/GRID76_report.md</x:v>
      </x:c>
    </x:row>
    <x:row r="3192" ht="36" customHeight="1">
      <x:c r="A3192" s="19" t="str">
        <x:v>GRID76</x:v>
      </x:c>
      <x:c r="B3192" s="19" t="str">
        <x:v>GRID76_report.md</x:v>
      </x:c>
      <x:c r="C3192" s="19" t="str">
        <x:v>1. GRID76 普通上下文门控：13 日期闭环开发检查</x:v>
      </x:c>
      <x:c r="D3192" s="19" t="str">
        <x:v>日期=2035-04-09_3；步数=2017</x:v>
      </x:c>
      <x:c r="E3192" s="19" t="str">
        <x:v>相对FULL完整周成本</x:v>
      </x:c>
      <x:c r="F3192" s="19" t="str">
        <x:v>-1.3275%</x:v>
      </x:c>
      <x:c r="G3192" s="19" t="str">
        <x:v>质量/成本</x:v>
      </x:c>
      <x:c r="H3192" s="19" t="str">
        <x:v>D:/Codex/GRL研究/outputs/grid76/GRID76_report.md</x:v>
      </x:c>
    </x:row>
    <x:row r="3193" ht="36" customHeight="1">
      <x:c r="A3193" s="19" t="str">
        <x:v>GRID76</x:v>
      </x:c>
      <x:c r="B3193" s="19" t="str">
        <x:v>GRID76_report.md</x:v>
      </x:c>
      <x:c r="C3193" s="19" t="str">
        <x:v>1. GRID76 普通上下文门控：13 日期闭环开发检查</x:v>
      </x:c>
      <x:c r="D3193" s="19" t="str">
        <x:v>日期=2035-04-09_3；步数=2017</x:v>
      </x:c>
      <x:c r="E3193" s="19" t="str">
        <x:v>查询</x:v>
      </x:c>
      <x:c r="F3193" s="19" t="str">
        <x:v>1396</x:v>
      </x:c>
      <x:c r="G3193" s="19" t="str">
        <x:v>速度/计算</x:v>
      </x:c>
      <x:c r="H3193" s="19" t="str">
        <x:v>D:/Codex/GRL研究/outputs/grid76/GRID76_report.md</x:v>
      </x:c>
    </x:row>
    <x:row r="3194" ht="36" customHeight="1">
      <x:c r="A3194" s="19" t="str">
        <x:v>GRID76</x:v>
      </x:c>
      <x:c r="B3194" s="19" t="str">
        <x:v>GRID76_report.md</x:v>
      </x:c>
      <x:c r="C3194" s="19" t="str">
        <x:v>1. GRID76 普通上下文门控：13 日期闭环开发检查</x:v>
      </x:c>
      <x:c r="D3194" s="19" t="str">
        <x:v>日期=2035-05-14_14；步数=747</x:v>
      </x:c>
      <x:c r="E3194" s="19" t="str">
        <x:v>步数</x:v>
      </x:c>
      <x:c r="F3194" s="19" t="str">
        <x:v>747</x:v>
      </x:c>
      <x:c r="G3194" s="19" t="str">
        <x:v>质量/成本</x:v>
      </x:c>
      <x:c r="H3194" s="19" t="str">
        <x:v>D:/Codex/GRL研究/outputs/grid76/GRID76_report.md</x:v>
      </x:c>
    </x:row>
    <x:row r="3195" ht="36" customHeight="1">
      <x:c r="A3195" s="19" t="str">
        <x:v>GRID76</x:v>
      </x:c>
      <x:c r="B3195" s="19" t="str">
        <x:v>GRID76_report.md</x:v>
      </x:c>
      <x:c r="C3195" s="19" t="str">
        <x:v>1. GRID76 普通上下文门控：13 日期闭环开发检查</x:v>
      </x:c>
      <x:c r="D3195" s="19" t="str">
        <x:v>日期=2035-05-14_14；步数=747</x:v>
      </x:c>
      <x:c r="E3195" s="19" t="str">
        <x:v>相对FULL完整周成本</x:v>
      </x:c>
      <x:c r="F3195" s="19" t="str">
        <x:v>未完成，不能比较完整周成本</x:v>
      </x:c>
      <x:c r="G3195" s="19" t="str">
        <x:v>质量/成本</x:v>
      </x:c>
      <x:c r="H3195" s="19" t="str">
        <x:v>D:/Codex/GRL研究/outputs/grid76/GRID76_report.md</x:v>
      </x:c>
    </x:row>
    <x:row r="3196" ht="36" customHeight="1">
      <x:c r="A3196" s="19" t="str">
        <x:v>GRID76</x:v>
      </x:c>
      <x:c r="B3196" s="19" t="str">
        <x:v>GRID76_report.md</x:v>
      </x:c>
      <x:c r="C3196" s="19" t="str">
        <x:v>1. GRID76 普通上下文门控：13 日期闭环开发检查</x:v>
      </x:c>
      <x:c r="D3196" s="19" t="str">
        <x:v>日期=2035-05-14_14；步数=747</x:v>
      </x:c>
      <x:c r="E3196" s="19" t="str">
        <x:v>查询</x:v>
      </x:c>
      <x:c r="F3196" s="19" t="str">
        <x:v>0</x:v>
      </x:c>
      <x:c r="G3196" s="19" t="str">
        <x:v>速度/计算</x:v>
      </x:c>
      <x:c r="H3196" s="19" t="str">
        <x:v>D:/Codex/GRL研究/outputs/grid76/GRID76_report.md</x:v>
      </x:c>
    </x:row>
    <x:row r="3197" ht="36" customHeight="1">
      <x:c r="A3197" s="19" t="str">
        <x:v>GRID76</x:v>
      </x:c>
      <x:c r="B3197" s="19" t="str">
        <x:v>GRID76_report.md</x:v>
      </x:c>
      <x:c r="C3197" s="19" t="str">
        <x:v>1. GRID76 普通上下文门控：13 日期闭环开发检查</x:v>
      </x:c>
      <x:c r="D3197" s="19" t="str">
        <x:v>日期=2035-11-19_0；步数=2017</x:v>
      </x:c>
      <x:c r="E3197" s="19" t="str">
        <x:v>步数</x:v>
      </x:c>
      <x:c r="F3197" s="19" t="str">
        <x:v>2017</x:v>
      </x:c>
      <x:c r="G3197" s="19" t="str">
        <x:v>质量/成本</x:v>
      </x:c>
      <x:c r="H3197" s="19" t="str">
        <x:v>D:/Codex/GRL研究/outputs/grid76/GRID76_report.md</x:v>
      </x:c>
    </x:row>
    <x:row r="3198" ht="36" customHeight="1">
      <x:c r="A3198" s="19" t="str">
        <x:v>GRID76</x:v>
      </x:c>
      <x:c r="B3198" s="19" t="str">
        <x:v>GRID76_report.md</x:v>
      </x:c>
      <x:c r="C3198" s="19" t="str">
        <x:v>1. GRID76 普通上下文门控：13 日期闭环开发检查</x:v>
      </x:c>
      <x:c r="D3198" s="19" t="str">
        <x:v>日期=2035-11-19_0；步数=2017</x:v>
      </x:c>
      <x:c r="E3198" s="19" t="str">
        <x:v>相对FULL完整周成本</x:v>
      </x:c>
      <x:c r="F3198" s="19" t="str">
        <x:v>+0.0139%</x:v>
      </x:c>
      <x:c r="G3198" s="19" t="str">
        <x:v>质量/成本</x:v>
      </x:c>
      <x:c r="H3198" s="19" t="str">
        <x:v>D:/Codex/GRL研究/outputs/grid76/GRID76_report.md</x:v>
      </x:c>
    </x:row>
    <x:row r="3199" ht="36" customHeight="1">
      <x:c r="A3199" s="19" t="str">
        <x:v>GRID76</x:v>
      </x:c>
      <x:c r="B3199" s="19" t="str">
        <x:v>GRID76_report.md</x:v>
      </x:c>
      <x:c r="C3199" s="19" t="str">
        <x:v>1. GRID76 普通上下文门控：13 日期闭环开发检查</x:v>
      </x:c>
      <x:c r="D3199" s="19" t="str">
        <x:v>日期=2035-11-19_0；步数=2017</x:v>
      </x:c>
      <x:c r="E3199" s="19" t="str">
        <x:v>查询</x:v>
      </x:c>
      <x:c r="F3199" s="19" t="str">
        <x:v>640</x:v>
      </x:c>
      <x:c r="G3199" s="19" t="str">
        <x:v>速度/计算</x:v>
      </x:c>
      <x:c r="H3199" s="19" t="str">
        <x:v>D:/Codex/GRL研究/outputs/grid76/GRID76_report.md</x:v>
      </x:c>
    </x:row>
    <x:row r="3200" ht="36" customHeight="1">
      <x:c r="A3200" s="19" t="str">
        <x:v>GRID76</x:v>
      </x:c>
      <x:c r="B3200" s="19" t="str">
        <x:v>GRID76_report.md</x:v>
      </x:c>
      <x:c r="C3200" s="19" t="str">
        <x:v>1. GRID76 普通上下文门控：13 日期闭环开发检查</x:v>
      </x:c>
      <x:c r="D3200" s="19" t="str">
        <x:v>日期=2035-01-01_8；步数=2017</x:v>
      </x:c>
      <x:c r="E3200" s="19" t="str">
        <x:v>步数</x:v>
      </x:c>
      <x:c r="F3200" s="19" t="str">
        <x:v>2017</x:v>
      </x:c>
      <x:c r="G3200" s="19" t="str">
        <x:v>质量/成本</x:v>
      </x:c>
      <x:c r="H3200" s="19" t="str">
        <x:v>D:/Codex/GRL研究/outputs/grid76/GRID76_report.md</x:v>
      </x:c>
    </x:row>
    <x:row r="3201" ht="36" customHeight="1">
      <x:c r="A3201" s="19" t="str">
        <x:v>GRID76</x:v>
      </x:c>
      <x:c r="B3201" s="19" t="str">
        <x:v>GRID76_report.md</x:v>
      </x:c>
      <x:c r="C3201" s="19" t="str">
        <x:v>1. GRID76 普通上下文门控：13 日期闭环开发检查</x:v>
      </x:c>
      <x:c r="D3201" s="19" t="str">
        <x:v>日期=2035-01-01_8；步数=2017</x:v>
      </x:c>
      <x:c r="E3201" s="19" t="str">
        <x:v>相对FULL完整周成本</x:v>
      </x:c>
      <x:c r="F3201" s="19" t="str">
        <x:v>+0.0000%</x:v>
      </x:c>
      <x:c r="G3201" s="19" t="str">
        <x:v>质量/成本</x:v>
      </x:c>
      <x:c r="H3201" s="19" t="str">
        <x:v>D:/Codex/GRL研究/outputs/grid76/GRID76_report.md</x:v>
      </x:c>
    </x:row>
    <x:row r="3202" ht="36" customHeight="1">
      <x:c r="A3202" s="19" t="str">
        <x:v>GRID76</x:v>
      </x:c>
      <x:c r="B3202" s="19" t="str">
        <x:v>GRID76_report.md</x:v>
      </x:c>
      <x:c r="C3202" s="19" t="str">
        <x:v>1. GRID76 普通上下文门控：13 日期闭环开发检查</x:v>
      </x:c>
      <x:c r="D3202" s="19" t="str">
        <x:v>日期=2035-01-01_8；步数=2017</x:v>
      </x:c>
      <x:c r="E3202" s="19" t="str">
        <x:v>查询</x:v>
      </x:c>
      <x:c r="F3202" s="19" t="str">
        <x:v>767</x:v>
      </x:c>
      <x:c r="G3202" s="19" t="str">
        <x:v>速度/计算</x:v>
      </x:c>
      <x:c r="H3202" s="19" t="str">
        <x:v>D:/Codex/GRL研究/outputs/grid76/GRID76_report.md</x:v>
      </x:c>
    </x:row>
    <x:row r="3203" ht="36" customHeight="1">
      <x:c r="A3203" s="19" t="str">
        <x:v>GRID76</x:v>
      </x:c>
      <x:c r="B3203" s="19" t="str">
        <x:v>GRID76_report.md</x:v>
      </x:c>
      <x:c r="C3203" s="19" t="str">
        <x:v>1. GRID76 普通上下文门控：13 日期闭环开发检查</x:v>
      </x:c>
      <x:c r="D3203" s="19" t="str">
        <x:v>日期=2035-02-19_8；步数=2017</x:v>
      </x:c>
      <x:c r="E3203" s="19" t="str">
        <x:v>步数</x:v>
      </x:c>
      <x:c r="F3203" s="19" t="str">
        <x:v>2017</x:v>
      </x:c>
      <x:c r="G3203" s="19" t="str">
        <x:v>质量/成本</x:v>
      </x:c>
      <x:c r="H3203" s="19" t="str">
        <x:v>D:/Codex/GRL研究/outputs/grid76/GRID76_report.md</x:v>
      </x:c>
    </x:row>
    <x:row r="3204" ht="36" customHeight="1">
      <x:c r="A3204" s="19" t="str">
        <x:v>GRID76</x:v>
      </x:c>
      <x:c r="B3204" s="19" t="str">
        <x:v>GRID76_report.md</x:v>
      </x:c>
      <x:c r="C3204" s="19" t="str">
        <x:v>1. GRID76 普通上下文门控：13 日期闭环开发检查</x:v>
      </x:c>
      <x:c r="D3204" s="19" t="str">
        <x:v>日期=2035-02-19_8；步数=2017</x:v>
      </x:c>
      <x:c r="E3204" s="19" t="str">
        <x:v>相对FULL完整周成本</x:v>
      </x:c>
      <x:c r="F3204" s="19" t="str">
        <x:v>-2.2551%</x:v>
      </x:c>
      <x:c r="G3204" s="19" t="str">
        <x:v>质量/成本</x:v>
      </x:c>
      <x:c r="H3204" s="19" t="str">
        <x:v>D:/Codex/GRL研究/outputs/grid76/GRID76_report.md</x:v>
      </x:c>
    </x:row>
    <x:row r="3205" ht="36" customHeight="1">
      <x:c r="A3205" s="19" t="str">
        <x:v>GRID76</x:v>
      </x:c>
      <x:c r="B3205" s="19" t="str">
        <x:v>GRID76_report.md</x:v>
      </x:c>
      <x:c r="C3205" s="19" t="str">
        <x:v>1. GRID76 普通上下文门控：13 日期闭环开发检查</x:v>
      </x:c>
      <x:c r="D3205" s="19" t="str">
        <x:v>日期=2035-02-19_8；步数=2017</x:v>
      </x:c>
      <x:c r="E3205" s="19" t="str">
        <x:v>查询</x:v>
      </x:c>
      <x:c r="F3205" s="19" t="str">
        <x:v>6176</x:v>
      </x:c>
      <x:c r="G3205" s="19" t="str">
        <x:v>速度/计算</x:v>
      </x:c>
      <x:c r="H3205" s="19" t="str">
        <x:v>D:/Codex/GRL研究/outputs/grid76/GRID76_report.md</x:v>
      </x:c>
    </x:row>
    <x:row r="3206" ht="36" customHeight="1">
      <x:c r="A3206" s="19" t="str">
        <x:v>GRID76</x:v>
      </x:c>
      <x:c r="B3206" s="19" t="str">
        <x:v>GRID76_report.md</x:v>
      </x:c>
      <x:c r="C3206" s="19" t="str">
        <x:v>1. GRID76 普通上下文门控：13 日期闭环开发检查</x:v>
      </x:c>
      <x:c r="D3206" s="19" t="str">
        <x:v>日期=2035-04-02_9；步数=2017</x:v>
      </x:c>
      <x:c r="E3206" s="19" t="str">
        <x:v>步数</x:v>
      </x:c>
      <x:c r="F3206" s="19" t="str">
        <x:v>2017</x:v>
      </x:c>
      <x:c r="G3206" s="19" t="str">
        <x:v>质量/成本</x:v>
      </x:c>
      <x:c r="H3206" s="19" t="str">
        <x:v>D:/Codex/GRL研究/outputs/grid76/GRID76_report.md</x:v>
      </x:c>
    </x:row>
    <x:row r="3207" ht="36" customHeight="1">
      <x:c r="A3207" s="19" t="str">
        <x:v>GRID76</x:v>
      </x:c>
      <x:c r="B3207" s="19" t="str">
        <x:v>GRID76_report.md</x:v>
      </x:c>
      <x:c r="C3207" s="19" t="str">
        <x:v>1. GRID76 普通上下文门控：13 日期闭环开发检查</x:v>
      </x:c>
      <x:c r="D3207" s="19" t="str">
        <x:v>日期=2035-04-02_9；步数=2017</x:v>
      </x:c>
      <x:c r="E3207" s="19" t="str">
        <x:v>相对FULL完整周成本</x:v>
      </x:c>
      <x:c r="F3207" s="19" t="str">
        <x:v>-3.1580%</x:v>
      </x:c>
      <x:c r="G3207" s="19" t="str">
        <x:v>质量/成本</x:v>
      </x:c>
      <x:c r="H3207" s="19" t="str">
        <x:v>D:/Codex/GRL研究/outputs/grid76/GRID76_report.md</x:v>
      </x:c>
    </x:row>
    <x:row r="3208" ht="36" customHeight="1">
      <x:c r="A3208" s="19" t="str">
        <x:v>GRID76</x:v>
      </x:c>
      <x:c r="B3208" s="19" t="str">
        <x:v>GRID76_report.md</x:v>
      </x:c>
      <x:c r="C3208" s="19" t="str">
        <x:v>1. GRID76 普通上下文门控：13 日期闭环开发检查</x:v>
      </x:c>
      <x:c r="D3208" s="19" t="str">
        <x:v>日期=2035-04-02_9；步数=2017</x:v>
      </x:c>
      <x:c r="E3208" s="19" t="str">
        <x:v>查询</x:v>
      </x:c>
      <x:c r="F3208" s="19" t="str">
        <x:v>2491</x:v>
      </x:c>
      <x:c r="G3208" s="19" t="str">
        <x:v>速度/计算</x:v>
      </x:c>
      <x:c r="H3208" s="19" t="str">
        <x:v>D:/Codex/GRL研究/outputs/grid76/GRID76_report.md</x:v>
      </x:c>
    </x:row>
    <x:row r="3209" ht="36" customHeight="1">
      <x:c r="A3209" s="19" t="str">
        <x:v>GRID76</x:v>
      </x:c>
      <x:c r="B3209" s="19" t="str">
        <x:v>GRID76_report.md</x:v>
      </x:c>
      <x:c r="C3209" s="19" t="str">
        <x:v>1. GRID76 普通上下文门控：13 日期闭环开发检查</x:v>
      </x:c>
      <x:c r="D3209" s="19" t="str">
        <x:v>日期=2035-12-17_1；步数=2017</x:v>
      </x:c>
      <x:c r="E3209" s="19" t="str">
        <x:v>步数</x:v>
      </x:c>
      <x:c r="F3209" s="19" t="str">
        <x:v>2017</x:v>
      </x:c>
      <x:c r="G3209" s="19" t="str">
        <x:v>质量/成本</x:v>
      </x:c>
      <x:c r="H3209" s="19" t="str">
        <x:v>D:/Codex/GRL研究/outputs/grid76/GRID76_report.md</x:v>
      </x:c>
    </x:row>
    <x:row r="3210" ht="36" customHeight="1">
      <x:c r="A3210" s="19" t="str">
        <x:v>GRID76</x:v>
      </x:c>
      <x:c r="B3210" s="19" t="str">
        <x:v>GRID76_report.md</x:v>
      </x:c>
      <x:c r="C3210" s="19" t="str">
        <x:v>1. GRID76 普通上下文门控：13 日期闭环开发检查</x:v>
      </x:c>
      <x:c r="D3210" s="19" t="str">
        <x:v>日期=2035-12-17_1；步数=2017</x:v>
      </x:c>
      <x:c r="E3210" s="19" t="str">
        <x:v>相对FULL完整周成本</x:v>
      </x:c>
      <x:c r="F3210" s="19" t="str">
        <x:v>-0.1089%</x:v>
      </x:c>
      <x:c r="G3210" s="19" t="str">
        <x:v>质量/成本</x:v>
      </x:c>
      <x:c r="H3210" s="19" t="str">
        <x:v>D:/Codex/GRL研究/outputs/grid76/GRID76_report.md</x:v>
      </x:c>
    </x:row>
    <x:row r="3211" ht="36" customHeight="1">
      <x:c r="A3211" s="19" t="str">
        <x:v>GRID76</x:v>
      </x:c>
      <x:c r="B3211" s="19" t="str">
        <x:v>GRID76_report.md</x:v>
      </x:c>
      <x:c r="C3211" s="19" t="str">
        <x:v>1. GRID76 普通上下文门控：13 日期闭环开发检查</x:v>
      </x:c>
      <x:c r="D3211" s="19" t="str">
        <x:v>日期=2035-12-17_1；步数=2017</x:v>
      </x:c>
      <x:c r="E3211" s="19" t="str">
        <x:v>查询</x:v>
      </x:c>
      <x:c r="F3211" s="19" t="str">
        <x:v>4286</x:v>
      </x:c>
      <x:c r="G3211" s="19" t="str">
        <x:v>速度/计算</x:v>
      </x:c>
      <x:c r="H3211" s="19" t="str">
        <x:v>D:/Codex/GRL研究/outputs/grid76/GRID76_report.md</x:v>
      </x:c>
    </x:row>
    <x:row r="3212" ht="36" customHeight="1">
      <x:c r="A3212" s="19" t="str">
        <x:v>GRID77</x:v>
      </x:c>
      <x:c r="B3212" s="19" t="str">
        <x:v>GRID77_report.md</x:v>
      </x:c>
      <x:c r="C3212" s="19" t="str">
        <x:v>1. GRID77 相同上下文与核查权限的会议方法适配</x:v>
      </x:c>
      <x:c r="D3212" s="19" t="str">
        <x:v>费用=0.25；种子=0</x:v>
      </x:c>
      <x:c r="E3212" s="19" t="str">
        <x:v>种子</x:v>
      </x:c>
      <x:c r="F3212" s="19" t="str">
        <x:v>0</x:v>
      </x:c>
      <x:c r="G3212" s="19" t="str">
        <x:v>其他/配置</x:v>
      </x:c>
      <x:c r="H3212" s="19" t="str">
        <x:v>D:/Codex/GRL研究/outputs/grid77/GRID77_report.md</x:v>
      </x:c>
    </x:row>
    <x:row r="3213" ht="36" customHeight="1">
      <x:c r="A3213" s="19" t="str">
        <x:v>GRID77</x:v>
      </x:c>
      <x:c r="B3213" s="19" t="str">
        <x:v>GRID77_report.md</x:v>
      </x:c>
      <x:c r="C3213" s="19" t="str">
        <x:v>1. GRID77 相同上下文与核查权限的会议方法适配</x:v>
      </x:c>
      <x:c r="D3213" s="19" t="str">
        <x:v>费用=0.25；种子=0</x:v>
      </x:c>
      <x:c r="E3213" s="19" t="str">
        <x:v>校准查询</x:v>
      </x:c>
      <x:c r="F3213" s="19" t="str">
        <x:v>138.182</x:v>
      </x:c>
      <x:c r="G3213" s="19" t="str">
        <x:v>速度/计算</x:v>
      </x:c>
      <x:c r="H3213" s="19" t="str">
        <x:v>D:/Codex/GRL研究/outputs/grid77/GRID77_report.md</x:v>
      </x:c>
    </x:row>
    <x:row r="3214" ht="36" customHeight="1">
      <x:c r="A3214" s="19" t="str">
        <x:v>GRID77</x:v>
      </x:c>
      <x:c r="B3214" s="19" t="str">
        <x:v>GRID77_report.md</x:v>
      </x:c>
      <x:c r="C3214" s="19" t="str">
        <x:v>1. GRID77 相同上下文与核查权限的会议方法适配</x:v>
      </x:c>
      <x:c r="D3214" s="19" t="str">
        <x:v>费用=0.25；种子=0</x:v>
      </x:c>
      <x:c r="E3214" s="19" t="str">
        <x:v>均值遗憾</x:v>
      </x:c>
      <x:c r="F3214" s="19" t="str">
        <x:v>0.0068085</x:v>
      </x:c>
      <x:c r="G3214" s="19" t="str">
        <x:v>质量/成本</x:v>
      </x:c>
      <x:c r="H3214" s="19" t="str">
        <x:v>D:/Codex/GRL研究/outputs/grid77/GRID77_report.md</x:v>
      </x:c>
    </x:row>
    <x:row r="3215" ht="36" customHeight="1">
      <x:c r="A3215" s="19" t="str">
        <x:v>GRID77</x:v>
      </x:c>
      <x:c r="B3215" s="19" t="str">
        <x:v>GRID77_report.md</x:v>
      </x:c>
      <x:c r="C3215" s="19" t="str">
        <x:v>1. GRID77 相同上下文与核查权限的会议方法适配</x:v>
      </x:c>
      <x:c r="D3215" s="19" t="str">
        <x:v>费用=0.25；种子=0</x:v>
      </x:c>
      <x:c r="E3215" s="19" t="str">
        <x:v>最大遗憾</x:v>
      </x:c>
      <x:c r="F3215" s="19" t="str">
        <x:v>0.0379096</x:v>
      </x:c>
      <x:c r="G3215" s="19" t="str">
        <x:v>质量/成本</x:v>
      </x:c>
      <x:c r="H3215" s="19" t="str">
        <x:v>D:/Codex/GRL研究/outputs/grid77/GRID77_report.md</x:v>
      </x:c>
    </x:row>
    <x:row r="3216" ht="36" customHeight="1">
      <x:c r="A3216" s="19" t="str">
        <x:v>GRID77</x:v>
      </x:c>
      <x:c r="B3216" s="19" t="str">
        <x:v>GRID77_report.md</x:v>
      </x:c>
      <x:c r="C3216" s="19" t="str">
        <x:v>1. GRID77 相同上下文与核查权限的会议方法适配</x:v>
      </x:c>
      <x:c r="D3216" s="19" t="str">
        <x:v>费用=0.25；种子=1</x:v>
      </x:c>
      <x:c r="E3216" s="19" t="str">
        <x:v>种子</x:v>
      </x:c>
      <x:c r="F3216" s="19" t="str">
        <x:v>1</x:v>
      </x:c>
      <x:c r="G3216" s="19" t="str">
        <x:v>其他/配置</x:v>
      </x:c>
      <x:c r="H3216" s="19" t="str">
        <x:v>D:/Codex/GRL研究/outputs/grid77/GRID77_report.md</x:v>
      </x:c>
    </x:row>
    <x:row r="3217" ht="36" customHeight="1">
      <x:c r="A3217" s="19" t="str">
        <x:v>GRID77</x:v>
      </x:c>
      <x:c r="B3217" s="19" t="str">
        <x:v>GRID77_report.md</x:v>
      </x:c>
      <x:c r="C3217" s="19" t="str">
        <x:v>1. GRID77 相同上下文与核查权限的会议方法适配</x:v>
      </x:c>
      <x:c r="D3217" s="19" t="str">
        <x:v>费用=0.25；种子=1</x:v>
      </x:c>
      <x:c r="E3217" s="19" t="str">
        <x:v>校准查询</x:v>
      </x:c>
      <x:c r="F3217" s="19" t="str">
        <x:v>130.909</x:v>
      </x:c>
      <x:c r="G3217" s="19" t="str">
        <x:v>速度/计算</x:v>
      </x:c>
      <x:c r="H3217" s="19" t="str">
        <x:v>D:/Codex/GRL研究/outputs/grid77/GRID77_report.md</x:v>
      </x:c>
    </x:row>
    <x:row r="3218" ht="36" customHeight="1">
      <x:c r="A3218" s="19" t="str">
        <x:v>GRID77</x:v>
      </x:c>
      <x:c r="B3218" s="19" t="str">
        <x:v>GRID77_report.md</x:v>
      </x:c>
      <x:c r="C3218" s="19" t="str">
        <x:v>1. GRID77 相同上下文与核查权限的会议方法适配</x:v>
      </x:c>
      <x:c r="D3218" s="19" t="str">
        <x:v>费用=0.25；种子=1</x:v>
      </x:c>
      <x:c r="E3218" s="19" t="str">
        <x:v>均值遗憾</x:v>
      </x:c>
      <x:c r="F3218" s="19" t="str">
        <x:v>0.00811751</x:v>
      </x:c>
      <x:c r="G3218" s="19" t="str">
        <x:v>质量/成本</x:v>
      </x:c>
      <x:c r="H3218" s="19" t="str">
        <x:v>D:/Codex/GRL研究/outputs/grid77/GRID77_report.md</x:v>
      </x:c>
    </x:row>
    <x:row r="3219" ht="36" customHeight="1">
      <x:c r="A3219" s="19" t="str">
        <x:v>GRID77</x:v>
      </x:c>
      <x:c r="B3219" s="19" t="str">
        <x:v>GRID77_report.md</x:v>
      </x:c>
      <x:c r="C3219" s="19" t="str">
        <x:v>1. GRID77 相同上下文与核查权限的会议方法适配</x:v>
      </x:c>
      <x:c r="D3219" s="19" t="str">
        <x:v>费用=0.25；种子=1</x:v>
      </x:c>
      <x:c r="E3219" s="19" t="str">
        <x:v>最大遗憾</x:v>
      </x:c>
      <x:c r="F3219" s="19" t="str">
        <x:v>0.0379096</x:v>
      </x:c>
      <x:c r="G3219" s="19" t="str">
        <x:v>质量/成本</x:v>
      </x:c>
      <x:c r="H3219" s="19" t="str">
        <x:v>D:/Codex/GRL研究/outputs/grid77/GRID77_report.md</x:v>
      </x:c>
    </x:row>
    <x:row r="3220" ht="36" customHeight="1">
      <x:c r="A3220" s="19" t="str">
        <x:v>GRID77</x:v>
      </x:c>
      <x:c r="B3220" s="19" t="str">
        <x:v>GRID77_report.md</x:v>
      </x:c>
      <x:c r="C3220" s="19" t="str">
        <x:v>1. GRID77 相同上下文与核查权限的会议方法适配</x:v>
      </x:c>
      <x:c r="D3220" s="19" t="str">
        <x:v>费用=0.0025；种子=0</x:v>
      </x:c>
      <x:c r="E3220" s="19" t="str">
        <x:v>种子</x:v>
      </x:c>
      <x:c r="F3220" s="19" t="str">
        <x:v>0</x:v>
      </x:c>
      <x:c r="G3220" s="19" t="str">
        <x:v>其他/配置</x:v>
      </x:c>
      <x:c r="H3220" s="19" t="str">
        <x:v>D:/Codex/GRL研究/outputs/grid77/GRID77_report.md</x:v>
      </x:c>
    </x:row>
    <x:row r="3221" ht="36" customHeight="1">
      <x:c r="A3221" s="19" t="str">
        <x:v>GRID77</x:v>
      </x:c>
      <x:c r="B3221" s="19" t="str">
        <x:v>GRID77_report.md</x:v>
      </x:c>
      <x:c r="C3221" s="19" t="str">
        <x:v>1. GRID77 相同上下文与核查权限的会议方法适配</x:v>
      </x:c>
      <x:c r="D3221" s="19" t="str">
        <x:v>费用=0.0025；种子=0</x:v>
      </x:c>
      <x:c r="E3221" s="19" t="str">
        <x:v>校准查询</x:v>
      </x:c>
      <x:c r="F3221" s="19" t="str">
        <x:v>155.636</x:v>
      </x:c>
      <x:c r="G3221" s="19" t="str">
        <x:v>速度/计算</x:v>
      </x:c>
      <x:c r="H3221" s="19" t="str">
        <x:v>D:/Codex/GRL研究/outputs/grid77/GRID77_report.md</x:v>
      </x:c>
    </x:row>
    <x:row r="3222" ht="36" customHeight="1">
      <x:c r="A3222" s="19" t="str">
        <x:v>GRID77</x:v>
      </x:c>
      <x:c r="B3222" s="19" t="str">
        <x:v>GRID77_report.md</x:v>
      </x:c>
      <x:c r="C3222" s="19" t="str">
        <x:v>1. GRID77 相同上下文与核查权限的会议方法适配</x:v>
      </x:c>
      <x:c r="D3222" s="19" t="str">
        <x:v>费用=0.0025；种子=0</x:v>
      </x:c>
      <x:c r="E3222" s="19" t="str">
        <x:v>均值遗憾</x:v>
      </x:c>
      <x:c r="F3222" s="19" t="str">
        <x:v>0.00734058</x:v>
      </x:c>
      <x:c r="G3222" s="19" t="str">
        <x:v>质量/成本</x:v>
      </x:c>
      <x:c r="H3222" s="19" t="str">
        <x:v>D:/Codex/GRL研究/outputs/grid77/GRID77_report.md</x:v>
      </x:c>
    </x:row>
    <x:row r="3223" ht="36" customHeight="1">
      <x:c r="A3223" s="19" t="str">
        <x:v>GRID77</x:v>
      </x:c>
      <x:c r="B3223" s="19" t="str">
        <x:v>GRID77_report.md</x:v>
      </x:c>
      <x:c r="C3223" s="19" t="str">
        <x:v>1. GRID77 相同上下文与核查权限的会议方法适配</x:v>
      </x:c>
      <x:c r="D3223" s="19" t="str">
        <x:v>费用=0.0025；种子=0</x:v>
      </x:c>
      <x:c r="E3223" s="19" t="str">
        <x:v>最大遗憾</x:v>
      </x:c>
      <x:c r="F3223" s="19" t="str">
        <x:v>0.0379096</x:v>
      </x:c>
      <x:c r="G3223" s="19" t="str">
        <x:v>质量/成本</x:v>
      </x:c>
      <x:c r="H3223" s="19" t="str">
        <x:v>D:/Codex/GRL研究/outputs/grid77/GRID77_report.md</x:v>
      </x:c>
    </x:row>
    <x:row r="3224" ht="36" customHeight="1">
      <x:c r="A3224" s="19" t="str">
        <x:v>GRID77</x:v>
      </x:c>
      <x:c r="B3224" s="19" t="str">
        <x:v>GRID77_report.md</x:v>
      </x:c>
      <x:c r="C3224" s="19" t="str">
        <x:v>1. GRID77 相同上下文与核查权限的会议方法适配</x:v>
      </x:c>
      <x:c r="D3224" s="19" t="str">
        <x:v>费用=0.0025；种子=1</x:v>
      </x:c>
      <x:c r="E3224" s="19" t="str">
        <x:v>种子</x:v>
      </x:c>
      <x:c r="F3224" s="19" t="str">
        <x:v>1</x:v>
      </x:c>
      <x:c r="G3224" s="19" t="str">
        <x:v>其他/配置</x:v>
      </x:c>
      <x:c r="H3224" s="19" t="str">
        <x:v>D:/Codex/GRL研究/outputs/grid77/GRID77_report.md</x:v>
      </x:c>
    </x:row>
    <x:row r="3225" ht="36" customHeight="1">
      <x:c r="A3225" s="19" t="str">
        <x:v>GRID77</x:v>
      </x:c>
      <x:c r="B3225" s="19" t="str">
        <x:v>GRID77_report.md</x:v>
      </x:c>
      <x:c r="C3225" s="19" t="str">
        <x:v>1. GRID77 相同上下文与核查权限的会议方法适配</x:v>
      </x:c>
      <x:c r="D3225" s="19" t="str">
        <x:v>费用=0.0025；种子=1</x:v>
      </x:c>
      <x:c r="E3225" s="19" t="str">
        <x:v>校准查询</x:v>
      </x:c>
      <x:c r="F3225" s="19" t="str">
        <x:v>591.909</x:v>
      </x:c>
      <x:c r="G3225" s="19" t="str">
        <x:v>速度/计算</x:v>
      </x:c>
      <x:c r="H3225" s="19" t="str">
        <x:v>D:/Codex/GRL研究/outputs/grid77/GRID77_report.md</x:v>
      </x:c>
    </x:row>
    <x:row r="3226" ht="36" customHeight="1">
      <x:c r="A3226" s="19" t="str">
        <x:v>GRID77</x:v>
      </x:c>
      <x:c r="B3226" s="19" t="str">
        <x:v>GRID77_report.md</x:v>
      </x:c>
      <x:c r="C3226" s="19" t="str">
        <x:v>1. GRID77 相同上下文与核查权限的会议方法适配</x:v>
      </x:c>
      <x:c r="D3226" s="19" t="str">
        <x:v>费用=0.0025；种子=1</x:v>
      </x:c>
      <x:c r="E3226" s="19" t="str">
        <x:v>均值遗憾</x:v>
      </x:c>
      <x:c r="F3226" s="19" t="str">
        <x:v>0.00239784</x:v>
      </x:c>
      <x:c r="G3226" s="19" t="str">
        <x:v>质量/成本</x:v>
      </x:c>
      <x:c r="H3226" s="19" t="str">
        <x:v>D:/Codex/GRL研究/outputs/grid77/GRID77_report.md</x:v>
      </x:c>
    </x:row>
    <x:row r="3227" ht="36" customHeight="1">
      <x:c r="A3227" s="19" t="str">
        <x:v>GRID77</x:v>
      </x:c>
      <x:c r="B3227" s="19" t="str">
        <x:v>GRID77_report.md</x:v>
      </x:c>
      <x:c r="C3227" s="19" t="str">
        <x:v>1. GRID77 相同上下文与核查权限的会议方法适配</x:v>
      </x:c>
      <x:c r="D3227" s="19" t="str">
        <x:v>费用=0.0025；种子=1</x:v>
      </x:c>
      <x:c r="E3227" s="19" t="str">
        <x:v>最大遗憾</x:v>
      </x:c>
      <x:c r="F3227" s="19" t="str">
        <x:v>0.0379096</x:v>
      </x:c>
      <x:c r="G3227" s="19" t="str">
        <x:v>质量/成本</x:v>
      </x:c>
      <x:c r="H3227" s="19" t="str">
        <x:v>D:/Codex/GRL研究/outputs/grid77/GRID77_report.md</x:v>
      </x:c>
    </x:row>
    <x:row r="3228" ht="36" customHeight="1">
      <x:c r="A3228" s="19" t="str">
        <x:v>GRID77</x:v>
      </x:c>
      <x:c r="B3228" s="19" t="str">
        <x:v>GRID77_report.md</x:v>
      </x:c>
      <x:c r="C3228" s="19" t="str">
        <x:v>1. GRID77 相同上下文与核查权限的会议方法适配</x:v>
      </x:c>
      <x:c r="D3228" s="19" t="str">
        <x:v>费用=0.0；种子=0</x:v>
      </x:c>
      <x:c r="E3228" s="19" t="str">
        <x:v>种子</x:v>
      </x:c>
      <x:c r="F3228" s="19" t="str">
        <x:v>0</x:v>
      </x:c>
      <x:c r="G3228" s="19" t="str">
        <x:v>其他/配置</x:v>
      </x:c>
      <x:c r="H3228" s="19" t="str">
        <x:v>D:/Codex/GRL研究/outputs/grid77/GRID77_report.md</x:v>
      </x:c>
    </x:row>
    <x:row r="3229" ht="36" customHeight="1">
      <x:c r="A3229" s="19" t="str">
        <x:v>GRID77</x:v>
      </x:c>
      <x:c r="B3229" s="19" t="str">
        <x:v>GRID77_report.md</x:v>
      </x:c>
      <x:c r="C3229" s="19" t="str">
        <x:v>1. GRID77 相同上下文与核查权限的会议方法适配</x:v>
      </x:c>
      <x:c r="D3229" s="19" t="str">
        <x:v>费用=0.0；种子=0</x:v>
      </x:c>
      <x:c r="E3229" s="19" t="str">
        <x:v>校准查询</x:v>
      </x:c>
      <x:c r="F3229" s="19" t="str">
        <x:v>353.455</x:v>
      </x:c>
      <x:c r="G3229" s="19" t="str">
        <x:v>速度/计算</x:v>
      </x:c>
      <x:c r="H3229" s="19" t="str">
        <x:v>D:/Codex/GRL研究/outputs/grid77/GRID77_report.md</x:v>
      </x:c>
    </x:row>
    <x:row r="3230" ht="36" customHeight="1">
      <x:c r="A3230" s="19" t="str">
        <x:v>GRID77</x:v>
      </x:c>
      <x:c r="B3230" s="19" t="str">
        <x:v>GRID77_report.md</x:v>
      </x:c>
      <x:c r="C3230" s="19" t="str">
        <x:v>1. GRID77 相同上下文与核查权限的会议方法适配</x:v>
      </x:c>
      <x:c r="D3230" s="19" t="str">
        <x:v>费用=0.0；种子=0</x:v>
      </x:c>
      <x:c r="E3230" s="19" t="str">
        <x:v>均值遗憾</x:v>
      </x:c>
      <x:c r="F3230" s="19" t="str">
        <x:v>0.00348975</x:v>
      </x:c>
      <x:c r="G3230" s="19" t="str">
        <x:v>质量/成本</x:v>
      </x:c>
      <x:c r="H3230" s="19" t="str">
        <x:v>D:/Codex/GRL研究/outputs/grid77/GRID77_report.md</x:v>
      </x:c>
    </x:row>
    <x:row r="3231" ht="36" customHeight="1">
      <x:c r="A3231" s="19" t="str">
        <x:v>GRID77</x:v>
      </x:c>
      <x:c r="B3231" s="19" t="str">
        <x:v>GRID77_report.md</x:v>
      </x:c>
      <x:c r="C3231" s="19" t="str">
        <x:v>1. GRID77 相同上下文与核查权限的会议方法适配</x:v>
      </x:c>
      <x:c r="D3231" s="19" t="str">
        <x:v>费用=0.0；种子=0</x:v>
      </x:c>
      <x:c r="E3231" s="19" t="str">
        <x:v>最大遗憾</x:v>
      </x:c>
      <x:c r="F3231" s="19" t="str">
        <x:v>0.0287982</x:v>
      </x:c>
      <x:c r="G3231" s="19" t="str">
        <x:v>质量/成本</x:v>
      </x:c>
      <x:c r="H3231" s="19" t="str">
        <x:v>D:/Codex/GRL研究/outputs/grid77/GRID77_report.md</x:v>
      </x:c>
    </x:row>
    <x:row r="3232" ht="36" customHeight="1">
      <x:c r="A3232" s="19" t="str">
        <x:v>GRID77</x:v>
      </x:c>
      <x:c r="B3232" s="19" t="str">
        <x:v>GRID77_report.md</x:v>
      </x:c>
      <x:c r="C3232" s="19" t="str">
        <x:v>1. GRID77 相同上下文与核查权限的会议方法适配</x:v>
      </x:c>
      <x:c r="D3232" s="19" t="str">
        <x:v>费用=0.0；种子=1</x:v>
      </x:c>
      <x:c r="E3232" s="19" t="str">
        <x:v>种子</x:v>
      </x:c>
      <x:c r="F3232" s="19" t="str">
        <x:v>1</x:v>
      </x:c>
      <x:c r="G3232" s="19" t="str">
        <x:v>其他/配置</x:v>
      </x:c>
      <x:c r="H3232" s="19" t="str">
        <x:v>D:/Codex/GRL研究/outputs/grid77/GRID77_report.md</x:v>
      </x:c>
    </x:row>
    <x:row r="3233" ht="36" customHeight="1">
      <x:c r="A3233" s="19" t="str">
        <x:v>GRID77</x:v>
      </x:c>
      <x:c r="B3233" s="19" t="str">
        <x:v>GRID77_report.md</x:v>
      </x:c>
      <x:c r="C3233" s="19" t="str">
        <x:v>1. GRID77 相同上下文与核查权限的会议方法适配</x:v>
      </x:c>
      <x:c r="D3233" s="19" t="str">
        <x:v>费用=0.0；种子=1</x:v>
      </x:c>
      <x:c r="E3233" s="19" t="str">
        <x:v>校准查询</x:v>
      </x:c>
      <x:c r="F3233" s="19" t="str">
        <x:v>306.364</x:v>
      </x:c>
      <x:c r="G3233" s="19" t="str">
        <x:v>速度/计算</x:v>
      </x:c>
      <x:c r="H3233" s="19" t="str">
        <x:v>D:/Codex/GRL研究/outputs/grid77/GRID77_report.md</x:v>
      </x:c>
    </x:row>
    <x:row r="3234" ht="36" customHeight="1">
      <x:c r="A3234" s="19" t="str">
        <x:v>GRID77</x:v>
      </x:c>
      <x:c r="B3234" s="19" t="str">
        <x:v>GRID77_report.md</x:v>
      </x:c>
      <x:c r="C3234" s="19" t="str">
        <x:v>1. GRID77 相同上下文与核查权限的会议方法适配</x:v>
      </x:c>
      <x:c r="D3234" s="19" t="str">
        <x:v>费用=0.0；种子=1</x:v>
      </x:c>
      <x:c r="E3234" s="19" t="str">
        <x:v>均值遗憾</x:v>
      </x:c>
      <x:c r="F3234" s="19" t="str">
        <x:v>0.00379387</x:v>
      </x:c>
      <x:c r="G3234" s="19" t="str">
        <x:v>质量/成本</x:v>
      </x:c>
      <x:c r="H3234" s="19" t="str">
        <x:v>D:/Codex/GRL研究/outputs/grid77/GRID77_report.md</x:v>
      </x:c>
    </x:row>
    <x:row r="3235" ht="36" customHeight="1">
      <x:c r="A3235" s="19" t="str">
        <x:v>GRID77</x:v>
      </x:c>
      <x:c r="B3235" s="19" t="str">
        <x:v>GRID77_report.md</x:v>
      </x:c>
      <x:c r="C3235" s="19" t="str">
        <x:v>1. GRID77 相同上下文与核查权限的会议方法适配</x:v>
      </x:c>
      <x:c r="D3235" s="19" t="str">
        <x:v>费用=0.0；种子=1</x:v>
      </x:c>
      <x:c r="E3235" s="19" t="str">
        <x:v>最大遗憾</x:v>
      </x:c>
      <x:c r="F3235" s="19" t="str">
        <x:v>0.0379096</x:v>
      </x:c>
      <x:c r="G3235" s="19" t="str">
        <x:v>质量/成本</x:v>
      </x:c>
      <x:c r="H3235" s="19" t="str">
        <x:v>D:/Codex/GRL研究/outputs/grid77/GRID77_report.md</x:v>
      </x:c>
    </x:row>
    <x:row r="3236" ht="36" customHeight="1">
      <x:c r="A3236" s="19" t="str">
        <x:v>GRID78</x:v>
      </x:c>
      <x:c r="B3236" s="19" t="str">
        <x:v>GRID78_report.md</x:v>
      </x:c>
      <x:c r="C3236" s="19" t="str">
        <x:v>1. 主要结果</x:v>
      </x:c>
      <x:c r="D3236" s="19" t="str">
        <x:v>方法=完整搜索 FULL；质量通过=7/7</x:v>
      </x:c>
      <x:c r="E3236" s="19" t="str">
        <x:v>质量通过</x:v>
      </x:c>
      <x:c r="F3236" s="19" t="str">
        <x:v>7/7</x:v>
      </x:c>
      <x:c r="G3236" s="19" t="str">
        <x:v>质量/成本</x:v>
      </x:c>
      <x:c r="H3236" s="19" t="str">
        <x:v>D:/Codex/GRL研究/outputs/grid78/GRID78_report.md</x:v>
      </x:c>
    </x:row>
    <x:row r="3237" ht="36" customHeight="1">
      <x:c r="A3237" s="19" t="str">
        <x:v>GRID78</x:v>
      </x:c>
      <x:c r="B3237" s="19" t="str">
        <x:v>GRID78_report.md</x:v>
      </x:c>
      <x:c r="C3237" s="19" t="str">
        <x:v>1. 主要结果</x:v>
      </x:c>
      <x:c r="D3237" s="19" t="str">
        <x:v>方法=完整搜索 FULL；质量通过=7/7</x:v>
      </x:c>
      <x:c r="E3237" s="19" t="str">
        <x:v>完成整周</x:v>
      </x:c>
      <x:c r="F3237" s="19" t="str">
        <x:v>5/7</x:v>
      </x:c>
      <x:c r="G3237" s="19" t="str">
        <x:v>质量/成本</x:v>
      </x:c>
      <x:c r="H3237" s="19" t="str">
        <x:v>D:/Codex/GRL研究/outputs/grid78/GRID78_report.md</x:v>
      </x:c>
    </x:row>
    <x:row r="3238" ht="36" customHeight="1">
      <x:c r="A3238" s="19" t="str">
        <x:v>GRID78</x:v>
      </x:c>
      <x:c r="B3238" s="19" t="str">
        <x:v>GRID78_report.md</x:v>
      </x:c>
      <x:c r="C3238" s="19" t="str">
        <x:v>1. 主要结果</x:v>
      </x:c>
      <x:c r="D3238" s="19" t="str">
        <x:v>方法=完整搜索 FULL；质量通过=7/7</x:v>
      </x:c>
      <x:c r="E3238" s="19" t="str">
        <x:v>候选预测查询</x:v>
      </x:c>
      <x:c r="F3238" s="19" t="str">
        <x:v>30722</x:v>
      </x:c>
      <x:c r="G3238" s="19" t="str">
        <x:v>速度/计算</x:v>
      </x:c>
      <x:c r="H3238" s="19" t="str">
        <x:v>D:/Codex/GRL研究/outputs/grid78/GRID78_report.md</x:v>
      </x:c>
    </x:row>
    <x:row r="3239" ht="36" customHeight="1">
      <x:c r="A3239" s="19" t="str">
        <x:v>GRID78</x:v>
      </x:c>
      <x:c r="B3239" s="19" t="str">
        <x:v>GRID78_report.md</x:v>
      </x:c>
      <x:c r="C3239" s="19" t="str">
        <x:v>1. 主要结果</x:v>
      </x:c>
      <x:c r="D3239" s="19" t="str">
        <x:v>方法=完整搜索 FULL；质量通过=7/7</x:v>
      </x:c>
      <x:c r="E3239" s="19" t="str">
        <x:v>最大完整周成本增幅</x:v>
      </x:c>
      <x:c r="F3239" s="19" t="str">
        <x:v>+0.0000%</x:v>
      </x:c>
      <x:c r="G3239" s="19" t="str">
        <x:v>质量/成本</x:v>
      </x:c>
      <x:c r="H3239" s="19" t="str">
        <x:v>D:/Codex/GRL研究/outputs/grid78/GRID78_report.md</x:v>
      </x:c>
    </x:row>
    <x:row r="3240" ht="36" customHeight="1">
      <x:c r="A3240" s="19" t="str">
        <x:v>GRID78</x:v>
      </x:c>
      <x:c r="B3240" s="19" t="str">
        <x:v>GRID78_report.md</x:v>
      </x:c>
      <x:c r="C3240" s="19" t="str">
        <x:v>1. 主要结果</x:v>
      </x:c>
      <x:c r="D3240" s="19" t="str">
        <x:v>方法=固定核查 FRAME_GUARD；质量通过=7/7</x:v>
      </x:c>
      <x:c r="E3240" s="19" t="str">
        <x:v>质量通过</x:v>
      </x:c>
      <x:c r="F3240" s="19" t="str">
        <x:v>7/7</x:v>
      </x:c>
      <x:c r="G3240" s="19" t="str">
        <x:v>质量/成本</x:v>
      </x:c>
      <x:c r="H3240" s="19" t="str">
        <x:v>D:/Codex/GRL研究/outputs/grid78/GRID78_report.md</x:v>
      </x:c>
    </x:row>
    <x:row r="3241" ht="36" customHeight="1">
      <x:c r="A3241" s="19" t="str">
        <x:v>GRID78</x:v>
      </x:c>
      <x:c r="B3241" s="19" t="str">
        <x:v>GRID78_report.md</x:v>
      </x:c>
      <x:c r="C3241" s="19" t="str">
        <x:v>1. 主要结果</x:v>
      </x:c>
      <x:c r="D3241" s="19" t="str">
        <x:v>方法=固定核查 FRAME_GUARD；质量通过=7/7</x:v>
      </x:c>
      <x:c r="E3241" s="19" t="str">
        <x:v>完成整周</x:v>
      </x:c>
      <x:c r="F3241" s="19" t="str">
        <x:v>5/7</x:v>
      </x:c>
      <x:c r="G3241" s="19" t="str">
        <x:v>质量/成本</x:v>
      </x:c>
      <x:c r="H3241" s="19" t="str">
        <x:v>D:/Codex/GRL研究/outputs/grid78/GRID78_report.md</x:v>
      </x:c>
    </x:row>
    <x:row r="3242" ht="36" customHeight="1">
      <x:c r="A3242" s="19" t="str">
        <x:v>GRID78</x:v>
      </x:c>
      <x:c r="B3242" s="19" t="str">
        <x:v>GRID78_report.md</x:v>
      </x:c>
      <x:c r="C3242" s="19" t="str">
        <x:v>1. 主要结果</x:v>
      </x:c>
      <x:c r="D3242" s="19" t="str">
        <x:v>方法=固定核查 FRAME_GUARD；质量通过=7/7</x:v>
      </x:c>
      <x:c r="E3242" s="19" t="str">
        <x:v>候选预测查询</x:v>
      </x:c>
      <x:c r="F3242" s="19" t="str">
        <x:v>11618</x:v>
      </x:c>
      <x:c r="G3242" s="19" t="str">
        <x:v>速度/计算</x:v>
      </x:c>
      <x:c r="H3242" s="19" t="str">
        <x:v>D:/Codex/GRL研究/outputs/grid78/GRID78_report.md</x:v>
      </x:c>
    </x:row>
    <x:row r="3243" ht="36" customHeight="1">
      <x:c r="A3243" s="19" t="str">
        <x:v>GRID78</x:v>
      </x:c>
      <x:c r="B3243" s="19" t="str">
        <x:v>GRID78_report.md</x:v>
      </x:c>
      <x:c r="C3243" s="19" t="str">
        <x:v>1. 主要结果</x:v>
      </x:c>
      <x:c r="D3243" s="19" t="str">
        <x:v>方法=固定核查 FRAME_GUARD；质量通过=7/7</x:v>
      </x:c>
      <x:c r="E3243" s="19" t="str">
        <x:v>最大完整周成本增幅</x:v>
      </x:c>
      <x:c r="F3243" s="19" t="str">
        <x:v>+0.3720%</x:v>
      </x:c>
      <x:c r="G3243" s="19" t="str">
        <x:v>质量/成本</x:v>
      </x:c>
      <x:c r="H3243" s="19" t="str">
        <x:v>D:/Codex/GRL研究/outputs/grid78/GRID78_report.md</x:v>
      </x:c>
    </x:row>
    <x:row r="3244" ht="36" customHeight="1">
      <x:c r="A3244" s="19" t="str">
        <x:v>GRID78</x:v>
      </x:c>
      <x:c r="B3244" s="19" t="str">
        <x:v>GRID78_report.md</x:v>
      </x:c>
      <x:c r="C3244" s="19" t="str">
        <x:v>1. 主要结果</x:v>
      </x:c>
      <x:c r="D3244" s="19" t="str">
        <x:v>方法=普通上下文门控；质量通过=7/7</x:v>
      </x:c>
      <x:c r="E3244" s="19" t="str">
        <x:v>质量通过</x:v>
      </x:c>
      <x:c r="F3244" s="19" t="str">
        <x:v>7/7</x:v>
      </x:c>
      <x:c r="G3244" s="19" t="str">
        <x:v>质量/成本</x:v>
      </x:c>
      <x:c r="H3244" s="19" t="str">
        <x:v>D:/Codex/GRL研究/outputs/grid78/GRID78_report.md</x:v>
      </x:c>
    </x:row>
    <x:row r="3245" ht="36" customHeight="1">
      <x:c r="A3245" s="19" t="str">
        <x:v>GRID78</x:v>
      </x:c>
      <x:c r="B3245" s="19" t="str">
        <x:v>GRID78_report.md</x:v>
      </x:c>
      <x:c r="C3245" s="19" t="str">
        <x:v>1. 主要结果</x:v>
      </x:c>
      <x:c r="D3245" s="19" t="str">
        <x:v>方法=普通上下文门控；质量通过=7/7</x:v>
      </x:c>
      <x:c r="E3245" s="19" t="str">
        <x:v>完成整周</x:v>
      </x:c>
      <x:c r="F3245" s="19" t="str">
        <x:v>5/7</x:v>
      </x:c>
      <x:c r="G3245" s="19" t="str">
        <x:v>质量/成本</x:v>
      </x:c>
      <x:c r="H3245" s="19" t="str">
        <x:v>D:/Codex/GRL研究/outputs/grid78/GRID78_report.md</x:v>
      </x:c>
    </x:row>
    <x:row r="3246" ht="36" customHeight="1">
      <x:c r="A3246" s="19" t="str">
        <x:v>GRID78</x:v>
      </x:c>
      <x:c r="B3246" s="19" t="str">
        <x:v>GRID78_report.md</x:v>
      </x:c>
      <x:c r="C3246" s="19" t="str">
        <x:v>1. 主要结果</x:v>
      </x:c>
      <x:c r="D3246" s="19" t="str">
        <x:v>方法=普通上下文门控；质量通过=7/7</x:v>
      </x:c>
      <x:c r="E3246" s="19" t="str">
        <x:v>候选预测查询</x:v>
      </x:c>
      <x:c r="F3246" s="19" t="str">
        <x:v>10171</x:v>
      </x:c>
      <x:c r="G3246" s="19" t="str">
        <x:v>速度/计算</x:v>
      </x:c>
      <x:c r="H3246" s="19" t="str">
        <x:v>D:/Codex/GRL研究/outputs/grid78/GRID78_report.md</x:v>
      </x:c>
    </x:row>
    <x:row r="3247" ht="36" customHeight="1">
      <x:c r="A3247" s="19" t="str">
        <x:v>GRID78</x:v>
      </x:c>
      <x:c r="B3247" s="19" t="str">
        <x:v>GRID78_report.md</x:v>
      </x:c>
      <x:c r="C3247" s="19" t="str">
        <x:v>1. 主要结果</x:v>
      </x:c>
      <x:c r="D3247" s="19" t="str">
        <x:v>方法=普通上下文门控；质量通过=7/7</x:v>
      </x:c>
      <x:c r="E3247" s="19" t="str">
        <x:v>最大完整周成本增幅</x:v>
      </x:c>
      <x:c r="F3247" s="19" t="str">
        <x:v>+0.3720%</x:v>
      </x:c>
      <x:c r="G3247" s="19" t="str">
        <x:v>质量/成本</x:v>
      </x:c>
      <x:c r="H3247" s="19" t="str">
        <x:v>D:/Codex/GRL研究/outputs/grid78/GRID78_report.md</x:v>
      </x:c>
    </x:row>
    <x:row r="3248" ht="36" customHeight="1">
      <x:c r="A3248" s="19" t="str">
        <x:v>GRID78</x:v>
      </x:c>
      <x:c r="B3248" s="19" t="str">
        <x:v>GRID78_report.md</x:v>
      </x:c>
      <x:c r="C3248" s="19" t="str">
        <x:v>1. 主要结果</x:v>
      </x:c>
      <x:c r="D3248" s="19" t="str">
        <x:v>方法=会议适配，种子0；质量通过=6/7</x:v>
      </x:c>
      <x:c r="E3248" s="19" t="str">
        <x:v>质量通过</x:v>
      </x:c>
      <x:c r="F3248" s="19" t="str">
        <x:v>6/7</x:v>
      </x:c>
      <x:c r="G3248" s="19" t="str">
        <x:v>质量/成本</x:v>
      </x:c>
      <x:c r="H3248" s="19" t="str">
        <x:v>D:/Codex/GRL研究/outputs/grid78/GRID78_report.md</x:v>
      </x:c>
    </x:row>
    <x:row r="3249" ht="36" customHeight="1">
      <x:c r="A3249" s="19" t="str">
        <x:v>GRID78</x:v>
      </x:c>
      <x:c r="B3249" s="19" t="str">
        <x:v>GRID78_report.md</x:v>
      </x:c>
      <x:c r="C3249" s="19" t="str">
        <x:v>1. 主要结果</x:v>
      </x:c>
      <x:c r="D3249" s="19" t="str">
        <x:v>方法=会议适配，种子0；质量通过=6/7</x:v>
      </x:c>
      <x:c r="E3249" s="19" t="str">
        <x:v>完成整周</x:v>
      </x:c>
      <x:c r="F3249" s="19" t="str">
        <x:v>5/7</x:v>
      </x:c>
      <x:c r="G3249" s="19" t="str">
        <x:v>质量/成本</x:v>
      </x:c>
      <x:c r="H3249" s="19" t="str">
        <x:v>D:/Codex/GRL研究/outputs/grid78/GRID78_report.md</x:v>
      </x:c>
    </x:row>
    <x:row r="3250" ht="36" customHeight="1">
      <x:c r="A3250" s="19" t="str">
        <x:v>GRID78</x:v>
      </x:c>
      <x:c r="B3250" s="19" t="str">
        <x:v>GRID78_report.md</x:v>
      </x:c>
      <x:c r="C3250" s="19" t="str">
        <x:v>1. 主要结果</x:v>
      </x:c>
      <x:c r="D3250" s="19" t="str">
        <x:v>方法=会议适配，种子0；质量通过=6/7</x:v>
      </x:c>
      <x:c r="E3250" s="19" t="str">
        <x:v>候选预测查询</x:v>
      </x:c>
      <x:c r="F3250" s="19" t="str">
        <x:v>15937</x:v>
      </x:c>
      <x:c r="G3250" s="19" t="str">
        <x:v>速度/计算</x:v>
      </x:c>
      <x:c r="H3250" s="19" t="str">
        <x:v>D:/Codex/GRL研究/outputs/grid78/GRID78_report.md</x:v>
      </x:c>
    </x:row>
    <x:row r="3251" ht="36" customHeight="1">
      <x:c r="A3251" s="19" t="str">
        <x:v>GRID78</x:v>
      </x:c>
      <x:c r="B3251" s="19" t="str">
        <x:v>GRID78_report.md</x:v>
      </x:c>
      <x:c r="C3251" s="19" t="str">
        <x:v>1. 主要结果</x:v>
      </x:c>
      <x:c r="D3251" s="19" t="str">
        <x:v>方法=会议适配，种子0；质量通过=6/7</x:v>
      </x:c>
      <x:c r="E3251" s="19" t="str">
        <x:v>最大完整周成本增幅</x:v>
      </x:c>
      <x:c r="F3251" s="19" t="str">
        <x:v>+2.2445%</x:v>
      </x:c>
      <x:c r="G3251" s="19" t="str">
        <x:v>质量/成本</x:v>
      </x:c>
      <x:c r="H3251" s="19" t="str">
        <x:v>D:/Codex/GRL研究/outputs/grid78/GRID78_report.md</x:v>
      </x:c>
    </x:row>
    <x:row r="3252" ht="36" customHeight="1">
      <x:c r="A3252" s="19" t="str">
        <x:v>GRID78</x:v>
      </x:c>
      <x:c r="B3252" s="19" t="str">
        <x:v>GRID78_report.md</x:v>
      </x:c>
      <x:c r="C3252" s="19" t="str">
        <x:v>1. 主要结果</x:v>
      </x:c>
      <x:c r="D3252" s="19" t="str">
        <x:v>方法=会议适配，种子1；质量通过=6/7</x:v>
      </x:c>
      <x:c r="E3252" s="19" t="str">
        <x:v>质量通过</x:v>
      </x:c>
      <x:c r="F3252" s="19" t="str">
        <x:v>6/7</x:v>
      </x:c>
      <x:c r="G3252" s="19" t="str">
        <x:v>质量/成本</x:v>
      </x:c>
      <x:c r="H3252" s="19" t="str">
        <x:v>D:/Codex/GRL研究/outputs/grid78/GRID78_report.md</x:v>
      </x:c>
    </x:row>
    <x:row r="3253" ht="36" customHeight="1">
      <x:c r="A3253" s="19" t="str">
        <x:v>GRID78</x:v>
      </x:c>
      <x:c r="B3253" s="19" t="str">
        <x:v>GRID78_report.md</x:v>
      </x:c>
      <x:c r="C3253" s="19" t="str">
        <x:v>1. 主要结果</x:v>
      </x:c>
      <x:c r="D3253" s="19" t="str">
        <x:v>方法=会议适配，种子1；质量通过=6/7</x:v>
      </x:c>
      <x:c r="E3253" s="19" t="str">
        <x:v>完成整周</x:v>
      </x:c>
      <x:c r="F3253" s="19" t="str">
        <x:v>5/7</x:v>
      </x:c>
      <x:c r="G3253" s="19" t="str">
        <x:v>质量/成本</x:v>
      </x:c>
      <x:c r="H3253" s="19" t="str">
        <x:v>D:/Codex/GRL研究/outputs/grid78/GRID78_report.md</x:v>
      </x:c>
    </x:row>
    <x:row r="3254" ht="36" customHeight="1">
      <x:c r="A3254" s="19" t="str">
        <x:v>GRID78</x:v>
      </x:c>
      <x:c r="B3254" s="19" t="str">
        <x:v>GRID78_report.md</x:v>
      </x:c>
      <x:c r="C3254" s="19" t="str">
        <x:v>1. 主要结果</x:v>
      </x:c>
      <x:c r="D3254" s="19" t="str">
        <x:v>方法=会议适配，种子1；质量通过=6/7</x:v>
      </x:c>
      <x:c r="E3254" s="19" t="str">
        <x:v>候选预测查询</x:v>
      </x:c>
      <x:c r="F3254" s="19" t="str">
        <x:v>11361</x:v>
      </x:c>
      <x:c r="G3254" s="19" t="str">
        <x:v>速度/计算</x:v>
      </x:c>
      <x:c r="H3254" s="19" t="str">
        <x:v>D:/Codex/GRL研究/outputs/grid78/GRID78_report.md</x:v>
      </x:c>
    </x:row>
    <x:row r="3255" ht="36" customHeight="1">
      <x:c r="A3255" s="19" t="str">
        <x:v>GRID78</x:v>
      </x:c>
      <x:c r="B3255" s="19" t="str">
        <x:v>GRID78_report.md</x:v>
      </x:c>
      <x:c r="C3255" s="19" t="str">
        <x:v>1. 主要结果</x:v>
      </x:c>
      <x:c r="D3255" s="19" t="str">
        <x:v>方法=会议适配，种子1；质量通过=6/7</x:v>
      </x:c>
      <x:c r="E3255" s="19" t="str">
        <x:v>最大完整周成本增幅</x:v>
      </x:c>
      <x:c r="F3255" s="19" t="str">
        <x:v>+2.7968%</x:v>
      </x:c>
      <x:c r="G3255" s="19" t="str">
        <x:v>质量/成本</x:v>
      </x:c>
      <x:c r="H3255" s="19" t="str">
        <x:v>D:/Codex/GRL研究/outputs/grid78/GRID78_report.md</x:v>
      </x:c>
    </x:row>
    <x:row r="3256" ht="36" customHeight="1">
      <x:c r="A3256" s="19" t="str">
        <x:v>GRID79</x:v>
      </x:c>
      <x:c r="B3256" s="19" t="str">
        <x:v>GRID79_report.md</x:v>
      </x:c>
      <x:c r="C3256" s="19" t="str">
        <x:v>1. 主要结果</x:v>
      </x:c>
      <x:c r="D3256" s="19" t="str">
        <x:v>方法=完整搜索；质量通过=7/7</x:v>
      </x:c>
      <x:c r="E3256" s="19" t="str">
        <x:v>质量通过</x:v>
      </x:c>
      <x:c r="F3256" s="19" t="str">
        <x:v>7/7</x:v>
      </x:c>
      <x:c r="G3256" s="19" t="str">
        <x:v>质量/成本</x:v>
      </x:c>
      <x:c r="H3256" s="19" t="str">
        <x:v>D:/Codex/GRL研究/outputs/grid79/GRID79_report.md</x:v>
      </x:c>
    </x:row>
    <x:row r="3257" ht="36" customHeight="1">
      <x:c r="A3257" s="19" t="str">
        <x:v>GRID79</x:v>
      </x:c>
      <x:c r="B3257" s="19" t="str">
        <x:v>GRID79_report.md</x:v>
      </x:c>
      <x:c r="C3257" s="19" t="str">
        <x:v>1. 主要结果</x:v>
      </x:c>
      <x:c r="D3257" s="19" t="str">
        <x:v>方法=完整搜索；质量通过=7/7</x:v>
      </x:c>
      <x:c r="E3257" s="19" t="str">
        <x:v>完成整周</x:v>
      </x:c>
      <x:c r="F3257" s="19" t="str">
        <x:v>5/7</x:v>
      </x:c>
      <x:c r="G3257" s="19" t="str">
        <x:v>质量/成本</x:v>
      </x:c>
      <x:c r="H3257" s="19" t="str">
        <x:v>D:/Codex/GRL研究/outputs/grid79/GRID79_report.md</x:v>
      </x:c>
    </x:row>
    <x:row r="3258" ht="36" customHeight="1">
      <x:c r="A3258" s="19" t="str">
        <x:v>GRID79</x:v>
      </x:c>
      <x:c r="B3258" s="19" t="str">
        <x:v>GRID79_report.md</x:v>
      </x:c>
      <x:c r="C3258" s="19" t="str">
        <x:v>1. 主要结果</x:v>
      </x:c>
      <x:c r="D3258" s="19" t="str">
        <x:v>方法=完整搜索；质量通过=7/7</x:v>
      </x:c>
      <x:c r="E3258" s="19" t="str">
        <x:v>候选查询总量¹</x:v>
      </x:c>
      <x:c r="F3258" s="19" t="str">
        <x:v>30722</x:v>
      </x:c>
      <x:c r="G3258" s="19" t="str">
        <x:v>速度/计算</x:v>
      </x:c>
      <x:c r="H3258" s="19" t="str">
        <x:v>D:/Codex/GRL研究/outputs/grid79/GRID79_report.md</x:v>
      </x:c>
    </x:row>
    <x:row r="3259" ht="36" customHeight="1">
      <x:c r="A3259" s="19" t="str">
        <x:v>GRID79</x:v>
      </x:c>
      <x:c r="B3259" s="19" t="str">
        <x:v>GRID79_report.md</x:v>
      </x:c>
      <x:c r="C3259" s="19" t="str">
        <x:v>1. 主要结果</x:v>
      </x:c>
      <x:c r="D3259" s="19" t="str">
        <x:v>方法=完整搜索；质量通过=7/7</x:v>
      </x:c>
      <x:c r="E3259" s="19" t="str">
        <x:v>控制时间²（秒/日期）</x:v>
      </x:c>
      <x:c r="F3259" s="19" t="str">
        <x:v>65.650</x:v>
      </x:c>
      <x:c r="G3259" s="19" t="str">
        <x:v>速度/计算</x:v>
      </x:c>
      <x:c r="H3259" s="19" t="str">
        <x:v>D:/Codex/GRL研究/outputs/grid79/GRID79_report.md</x:v>
      </x:c>
    </x:row>
    <x:row r="3260" ht="36" customHeight="1">
      <x:c r="A3260" s="19" t="str">
        <x:v>GRID79</x:v>
      </x:c>
      <x:c r="B3260" s="19" t="str">
        <x:v>GRID79_report.md</x:v>
      </x:c>
      <x:c r="C3260" s="19" t="str">
        <x:v>1. 主要结果</x:v>
      </x:c>
      <x:c r="D3260" s="19" t="str">
        <x:v>方法=完整搜索；质量通过=7/7</x:v>
      </x:c>
      <x:c r="E3260" s="19" t="str">
        <x:v>P95决策延迟³（毫秒）</x:v>
      </x:c>
      <x:c r="F3260" s="19" t="str">
        <x:v>30.175</x:v>
      </x:c>
      <x:c r="G3260" s="19" t="str">
        <x:v>速度/计算</x:v>
      </x:c>
      <x:c r="H3260" s="19" t="str">
        <x:v>D:/Codex/GRL研究/outputs/grid79/GRID79_report.md</x:v>
      </x:c>
    </x:row>
    <x:row r="3261" ht="36" customHeight="1">
      <x:c r="A3261" s="19" t="str">
        <x:v>GRID79</x:v>
      </x:c>
      <x:c r="B3261" s="19" t="str">
        <x:v>GRID79_report.md</x:v>
      </x:c>
      <x:c r="C3261" s="19" t="str">
        <x:v>1. 主要结果</x:v>
      </x:c>
      <x:c r="D3261" s="19" t="str">
        <x:v>方法=固定核查＋普通上下文门控；质量通过=7/7</x:v>
      </x:c>
      <x:c r="E3261" s="19" t="str">
        <x:v>质量通过</x:v>
      </x:c>
      <x:c r="F3261" s="19" t="str">
        <x:v>7/7</x:v>
      </x:c>
      <x:c r="G3261" s="19" t="str">
        <x:v>质量/成本</x:v>
      </x:c>
      <x:c r="H3261" s="19" t="str">
        <x:v>D:/Codex/GRL研究/outputs/grid79/GRID79_report.md</x:v>
      </x:c>
    </x:row>
    <x:row r="3262" ht="36" customHeight="1">
      <x:c r="A3262" s="19" t="str">
        <x:v>GRID79</x:v>
      </x:c>
      <x:c r="B3262" s="19" t="str">
        <x:v>GRID79_report.md</x:v>
      </x:c>
      <x:c r="C3262" s="19" t="str">
        <x:v>1. 主要结果</x:v>
      </x:c>
      <x:c r="D3262" s="19" t="str">
        <x:v>方法=固定核查＋普通上下文门控；质量通过=7/7</x:v>
      </x:c>
      <x:c r="E3262" s="19" t="str">
        <x:v>完成整周</x:v>
      </x:c>
      <x:c r="F3262" s="19" t="str">
        <x:v>5/7</x:v>
      </x:c>
      <x:c r="G3262" s="19" t="str">
        <x:v>质量/成本</x:v>
      </x:c>
      <x:c r="H3262" s="19" t="str">
        <x:v>D:/Codex/GRL研究/outputs/grid79/GRID79_report.md</x:v>
      </x:c>
    </x:row>
    <x:row r="3263" ht="36" customHeight="1">
      <x:c r="A3263" s="19" t="str">
        <x:v>GRID79</x:v>
      </x:c>
      <x:c r="B3263" s="19" t="str">
        <x:v>GRID79_report.md</x:v>
      </x:c>
      <x:c r="C3263" s="19" t="str">
        <x:v>1. 主要结果</x:v>
      </x:c>
      <x:c r="D3263" s="19" t="str">
        <x:v>方法=固定核查＋普通上下文门控；质量通过=7/7</x:v>
      </x:c>
      <x:c r="E3263" s="19" t="str">
        <x:v>候选查询总量¹</x:v>
      </x:c>
      <x:c r="F3263" s="19" t="str">
        <x:v>10171</x:v>
      </x:c>
      <x:c r="G3263" s="19" t="str">
        <x:v>速度/计算</x:v>
      </x:c>
      <x:c r="H3263" s="19" t="str">
        <x:v>D:/Codex/GRL研究/outputs/grid79/GRID79_report.md</x:v>
      </x:c>
    </x:row>
    <x:row r="3264" ht="36" customHeight="1">
      <x:c r="A3264" s="19" t="str">
        <x:v>GRID79</x:v>
      </x:c>
      <x:c r="B3264" s="19" t="str">
        <x:v>GRID79_report.md</x:v>
      </x:c>
      <x:c r="C3264" s="19" t="str">
        <x:v>1. 主要结果</x:v>
      </x:c>
      <x:c r="D3264" s="19" t="str">
        <x:v>方法=固定核查＋普通上下文门控；质量通过=7/7</x:v>
      </x:c>
      <x:c r="E3264" s="19" t="str">
        <x:v>控制时间²（秒/日期）</x:v>
      </x:c>
      <x:c r="F3264" s="19" t="str">
        <x:v>56.795</x:v>
      </x:c>
      <x:c r="G3264" s="19" t="str">
        <x:v>速度/计算</x:v>
      </x:c>
      <x:c r="H3264" s="19" t="str">
        <x:v>D:/Codex/GRL研究/outputs/grid79/GRID79_report.md</x:v>
      </x:c>
    </x:row>
    <x:row r="3265" ht="36" customHeight="1">
      <x:c r="A3265" s="19" t="str">
        <x:v>GRID79</x:v>
      </x:c>
      <x:c r="B3265" s="19" t="str">
        <x:v>GRID79_report.md</x:v>
      </x:c>
      <x:c r="C3265" s="19" t="str">
        <x:v>1. 主要结果</x:v>
      </x:c>
      <x:c r="D3265" s="19" t="str">
        <x:v>方法=固定核查＋普通上下文门控；质量通过=7/7</x:v>
      </x:c>
      <x:c r="E3265" s="19" t="str">
        <x:v>P95决策延迟³（毫秒）</x:v>
      </x:c>
      <x:c r="F3265" s="19" t="str">
        <x:v>29.870</x:v>
      </x:c>
      <x:c r="G3265" s="19" t="str">
        <x:v>速度/计算</x:v>
      </x:c>
      <x:c r="H3265" s="19" t="str">
        <x:v>D:/Codex/GRL研究/outputs/grid79/GRID79_report.md</x:v>
      </x:c>
    </x:row>
    <x:row r="3266" ht="36" customHeight="1">
      <x:c r="A3266" s="19" t="str">
        <x:v>GRID79</x:v>
      </x:c>
      <x:c r="B3266" s="19" t="str">
        <x:v>GRID79_report.md</x:v>
      </x:c>
      <x:c r="C3266" s="19" t="str">
        <x:v>1. 主要结果</x:v>
      </x:c>
      <x:c r="D3266" s="19" t="str">
        <x:v>方法=会议适配，种子0；质量通过=6/7</x:v>
      </x:c>
      <x:c r="E3266" s="19" t="str">
        <x:v>质量通过</x:v>
      </x:c>
      <x:c r="F3266" s="19" t="str">
        <x:v>6/7</x:v>
      </x:c>
      <x:c r="G3266" s="19" t="str">
        <x:v>质量/成本</x:v>
      </x:c>
      <x:c r="H3266" s="19" t="str">
        <x:v>D:/Codex/GRL研究/outputs/grid79/GRID79_report.md</x:v>
      </x:c>
    </x:row>
    <x:row r="3267" ht="36" customHeight="1">
      <x:c r="A3267" s="19" t="str">
        <x:v>GRID79</x:v>
      </x:c>
      <x:c r="B3267" s="19" t="str">
        <x:v>GRID79_report.md</x:v>
      </x:c>
      <x:c r="C3267" s="19" t="str">
        <x:v>1. 主要结果</x:v>
      </x:c>
      <x:c r="D3267" s="19" t="str">
        <x:v>方法=会议适配，种子0；质量通过=6/7</x:v>
      </x:c>
      <x:c r="E3267" s="19" t="str">
        <x:v>完成整周</x:v>
      </x:c>
      <x:c r="F3267" s="19" t="str">
        <x:v>5/7</x:v>
      </x:c>
      <x:c r="G3267" s="19" t="str">
        <x:v>质量/成本</x:v>
      </x:c>
      <x:c r="H3267" s="19" t="str">
        <x:v>D:/Codex/GRL研究/outputs/grid79/GRID79_report.md</x:v>
      </x:c>
    </x:row>
    <x:row r="3268" ht="36" customHeight="1">
      <x:c r="A3268" s="19" t="str">
        <x:v>GRID79</x:v>
      </x:c>
      <x:c r="B3268" s="19" t="str">
        <x:v>GRID79_report.md</x:v>
      </x:c>
      <x:c r="C3268" s="19" t="str">
        <x:v>1. 主要结果</x:v>
      </x:c>
      <x:c r="D3268" s="19" t="str">
        <x:v>方法=会议适配，种子0；质量通过=6/7</x:v>
      </x:c>
      <x:c r="E3268" s="19" t="str">
        <x:v>候选查询总量¹</x:v>
      </x:c>
      <x:c r="F3268" s="19" t="str">
        <x:v>15937</x:v>
      </x:c>
      <x:c r="G3268" s="19" t="str">
        <x:v>速度/计算</x:v>
      </x:c>
      <x:c r="H3268" s="19" t="str">
        <x:v>D:/Codex/GRL研究/outputs/grid79/GRID79_report.md</x:v>
      </x:c>
    </x:row>
    <x:row r="3269" ht="36" customHeight="1">
      <x:c r="A3269" s="19" t="str">
        <x:v>GRID79</x:v>
      </x:c>
      <x:c r="B3269" s="19" t="str">
        <x:v>GRID79_report.md</x:v>
      </x:c>
      <x:c r="C3269" s="19" t="str">
        <x:v>1. 主要结果</x:v>
      </x:c>
      <x:c r="D3269" s="19" t="str">
        <x:v>方法=会议适配，种子0；质量通过=6/7</x:v>
      </x:c>
      <x:c r="E3269" s="19" t="str">
        <x:v>控制时间²（秒/日期）</x:v>
      </x:c>
      <x:c r="F3269" s="19" t="str">
        <x:v>62.054</x:v>
      </x:c>
      <x:c r="G3269" s="19" t="str">
        <x:v>速度/计算</x:v>
      </x:c>
      <x:c r="H3269" s="19" t="str">
        <x:v>D:/Codex/GRL研究/outputs/grid79/GRID79_report.md</x:v>
      </x:c>
    </x:row>
    <x:row r="3270" ht="36" customHeight="1">
      <x:c r="A3270" s="19" t="str">
        <x:v>GRID79</x:v>
      </x:c>
      <x:c r="B3270" s="19" t="str">
        <x:v>GRID79_report.md</x:v>
      </x:c>
      <x:c r="C3270" s="19" t="str">
        <x:v>1. 主要结果</x:v>
      </x:c>
      <x:c r="D3270" s="19" t="str">
        <x:v>方法=会议适配，种子0；质量通过=6/7</x:v>
      </x:c>
      <x:c r="E3270" s="19" t="str">
        <x:v>P95决策延迟³（毫秒）</x:v>
      </x:c>
      <x:c r="F3270" s="19" t="str">
        <x:v>31.527</x:v>
      </x:c>
      <x:c r="G3270" s="19" t="str">
        <x:v>速度/计算</x:v>
      </x:c>
      <x:c r="H3270" s="19" t="str">
        <x:v>D:/Codex/GRL研究/outputs/grid79/GRID79_report.md</x:v>
      </x:c>
    </x:row>
    <x:row r="3271" ht="36" customHeight="1">
      <x:c r="A3271" s="19" t="str">
        <x:v>GRID79</x:v>
      </x:c>
      <x:c r="B3271" s="19" t="str">
        <x:v>GRID79_report.md</x:v>
      </x:c>
      <x:c r="C3271" s="19" t="str">
        <x:v>1. 主要结果</x:v>
      </x:c>
      <x:c r="D3271" s="19" t="str">
        <x:v>方法=会议适配，种子1；质量通过=6/7</x:v>
      </x:c>
      <x:c r="E3271" s="19" t="str">
        <x:v>质量通过</x:v>
      </x:c>
      <x:c r="F3271" s="19" t="str">
        <x:v>6/7</x:v>
      </x:c>
      <x:c r="G3271" s="19" t="str">
        <x:v>质量/成本</x:v>
      </x:c>
      <x:c r="H3271" s="19" t="str">
        <x:v>D:/Codex/GRL研究/outputs/grid79/GRID79_report.md</x:v>
      </x:c>
    </x:row>
    <x:row r="3272" ht="36" customHeight="1">
      <x:c r="A3272" s="19" t="str">
        <x:v>GRID79</x:v>
      </x:c>
      <x:c r="B3272" s="19" t="str">
        <x:v>GRID79_report.md</x:v>
      </x:c>
      <x:c r="C3272" s="19" t="str">
        <x:v>1. 主要结果</x:v>
      </x:c>
      <x:c r="D3272" s="19" t="str">
        <x:v>方法=会议适配，种子1；质量通过=6/7</x:v>
      </x:c>
      <x:c r="E3272" s="19" t="str">
        <x:v>完成整周</x:v>
      </x:c>
      <x:c r="F3272" s="19" t="str">
        <x:v>5/7</x:v>
      </x:c>
      <x:c r="G3272" s="19" t="str">
        <x:v>质量/成本</x:v>
      </x:c>
      <x:c r="H3272" s="19" t="str">
        <x:v>D:/Codex/GRL研究/outputs/grid79/GRID79_report.md</x:v>
      </x:c>
    </x:row>
    <x:row r="3273" ht="36" customHeight="1">
      <x:c r="A3273" s="19" t="str">
        <x:v>GRID79</x:v>
      </x:c>
      <x:c r="B3273" s="19" t="str">
        <x:v>GRID79_report.md</x:v>
      </x:c>
      <x:c r="C3273" s="19" t="str">
        <x:v>1. 主要结果</x:v>
      </x:c>
      <x:c r="D3273" s="19" t="str">
        <x:v>方法=会议适配，种子1；质量通过=6/7</x:v>
      </x:c>
      <x:c r="E3273" s="19" t="str">
        <x:v>候选查询总量¹</x:v>
      </x:c>
      <x:c r="F3273" s="19" t="str">
        <x:v>11361</x:v>
      </x:c>
      <x:c r="G3273" s="19" t="str">
        <x:v>速度/计算</x:v>
      </x:c>
      <x:c r="H3273" s="19" t="str">
        <x:v>D:/Codex/GRL研究/outputs/grid79/GRID79_report.md</x:v>
      </x:c>
    </x:row>
    <x:row r="3274" ht="36" customHeight="1">
      <x:c r="A3274" s="19" t="str">
        <x:v>GRID79</x:v>
      </x:c>
      <x:c r="B3274" s="19" t="str">
        <x:v>GRID79_report.md</x:v>
      </x:c>
      <x:c r="C3274" s="19" t="str">
        <x:v>1. 主要结果</x:v>
      </x:c>
      <x:c r="D3274" s="19" t="str">
        <x:v>方法=会议适配，种子1；质量通过=6/7</x:v>
      </x:c>
      <x:c r="E3274" s="19" t="str">
        <x:v>控制时间²（秒/日期）</x:v>
      </x:c>
      <x:c r="F3274" s="19" t="str">
        <x:v>59.620</x:v>
      </x:c>
      <x:c r="G3274" s="19" t="str">
        <x:v>速度/计算</x:v>
      </x:c>
      <x:c r="H3274" s="19" t="str">
        <x:v>D:/Codex/GRL研究/outputs/grid79/GRID79_report.md</x:v>
      </x:c>
    </x:row>
    <x:row r="3275" ht="36" customHeight="1">
      <x:c r="A3275" s="19" t="str">
        <x:v>GRID79</x:v>
      </x:c>
      <x:c r="B3275" s="19" t="str">
        <x:v>GRID79_report.md</x:v>
      </x:c>
      <x:c r="C3275" s="19" t="str">
        <x:v>1. 主要结果</x:v>
      </x:c>
      <x:c r="D3275" s="19" t="str">
        <x:v>方法=会议适配，种子1；质量通过=6/7</x:v>
      </x:c>
      <x:c r="E3275" s="19" t="str">
        <x:v>P95决策延迟³（毫秒）</x:v>
      </x:c>
      <x:c r="F3275" s="19" t="str">
        <x:v>30.936</x:v>
      </x:c>
      <x:c r="G3275" s="19" t="str">
        <x:v>速度/计算</x:v>
      </x:c>
      <x:c r="H3275" s="19" t="str">
        <x:v>D:/Codex/GRL研究/outputs/grid79/GRID79_report.md</x:v>
      </x:c>
    </x:row>
    <x:row r="3276" ht="36" customHeight="1">
      <x:c r="A3276" s="19" t="str">
        <x:v>GRID79</x:v>
      </x:c>
      <x:c r="B3276" s="19" t="str">
        <x:v>GRID79_report.md</x:v>
      </x:c>
      <x:c r="C3276" s="19" t="str">
        <x:v>2. 门控相对各对照的实测变化</x:v>
      </x:c>
      <x:c r="D3276" s="19" t="str">
        <x:v>对照=完整搜索；控制时间宏平均减少=+12.056%</x:v>
      </x:c>
      <x:c r="E3276" s="19" t="str">
        <x:v>控制时间宏平均减少</x:v>
      </x:c>
      <x:c r="F3276" s="19" t="str">
        <x:v>+12.056%</x:v>
      </x:c>
      <x:c r="G3276" s="19" t="str">
        <x:v>速度/计算</x:v>
      </x:c>
      <x:c r="H3276" s="19" t="str">
        <x:v>D:/Codex/GRL研究/outputs/grid79/GRID79_report.md</x:v>
      </x:c>
    </x:row>
    <x:row r="3277" ht="36" customHeight="1">
      <x:c r="A3277" s="19" t="str">
        <x:v>GRID79</x:v>
      </x:c>
      <x:c r="B3277" s="19" t="str">
        <x:v>GRID79_report.md</x:v>
      </x:c>
      <x:c r="C3277" s="19" t="str">
        <x:v>2. 门控相对各对照的实测变化</x:v>
      </x:c>
      <x:c r="D3277" s="19" t="str">
        <x:v>对照=完整搜索；控制时间宏平均减少=+12.056%</x:v>
      </x:c>
      <x:c r="E3277" s="19" t="str">
        <x:v>汇总秒数减少</x:v>
      </x:c>
      <x:c r="F3277" s="19" t="str">
        <x:v>+13.489%</x:v>
      </x:c>
      <x:c r="G3277" s="19" t="str">
        <x:v>速度/计算</x:v>
      </x:c>
      <x:c r="H3277" s="19" t="str">
        <x:v>D:/Codex/GRL研究/outputs/grid79/GRID79_report.md</x:v>
      </x:c>
    </x:row>
    <x:row r="3278" ht="36" customHeight="1">
      <x:c r="A3278" s="19" t="str">
        <x:v>GRID79</x:v>
      </x:c>
      <x:c r="B3278" s="19" t="str">
        <x:v>GRID79_report.md</x:v>
      </x:c>
      <x:c r="C3278" s="19" t="str">
        <x:v>2. 门控相对各对照的实测变化</x:v>
      </x:c>
      <x:c r="D3278" s="19" t="str">
        <x:v>对照=完整搜索；控制时间宏平均减少=+12.056%</x:v>
      </x:c>
      <x:c r="E3278" s="19" t="str">
        <x:v>正向日期</x:v>
      </x:c>
      <x:c r="F3278" s="19" t="str">
        <x:v>7/7</x:v>
      </x:c>
      <x:c r="G3278" s="19" t="str">
        <x:v>其他/配置</x:v>
      </x:c>
      <x:c r="H3278" s="19" t="str">
        <x:v>D:/Codex/GRL研究/outputs/grid79/GRID79_report.md</x:v>
      </x:c>
    </x:row>
    <x:row r="3279" ht="36" customHeight="1">
      <x:c r="A3279" s="19" t="str">
        <x:v>GRID79</x:v>
      </x:c>
      <x:c r="B3279" s="19" t="str">
        <x:v>GRID79_report.md</x:v>
      </x:c>
      <x:c r="C3279" s="19" t="str">
        <x:v>2. 门控相对各对照的实测变化</x:v>
      </x:c>
      <x:c r="D3279" s="19" t="str">
        <x:v>对照=完整搜索；控制时间宏平均减少=+12.056%</x:v>
      </x:c>
      <x:c r="E3279" s="19" t="str">
        <x:v>重复0 / 重复1宏平均减少</x:v>
      </x:c>
      <x:c r="F3279" s="19" t="str">
        <x:v>+12.565% / +11.569%</x:v>
      </x:c>
      <x:c r="G3279" s="19" t="str">
        <x:v>速度/计算</x:v>
      </x:c>
      <x:c r="H3279" s="19" t="str">
        <x:v>D:/Codex/GRL研究/outputs/grid79/GRID79_report.md</x:v>
      </x:c>
    </x:row>
    <x:row r="3280" ht="36" customHeight="1">
      <x:c r="A3280" s="19" t="str">
        <x:v>GRID79</x:v>
      </x:c>
      <x:c r="B3280" s="19" t="str">
        <x:v>GRID79_report.md</x:v>
      </x:c>
      <x:c r="C3280" s="19" t="str">
        <x:v>2. 门控相对各对照的实测变化</x:v>
      </x:c>
      <x:c r="D3280" s="19" t="str">
        <x:v>对照=完整搜索；控制时间宏平均减少=+12.056%</x:v>
      </x:c>
      <x:c r="E3280" s="19" t="str">
        <x:v>P95宏平均减少</x:v>
      </x:c>
      <x:c r="F3280" s="19" t="str">
        <x:v>+0.971%</x:v>
      </x:c>
      <x:c r="G3280" s="19" t="str">
        <x:v>速度/计算</x:v>
      </x:c>
      <x:c r="H3280" s="19" t="str">
        <x:v>D:/Codex/GRL研究/outputs/grid79/GRID79_report.md</x:v>
      </x:c>
    </x:row>
    <x:row r="3281" ht="36" customHeight="1">
      <x:c r="A3281" s="19" t="str">
        <x:v>GRID79</x:v>
      </x:c>
      <x:c r="B3281" s="19" t="str">
        <x:v>GRID79_report.md</x:v>
      </x:c>
      <x:c r="C3281" s="19" t="str">
        <x:v>2. 门控相对各对照的实测变化</x:v>
      </x:c>
      <x:c r="D3281" s="19" t="str">
        <x:v>对照=完整搜索；控制时间宏平均减少=+12.056%</x:v>
      </x:c>
      <x:c r="E3281" s="19" t="str">
        <x:v>预设稳定5%筛查</x:v>
      </x:c>
      <x:c r="F3281" s="19" t="str">
        <x:v>True</x:v>
      </x:c>
      <x:c r="G3281" s="19" t="str">
        <x:v>其他/配置</x:v>
      </x:c>
      <x:c r="H3281" s="19" t="str">
        <x:v>D:/Codex/GRL研究/outputs/grid79/GRID79_report.md</x:v>
      </x:c>
    </x:row>
    <x:row r="3282" ht="36" customHeight="1">
      <x:c r="A3282" s="19" t="str">
        <x:v>GRID79</x:v>
      </x:c>
      <x:c r="B3282" s="19" t="str">
        <x:v>GRID79_report.md</x:v>
      </x:c>
      <x:c r="C3282" s="19" t="str">
        <x:v>2. 门控相对各对照的实测变化</x:v>
      </x:c>
      <x:c r="D3282" s="19" t="str">
        <x:v>对照=会议适配，种子0；控制时间宏平均减少=+7.241%</x:v>
      </x:c>
      <x:c r="E3282" s="19" t="str">
        <x:v>控制时间宏平均减少</x:v>
      </x:c>
      <x:c r="F3282" s="19" t="str">
        <x:v>+7.241%</x:v>
      </x:c>
      <x:c r="G3282" s="19" t="str">
        <x:v>速度/计算</x:v>
      </x:c>
      <x:c r="H3282" s="19" t="str">
        <x:v>D:/Codex/GRL研究/outputs/grid79/GRID79_report.md</x:v>
      </x:c>
    </x:row>
    <x:row r="3283" ht="36" customHeight="1">
      <x:c r="A3283" s="19" t="str">
        <x:v>GRID79</x:v>
      </x:c>
      <x:c r="B3283" s="19" t="str">
        <x:v>GRID79_report.md</x:v>
      </x:c>
      <x:c r="C3283" s="19" t="str">
        <x:v>2. 门控相对各对照的实测变化</x:v>
      </x:c>
      <x:c r="D3283" s="19" t="str">
        <x:v>对照=会议适配，种子0；控制时间宏平均减少=+7.241%</x:v>
      </x:c>
      <x:c r="E3283" s="19" t="str">
        <x:v>汇总秒数减少</x:v>
      </x:c>
      <x:c r="F3283" s="19" t="str">
        <x:v>+8.476%</x:v>
      </x:c>
      <x:c r="G3283" s="19" t="str">
        <x:v>速度/计算</x:v>
      </x:c>
      <x:c r="H3283" s="19" t="str">
        <x:v>D:/Codex/GRL研究/outputs/grid79/GRID79_report.md</x:v>
      </x:c>
    </x:row>
    <x:row r="3284" ht="36" customHeight="1">
      <x:c r="A3284" s="19" t="str">
        <x:v>GRID79</x:v>
      </x:c>
      <x:c r="B3284" s="19" t="str">
        <x:v>GRID79_report.md</x:v>
      </x:c>
      <x:c r="C3284" s="19" t="str">
        <x:v>2. 门控相对各对照的实测变化</x:v>
      </x:c>
      <x:c r="D3284" s="19" t="str">
        <x:v>对照=会议适配，种子0；控制时间宏平均减少=+7.241%</x:v>
      </x:c>
      <x:c r="E3284" s="19" t="str">
        <x:v>正向日期</x:v>
      </x:c>
      <x:c r="F3284" s="19" t="str">
        <x:v>6/7</x:v>
      </x:c>
      <x:c r="G3284" s="19" t="str">
        <x:v>其他/配置</x:v>
      </x:c>
      <x:c r="H3284" s="19" t="str">
        <x:v>D:/Codex/GRL研究/outputs/grid79/GRID79_report.md</x:v>
      </x:c>
    </x:row>
    <x:row r="3285" ht="36" customHeight="1">
      <x:c r="A3285" s="19" t="str">
        <x:v>GRID79</x:v>
      </x:c>
      <x:c r="B3285" s="19" t="str">
        <x:v>GRID79_report.md</x:v>
      </x:c>
      <x:c r="C3285" s="19" t="str">
        <x:v>2. 门控相对各对照的实测变化</x:v>
      </x:c>
      <x:c r="D3285" s="19" t="str">
        <x:v>对照=会议适配，种子0；控制时间宏平均减少=+7.241%</x:v>
      </x:c>
      <x:c r="E3285" s="19" t="str">
        <x:v>重复0 / 重复1宏平均减少</x:v>
      </x:c>
      <x:c r="F3285" s="19" t="str">
        <x:v>+3.174% / +10.134%</x:v>
      </x:c>
      <x:c r="G3285" s="19" t="str">
        <x:v>速度/计算</x:v>
      </x:c>
      <x:c r="H3285" s="19" t="str">
        <x:v>D:/Codex/GRL研究/outputs/grid79/GRID79_report.md</x:v>
      </x:c>
    </x:row>
    <x:row r="3286" ht="36" customHeight="1">
      <x:c r="A3286" s="19" t="str">
        <x:v>GRID79</x:v>
      </x:c>
      <x:c r="B3286" s="19" t="str">
        <x:v>GRID79_report.md</x:v>
      </x:c>
      <x:c r="C3286" s="19" t="str">
        <x:v>2. 门控相对各对照的实测变化</x:v>
      </x:c>
      <x:c r="D3286" s="19" t="str">
        <x:v>对照=会议适配，种子0；控制时间宏平均减少=+7.241%</x:v>
      </x:c>
      <x:c r="E3286" s="19" t="str">
        <x:v>P95宏平均减少</x:v>
      </x:c>
      <x:c r="F3286" s="19" t="str">
        <x:v>+3.817%</x:v>
      </x:c>
      <x:c r="G3286" s="19" t="str">
        <x:v>速度/计算</x:v>
      </x:c>
      <x:c r="H3286" s="19" t="str">
        <x:v>D:/Codex/GRL研究/outputs/grid79/GRID79_report.md</x:v>
      </x:c>
    </x:row>
    <x:row r="3287" ht="36" customHeight="1">
      <x:c r="A3287" s="19" t="str">
        <x:v>GRID79</x:v>
      </x:c>
      <x:c r="B3287" s="19" t="str">
        <x:v>GRID79_report.md</x:v>
      </x:c>
      <x:c r="C3287" s="19" t="str">
        <x:v>2. 门控相对各对照的实测变化</x:v>
      </x:c>
      <x:c r="D3287" s="19" t="str">
        <x:v>对照=会议适配，种子0；控制时间宏平均减少=+7.241%</x:v>
      </x:c>
      <x:c r="E3287" s="19" t="str">
        <x:v>预设稳定5%筛查</x:v>
      </x:c>
      <x:c r="F3287" s="19" t="str">
        <x:v>True</x:v>
      </x:c>
      <x:c r="G3287" s="19" t="str">
        <x:v>其他/配置</x:v>
      </x:c>
      <x:c r="H3287" s="19" t="str">
        <x:v>D:/Codex/GRL研究/outputs/grid79/GRID79_report.md</x:v>
      </x:c>
    </x:row>
    <x:row r="3288" ht="36" customHeight="1">
      <x:c r="A3288" s="19" t="str">
        <x:v>GRID79</x:v>
      </x:c>
      <x:c r="B3288" s="19" t="str">
        <x:v>GRID79_report.md</x:v>
      </x:c>
      <x:c r="C3288" s="19" t="str">
        <x:v>2. 门控相对各对照的实测变化</x:v>
      </x:c>
      <x:c r="D3288" s="19" t="str">
        <x:v>对照=会议适配，种子1；控制时间宏平均减少=+2.976%</x:v>
      </x:c>
      <x:c r="E3288" s="19" t="str">
        <x:v>控制时间宏平均减少</x:v>
      </x:c>
      <x:c r="F3288" s="19" t="str">
        <x:v>+2.976%</x:v>
      </x:c>
      <x:c r="G3288" s="19" t="str">
        <x:v>速度/计算</x:v>
      </x:c>
      <x:c r="H3288" s="19" t="str">
        <x:v>D:/Codex/GRL研究/outputs/grid79/GRID79_report.md</x:v>
      </x:c>
    </x:row>
    <x:row r="3289" ht="36" customHeight="1">
      <x:c r="A3289" s="19" t="str">
        <x:v>GRID79</x:v>
      </x:c>
      <x:c r="B3289" s="19" t="str">
        <x:v>GRID79_report.md</x:v>
      </x:c>
      <x:c r="C3289" s="19" t="str">
        <x:v>2. 门控相对各对照的实测变化</x:v>
      </x:c>
      <x:c r="D3289" s="19" t="str">
        <x:v>对照=会议适配，种子1；控制时间宏平均减少=+2.976%</x:v>
      </x:c>
      <x:c r="E3289" s="19" t="str">
        <x:v>汇总秒数减少</x:v>
      </x:c>
      <x:c r="F3289" s="19" t="str">
        <x:v>+4.739%</x:v>
      </x:c>
      <x:c r="G3289" s="19" t="str">
        <x:v>速度/计算</x:v>
      </x:c>
      <x:c r="H3289" s="19" t="str">
        <x:v>D:/Codex/GRL研究/outputs/grid79/GRID79_report.md</x:v>
      </x:c>
    </x:row>
    <x:row r="3290" ht="36" customHeight="1">
      <x:c r="A3290" s="19" t="str">
        <x:v>GRID79</x:v>
      </x:c>
      <x:c r="B3290" s="19" t="str">
        <x:v>GRID79_report.md</x:v>
      </x:c>
      <x:c r="C3290" s="19" t="str">
        <x:v>2. 门控相对各对照的实测变化</x:v>
      </x:c>
      <x:c r="D3290" s="19" t="str">
        <x:v>对照=会议适配，种子1；控制时间宏平均减少=+2.976%</x:v>
      </x:c>
      <x:c r="E3290" s="19" t="str">
        <x:v>正向日期</x:v>
      </x:c>
      <x:c r="F3290" s="19" t="str">
        <x:v>3/7</x:v>
      </x:c>
      <x:c r="G3290" s="19" t="str">
        <x:v>其他/配置</x:v>
      </x:c>
      <x:c r="H3290" s="19" t="str">
        <x:v>D:/Codex/GRL研究/outputs/grid79/GRID79_report.md</x:v>
      </x:c>
    </x:row>
    <x:row r="3291" ht="36" customHeight="1">
      <x:c r="A3291" s="19" t="str">
        <x:v>GRID79</x:v>
      </x:c>
      <x:c r="B3291" s="19" t="str">
        <x:v>GRID79_report.md</x:v>
      </x:c>
      <x:c r="C3291" s="19" t="str">
        <x:v>2. 门控相对各对照的实测变化</x:v>
      </x:c>
      <x:c r="D3291" s="19" t="str">
        <x:v>对照=会议适配，种子1；控制时间宏平均减少=+2.976%</x:v>
      </x:c>
      <x:c r="E3291" s="19" t="str">
        <x:v>重复0 / 重复1宏平均减少</x:v>
      </x:c>
      <x:c r="F3291" s="19" t="str">
        <x:v>-1.724% / +6.306%</x:v>
      </x:c>
      <x:c r="G3291" s="19" t="str">
        <x:v>速度/计算</x:v>
      </x:c>
      <x:c r="H3291" s="19" t="str">
        <x:v>D:/Codex/GRL研究/outputs/grid79/GRID79_report.md</x:v>
      </x:c>
    </x:row>
    <x:row r="3292" ht="36" customHeight="1">
      <x:c r="A3292" s="19" t="str">
        <x:v>GRID79</x:v>
      </x:c>
      <x:c r="B3292" s="19" t="str">
        <x:v>GRID79_report.md</x:v>
      </x:c>
      <x:c r="C3292" s="19" t="str">
        <x:v>2. 门控相对各对照的实测变化</x:v>
      </x:c>
      <x:c r="D3292" s="19" t="str">
        <x:v>对照=会议适配，种子1；控制时间宏平均减少=+2.976%</x:v>
      </x:c>
      <x:c r="E3292" s="19" t="str">
        <x:v>P95宏平均减少</x:v>
      </x:c>
      <x:c r="F3292" s="19" t="str">
        <x:v>+2.147%</x:v>
      </x:c>
      <x:c r="G3292" s="19" t="str">
        <x:v>速度/计算</x:v>
      </x:c>
      <x:c r="H3292" s="19" t="str">
        <x:v>D:/Codex/GRL研究/outputs/grid79/GRID79_report.md</x:v>
      </x:c>
    </x:row>
    <x:row r="3293" ht="36" customHeight="1">
      <x:c r="A3293" s="19" t="str">
        <x:v>GRID79</x:v>
      </x:c>
      <x:c r="B3293" s="19" t="str">
        <x:v>GRID79_report.md</x:v>
      </x:c>
      <x:c r="C3293" s="19" t="str">
        <x:v>2. 门控相对各对照的实测变化</x:v>
      </x:c>
      <x:c r="D3293" s="19" t="str">
        <x:v>对照=会议适配，种子1；控制时间宏平均减少=+2.976%</x:v>
      </x:c>
      <x:c r="E3293" s="19" t="str">
        <x:v>预设稳定5%筛查</x:v>
      </x:c>
      <x:c r="F3293" s="19" t="str">
        <x:v>False</x:v>
      </x:c>
      <x:c r="G3293" s="19" t="str">
        <x:v>其他/配置</x:v>
      </x:c>
      <x:c r="H3293" s="19" t="str">
        <x:v>D:/Codex/GRL研究/outputs/grid79/GRID79_report.md</x:v>
      </x:c>
    </x:row>
    <x:row r="3294" ht="36" customHeight="1">
      <x:c r="A3294" s="19" t="str">
        <x:v>GRID79</x:v>
      </x:c>
      <x:c r="B3294" s="19" t="str">
        <x:v>GRID79_report.md</x:v>
      </x:c>
      <x:c r="C3294" s="19" t="str">
        <x:v>3. 逐日期控制时间和重复波动</x:v>
      </x:c>
      <x:c r="D3294" s="19" t="str">
        <x:v>日期=2035-03-05_0；方法=完整搜索</x:v>
      </x:c>
      <x:c r="E3294" s="19" t="str">
        <x:v>方法</x:v>
      </x:c>
      <x:c r="F3294" s="19" t="str">
        <x:v>完整搜索</x:v>
      </x:c>
      <x:c r="G3294" s="19" t="str">
        <x:v>其他/配置</x:v>
      </x:c>
      <x:c r="H3294" s="19" t="str">
        <x:v>D:/Codex/GRL研究/outputs/grid79/GRID79_report.md</x:v>
      </x:c>
    </x:row>
    <x:row r="3295" ht="36" customHeight="1">
      <x:c r="A3295" s="19" t="str">
        <x:v>GRID79</x:v>
      </x:c>
      <x:c r="B3295" s="19" t="str">
        <x:v>GRID79_report.md</x:v>
      </x:c>
      <x:c r="C3295" s="19" t="str">
        <x:v>3. 逐日期控制时间和重复波动</x:v>
      </x:c>
      <x:c r="D3295" s="19" t="str">
        <x:v>日期=2035-03-05_0；方法=完整搜索</x:v>
      </x:c>
      <x:c r="E3295" s="19" t="str">
        <x:v>两次控制时间均值（秒）</x:v>
      </x:c>
      <x:c r="F3295" s="19" t="str">
        <x:v>148.872</x:v>
      </x:c>
      <x:c r="G3295" s="19" t="str">
        <x:v>速度/计算</x:v>
      </x:c>
      <x:c r="H3295" s="19" t="str">
        <x:v>D:/Codex/GRL研究/outputs/grid79/GRID79_report.md</x:v>
      </x:c>
    </x:row>
    <x:row r="3296" ht="36" customHeight="1">
      <x:c r="A3296" s="19" t="str">
        <x:v>GRID79</x:v>
      </x:c>
      <x:c r="B3296" s="19" t="str">
        <x:v>GRID79_report.md</x:v>
      </x:c>
      <x:c r="C3296" s="19" t="str">
        <x:v>3. 逐日期控制时间和重复波动</x:v>
      </x:c>
      <x:c r="D3296" s="19" t="str">
        <x:v>日期=2035-03-05_0；方法=完整搜索</x:v>
      </x:c>
      <x:c r="E3296" s="19" t="str">
        <x:v>最小—最大（秒）</x:v>
      </x:c>
      <x:c r="F3296" s="19" t="str">
        <x:v>140.118—157.626</x:v>
      </x:c>
      <x:c r="G3296" s="19" t="str">
        <x:v>速度/计算</x:v>
      </x:c>
      <x:c r="H3296" s="19" t="str">
        <x:v>D:/Codex/GRL研究/outputs/grid79/GRID79_report.md</x:v>
      </x:c>
    </x:row>
    <x:row r="3297" ht="36" customHeight="1">
      <x:c r="A3297" s="19" t="str">
        <x:v>GRID79</x:v>
      </x:c>
      <x:c r="B3297" s="19" t="str">
        <x:v>GRID79_report.md</x:v>
      </x:c>
      <x:c r="C3297" s="19" t="str">
        <x:v>3. 逐日期控制时间和重复波动</x:v>
      </x:c>
      <x:c r="D3297" s="19" t="str">
        <x:v>日期=2035-03-05_0；方法=完整搜索</x:v>
      </x:c>
      <x:c r="E3297" s="19" t="str">
        <x:v>完整周成本增幅</x:v>
      </x:c>
      <x:c r="F3297" s="19" t="str">
        <x:v>+0.0000%</x:v>
      </x:c>
      <x:c r="G3297" s="19" t="str">
        <x:v>质量/成本</x:v>
      </x:c>
      <x:c r="H3297" s="19" t="str">
        <x:v>D:/Codex/GRL研究/outputs/grid79/GRID79_report.md</x:v>
      </x:c>
    </x:row>
    <x:row r="3298" ht="36" customHeight="1">
      <x:c r="A3298" s="19" t="str">
        <x:v>GRID79</x:v>
      </x:c>
      <x:c r="B3298" s="19" t="str">
        <x:v>GRID79_report.md</x:v>
      </x:c>
      <x:c r="C3298" s="19" t="str">
        <x:v>3. 逐日期控制时间和重复波动</x:v>
      </x:c>
      <x:c r="D3298" s="19" t="str">
        <x:v>日期=2035-03-05_0；方法=完整搜索</x:v>
      </x:c>
      <x:c r="E3298" s="19" t="str">
        <x:v>候选查询</x:v>
      </x:c>
      <x:c r="F3298" s="19" t="str">
        <x:v>9578</x:v>
      </x:c>
      <x:c r="G3298" s="19" t="str">
        <x:v>速度/计算</x:v>
      </x:c>
      <x:c r="H3298" s="19" t="str">
        <x:v>D:/Codex/GRL研究/outputs/grid79/GRID79_report.md</x:v>
      </x:c>
    </x:row>
    <x:row r="3299" ht="36" customHeight="1">
      <x:c r="A3299" s="19" t="str">
        <x:v>GRID79</x:v>
      </x:c>
      <x:c r="B3299" s="19" t="str">
        <x:v>GRID79_report.md</x:v>
      </x:c>
      <x:c r="C3299" s="19" t="str">
        <x:v>3. 逐日期控制时间和重复波动</x:v>
      </x:c>
      <x:c r="D3299" s="19" t="str">
        <x:v>日期=2035-03-05_0；方法=固定核查＋普通上下文门控</x:v>
      </x:c>
      <x:c r="E3299" s="19" t="str">
        <x:v>方法</x:v>
      </x:c>
      <x:c r="F3299" s="19" t="str">
        <x:v>固定核查＋普通上下文门控</x:v>
      </x:c>
      <x:c r="G3299" s="19" t="str">
        <x:v>其他/配置</x:v>
      </x:c>
      <x:c r="H3299" s="19" t="str">
        <x:v>D:/Codex/GRL研究/outputs/grid79/GRID79_report.md</x:v>
      </x:c>
    </x:row>
    <x:row r="3300" ht="36" customHeight="1">
      <x:c r="A3300" s="19" t="str">
        <x:v>GRID79</x:v>
      </x:c>
      <x:c r="B3300" s="19" t="str">
        <x:v>GRID79_report.md</x:v>
      </x:c>
      <x:c r="C3300" s="19" t="str">
        <x:v>3. 逐日期控制时间和重复波动</x:v>
      </x:c>
      <x:c r="D3300" s="19" t="str">
        <x:v>日期=2035-03-05_0；方法=固定核查＋普通上下文门控</x:v>
      </x:c>
      <x:c r="E3300" s="19" t="str">
        <x:v>两次控制时间均值（秒）</x:v>
      </x:c>
      <x:c r="F3300" s="19" t="str">
        <x:v>130.861</x:v>
      </x:c>
      <x:c r="G3300" s="19" t="str">
        <x:v>速度/计算</x:v>
      </x:c>
      <x:c r="H3300" s="19" t="str">
        <x:v>D:/Codex/GRL研究/outputs/grid79/GRID79_report.md</x:v>
      </x:c>
    </x:row>
    <x:row r="3301" ht="36" customHeight="1">
      <x:c r="A3301" s="19" t="str">
        <x:v>GRID79</x:v>
      </x:c>
      <x:c r="B3301" s="19" t="str">
        <x:v>GRID79_report.md</x:v>
      </x:c>
      <x:c r="C3301" s="19" t="str">
        <x:v>3. 逐日期控制时间和重复波动</x:v>
      </x:c>
      <x:c r="D3301" s="19" t="str">
        <x:v>日期=2035-03-05_0；方法=固定核查＋普通上下文门控</x:v>
      </x:c>
      <x:c r="E3301" s="19" t="str">
        <x:v>最小—最大（秒）</x:v>
      </x:c>
      <x:c r="F3301" s="19" t="str">
        <x:v>122.849—138.873</x:v>
      </x:c>
      <x:c r="G3301" s="19" t="str">
        <x:v>速度/计算</x:v>
      </x:c>
      <x:c r="H3301" s="19" t="str">
        <x:v>D:/Codex/GRL研究/outputs/grid79/GRID79_report.md</x:v>
      </x:c>
    </x:row>
    <x:row r="3302" ht="36" customHeight="1">
      <x:c r="A3302" s="19" t="str">
        <x:v>GRID79</x:v>
      </x:c>
      <x:c r="B3302" s="19" t="str">
        <x:v>GRID79_report.md</x:v>
      </x:c>
      <x:c r="C3302" s="19" t="str">
        <x:v>3. 逐日期控制时间和重复波动</x:v>
      </x:c>
      <x:c r="D3302" s="19" t="str">
        <x:v>日期=2035-03-05_0；方法=固定核查＋普通上下文门控</x:v>
      </x:c>
      <x:c r="E3302" s="19" t="str">
        <x:v>完整周成本增幅</x:v>
      </x:c>
      <x:c r="F3302" s="19" t="str">
        <x:v>+0.3720%</x:v>
      </x:c>
      <x:c r="G3302" s="19" t="str">
        <x:v>质量/成本</x:v>
      </x:c>
      <x:c r="H3302" s="19" t="str">
        <x:v>D:/Codex/GRL研究/outputs/grid79/GRID79_report.md</x:v>
      </x:c>
    </x:row>
    <x:row r="3303" ht="36" customHeight="1">
      <x:c r="A3303" s="19" t="str">
        <x:v>GRID79</x:v>
      </x:c>
      <x:c r="B3303" s="19" t="str">
        <x:v>GRID79_report.md</x:v>
      </x:c>
      <x:c r="C3303" s="19" t="str">
        <x:v>3. 逐日期控制时间和重复波动</x:v>
      </x:c>
      <x:c r="D3303" s="19" t="str">
        <x:v>日期=2035-03-05_0；方法=固定核查＋普通上下文门控</x:v>
      </x:c>
      <x:c r="E3303" s="19" t="str">
        <x:v>候选查询</x:v>
      </x:c>
      <x:c r="F3303" s="19" t="str">
        <x:v>3592</x:v>
      </x:c>
      <x:c r="G3303" s="19" t="str">
        <x:v>速度/计算</x:v>
      </x:c>
      <x:c r="H3303" s="19" t="str">
        <x:v>D:/Codex/GRL研究/outputs/grid79/GRID79_report.md</x:v>
      </x:c>
    </x:row>
    <x:row r="3304" ht="36" customHeight="1">
      <x:c r="A3304" s="19" t="str">
        <x:v>GRID79</x:v>
      </x:c>
      <x:c r="B3304" s="19" t="str">
        <x:v>GRID79_report.md</x:v>
      </x:c>
      <x:c r="C3304" s="19" t="str">
        <x:v>3. 逐日期控制时间和重复波动</x:v>
      </x:c>
      <x:c r="D3304" s="19" t="str">
        <x:v>日期=2035-03-05_0；方法=会议适配，种子0</x:v>
      </x:c>
      <x:c r="E3304" s="19" t="str">
        <x:v>方法</x:v>
      </x:c>
      <x:c r="F3304" s="19" t="str">
        <x:v>会议适配，种子0</x:v>
      </x:c>
      <x:c r="G3304" s="19" t="str">
        <x:v>其他/配置</x:v>
      </x:c>
      <x:c r="H3304" s="19" t="str">
        <x:v>D:/Codex/GRL研究/outputs/grid79/GRID79_report.md</x:v>
      </x:c>
    </x:row>
    <x:row r="3305" ht="36" customHeight="1">
      <x:c r="A3305" s="19" t="str">
        <x:v>GRID79</x:v>
      </x:c>
      <x:c r="B3305" s="19" t="str">
        <x:v>GRID79_report.md</x:v>
      </x:c>
      <x:c r="C3305" s="19" t="str">
        <x:v>3. 逐日期控制时间和重复波动</x:v>
      </x:c>
      <x:c r="D3305" s="19" t="str">
        <x:v>日期=2035-03-05_0；方法=会议适配，种子0</x:v>
      </x:c>
      <x:c r="E3305" s="19" t="str">
        <x:v>两次控制时间均值（秒）</x:v>
      </x:c>
      <x:c r="F3305" s="19" t="str">
        <x:v>141.472</x:v>
      </x:c>
      <x:c r="G3305" s="19" t="str">
        <x:v>速度/计算</x:v>
      </x:c>
      <x:c r="H3305" s="19" t="str">
        <x:v>D:/Codex/GRL研究/outputs/grid79/GRID79_report.md</x:v>
      </x:c>
    </x:row>
    <x:row r="3306" ht="36" customHeight="1">
      <x:c r="A3306" s="19" t="str">
        <x:v>GRID79</x:v>
      </x:c>
      <x:c r="B3306" s="19" t="str">
        <x:v>GRID79_report.md</x:v>
      </x:c>
      <x:c r="C3306" s="19" t="str">
        <x:v>3. 逐日期控制时间和重复波动</x:v>
      </x:c>
      <x:c r="D3306" s="19" t="str">
        <x:v>日期=2035-03-05_0；方法=会议适配，种子0</x:v>
      </x:c>
      <x:c r="E3306" s="19" t="str">
        <x:v>最小—最大（秒）</x:v>
      </x:c>
      <x:c r="F3306" s="19" t="str">
        <x:v>129.275—153.669</x:v>
      </x:c>
      <x:c r="G3306" s="19" t="str">
        <x:v>速度/计算</x:v>
      </x:c>
      <x:c r="H3306" s="19" t="str">
        <x:v>D:/Codex/GRL研究/outputs/grid79/GRID79_report.md</x:v>
      </x:c>
    </x:row>
    <x:row r="3307" ht="36" customHeight="1">
      <x:c r="A3307" s="19" t="str">
        <x:v>GRID79</x:v>
      </x:c>
      <x:c r="B3307" s="19" t="str">
        <x:v>GRID79_report.md</x:v>
      </x:c>
      <x:c r="C3307" s="19" t="str">
        <x:v>3. 逐日期控制时间和重复波动</x:v>
      </x:c>
      <x:c r="D3307" s="19" t="str">
        <x:v>日期=2035-03-05_0；方法=会议适配，种子0</x:v>
      </x:c>
      <x:c r="E3307" s="19" t="str">
        <x:v>完整周成本增幅</x:v>
      </x:c>
      <x:c r="F3307" s="19" t="str">
        <x:v>+2.2445%</x:v>
      </x:c>
      <x:c r="G3307" s="19" t="str">
        <x:v>质量/成本</x:v>
      </x:c>
      <x:c r="H3307" s="19" t="str">
        <x:v>D:/Codex/GRL研究/outputs/grid79/GRID79_report.md</x:v>
      </x:c>
    </x:row>
    <x:row r="3308" ht="36" customHeight="1">
      <x:c r="A3308" s="19" t="str">
        <x:v>GRID79</x:v>
      </x:c>
      <x:c r="B3308" s="19" t="str">
        <x:v>GRID79_report.md</x:v>
      </x:c>
      <x:c r="C3308" s="19" t="str">
        <x:v>3. 逐日期控制时间和重复波动</x:v>
      </x:c>
      <x:c r="D3308" s="19" t="str">
        <x:v>日期=2035-03-05_0；方法=会议适配，种子0</x:v>
      </x:c>
      <x:c r="E3308" s="19" t="str">
        <x:v>候选查询</x:v>
      </x:c>
      <x:c r="F3308" s="19" t="str">
        <x:v>4160</x:v>
      </x:c>
      <x:c r="G3308" s="19" t="str">
        <x:v>速度/计算</x:v>
      </x:c>
      <x:c r="H3308" s="19" t="str">
        <x:v>D:/Codex/GRL研究/outputs/grid79/GRID79_report.md</x:v>
      </x:c>
    </x:row>
    <x:row r="3309" ht="36" customHeight="1">
      <x:c r="A3309" s="19" t="str">
        <x:v>GRID79</x:v>
      </x:c>
      <x:c r="B3309" s="19" t="str">
        <x:v>GRID79_report.md</x:v>
      </x:c>
      <x:c r="C3309" s="19" t="str">
        <x:v>3. 逐日期控制时间和重复波动</x:v>
      </x:c>
      <x:c r="D3309" s="19" t="str">
        <x:v>日期=2035-03-05_0；方法=会议适配，种子1</x:v>
      </x:c>
      <x:c r="E3309" s="19" t="str">
        <x:v>方法</x:v>
      </x:c>
      <x:c r="F3309" s="19" t="str">
        <x:v>会议适配，种子1</x:v>
      </x:c>
      <x:c r="G3309" s="19" t="str">
        <x:v>其他/配置</x:v>
      </x:c>
      <x:c r="H3309" s="19" t="str">
        <x:v>D:/Codex/GRL研究/outputs/grid79/GRID79_report.md</x:v>
      </x:c>
    </x:row>
    <x:row r="3310" ht="36" customHeight="1">
      <x:c r="A3310" s="19" t="str">
        <x:v>GRID79</x:v>
      </x:c>
      <x:c r="B3310" s="19" t="str">
        <x:v>GRID79_report.md</x:v>
      </x:c>
      <x:c r="C3310" s="19" t="str">
        <x:v>3. 逐日期控制时间和重复波动</x:v>
      </x:c>
      <x:c r="D3310" s="19" t="str">
        <x:v>日期=2035-03-05_0；方法=会议适配，种子1</x:v>
      </x:c>
      <x:c r="E3310" s="19" t="str">
        <x:v>两次控制时间均值（秒）</x:v>
      </x:c>
      <x:c r="F3310" s="19" t="str">
        <x:v>140.501</x:v>
      </x:c>
      <x:c r="G3310" s="19" t="str">
        <x:v>速度/计算</x:v>
      </x:c>
      <x:c r="H3310" s="19" t="str">
        <x:v>D:/Codex/GRL研究/outputs/grid79/GRID79_report.md</x:v>
      </x:c>
    </x:row>
    <x:row r="3311" ht="36" customHeight="1">
      <x:c r="A3311" s="19" t="str">
        <x:v>GRID79</x:v>
      </x:c>
      <x:c r="B3311" s="19" t="str">
        <x:v>GRID79_report.md</x:v>
      </x:c>
      <x:c r="C3311" s="19" t="str">
        <x:v>3. 逐日期控制时间和重复波动</x:v>
      </x:c>
      <x:c r="D3311" s="19" t="str">
        <x:v>日期=2035-03-05_0；方法=会议适配，种子1</x:v>
      </x:c>
      <x:c r="E3311" s="19" t="str">
        <x:v>最小—最大（秒）</x:v>
      </x:c>
      <x:c r="F3311" s="19" t="str">
        <x:v>123.525—157.478</x:v>
      </x:c>
      <x:c r="G3311" s="19" t="str">
        <x:v>速度/计算</x:v>
      </x:c>
      <x:c r="H3311" s="19" t="str">
        <x:v>D:/Codex/GRL研究/outputs/grid79/GRID79_report.md</x:v>
      </x:c>
    </x:row>
    <x:row r="3312" ht="36" customHeight="1">
      <x:c r="A3312" s="19" t="str">
        <x:v>GRID79</x:v>
      </x:c>
      <x:c r="B3312" s="19" t="str">
        <x:v>GRID79_report.md</x:v>
      </x:c>
      <x:c r="C3312" s="19" t="str">
        <x:v>3. 逐日期控制时间和重复波动</x:v>
      </x:c>
      <x:c r="D3312" s="19" t="str">
        <x:v>日期=2035-03-05_0；方法=会议适配，种子1</x:v>
      </x:c>
      <x:c r="E3312" s="19" t="str">
        <x:v>完整周成本增幅</x:v>
      </x:c>
      <x:c r="F3312" s="19" t="str">
        <x:v>+2.7968%</x:v>
      </x:c>
      <x:c r="G3312" s="19" t="str">
        <x:v>质量/成本</x:v>
      </x:c>
      <x:c r="H3312" s="19" t="str">
        <x:v>D:/Codex/GRL研究/outputs/grid79/GRID79_report.md</x:v>
      </x:c>
    </x:row>
    <x:row r="3313" ht="36" customHeight="1">
      <x:c r="A3313" s="19" t="str">
        <x:v>GRID79</x:v>
      </x:c>
      <x:c r="B3313" s="19" t="str">
        <x:v>GRID79_report.md</x:v>
      </x:c>
      <x:c r="C3313" s="19" t="str">
        <x:v>3. 逐日期控制时间和重复波动</x:v>
      </x:c>
      <x:c r="D3313" s="19" t="str">
        <x:v>日期=2035-03-05_0；方法=会议适配，种子1</x:v>
      </x:c>
      <x:c r="E3313" s="19" t="str">
        <x:v>候选查询</x:v>
      </x:c>
      <x:c r="F3313" s="19" t="str">
        <x:v>3463</x:v>
      </x:c>
      <x:c r="G3313" s="19" t="str">
        <x:v>速度/计算</x:v>
      </x:c>
      <x:c r="H3313" s="19" t="str">
        <x:v>D:/Codex/GRL研究/outputs/grid79/GRID79_report.md</x:v>
      </x:c>
    </x:row>
    <x:row r="3314" ht="36" customHeight="1">
      <x:c r="A3314" s="19" t="str">
        <x:v>GRID79</x:v>
      </x:c>
      <x:c r="B3314" s="19" t="str">
        <x:v>GRID79_report.md</x:v>
      </x:c>
      <x:c r="C3314" s="19" t="str">
        <x:v>3. 逐日期控制时间和重复波动</x:v>
      </x:c>
      <x:c r="D3314" s="19" t="str">
        <x:v>日期=2035-06-25_8；方法=完整搜索</x:v>
      </x:c>
      <x:c r="E3314" s="19" t="str">
        <x:v>方法</x:v>
      </x:c>
      <x:c r="F3314" s="19" t="str">
        <x:v>完整搜索</x:v>
      </x:c>
      <x:c r="G3314" s="19" t="str">
        <x:v>其他/配置</x:v>
      </x:c>
      <x:c r="H3314" s="19" t="str">
        <x:v>D:/Codex/GRL研究/outputs/grid79/GRID79_report.md</x:v>
      </x:c>
    </x:row>
    <x:row r="3315" ht="36" customHeight="1">
      <x:c r="A3315" s="19" t="str">
        <x:v>GRID79</x:v>
      </x:c>
      <x:c r="B3315" s="19" t="str">
        <x:v>GRID79_report.md</x:v>
      </x:c>
      <x:c r="C3315" s="19" t="str">
        <x:v>3. 逐日期控制时间和重复波动</x:v>
      </x:c>
      <x:c r="D3315" s="19" t="str">
        <x:v>日期=2035-06-25_8；方法=完整搜索</x:v>
      </x:c>
      <x:c r="E3315" s="19" t="str">
        <x:v>两次控制时间均值（秒）</x:v>
      </x:c>
      <x:c r="F3315" s="19" t="str">
        <x:v>57.240</x:v>
      </x:c>
      <x:c r="G3315" s="19" t="str">
        <x:v>速度/计算</x:v>
      </x:c>
      <x:c r="H3315" s="19" t="str">
        <x:v>D:/Codex/GRL研究/outputs/grid79/GRID79_report.md</x:v>
      </x:c>
    </x:row>
    <x:row r="3316" ht="36" customHeight="1">
      <x:c r="A3316" s="19" t="str">
        <x:v>GRID79</x:v>
      </x:c>
      <x:c r="B3316" s="19" t="str">
        <x:v>GRID79_report.md</x:v>
      </x:c>
      <x:c r="C3316" s="19" t="str">
        <x:v>3. 逐日期控制时间和重复波动</x:v>
      </x:c>
      <x:c r="D3316" s="19" t="str">
        <x:v>日期=2035-06-25_8；方法=完整搜索</x:v>
      </x:c>
      <x:c r="E3316" s="19" t="str">
        <x:v>最小—最大（秒）</x:v>
      </x:c>
      <x:c r="F3316" s="19" t="str">
        <x:v>56.629—57.852</x:v>
      </x:c>
      <x:c r="G3316" s="19" t="str">
        <x:v>速度/计算</x:v>
      </x:c>
      <x:c r="H3316" s="19" t="str">
        <x:v>D:/Codex/GRL研究/outputs/grid79/GRID79_report.md</x:v>
      </x:c>
    </x:row>
    <x:row r="3317" ht="36" customHeight="1">
      <x:c r="A3317" s="19" t="str">
        <x:v>GRID79</x:v>
      </x:c>
      <x:c r="B3317" s="19" t="str">
        <x:v>GRID79_report.md</x:v>
      </x:c>
      <x:c r="C3317" s="19" t="str">
        <x:v>3. 逐日期控制时间和重复波动</x:v>
      </x:c>
      <x:c r="D3317" s="19" t="str">
        <x:v>日期=2035-06-25_8；方法=完整搜索</x:v>
      </x:c>
      <x:c r="E3317" s="19" t="str">
        <x:v>完整周成本增幅</x:v>
      </x:c>
      <x:c r="F3317" s="19" t="str">
        <x:v>共享提前终止，未比较整周成本</x:v>
      </x:c>
      <x:c r="G3317" s="19" t="str">
        <x:v>质量/成本</x:v>
      </x:c>
      <x:c r="H3317" s="19" t="str">
        <x:v>D:/Codex/GRL研究/outputs/grid79/GRID79_report.md</x:v>
      </x:c>
    </x:row>
    <x:row r="3318" ht="36" customHeight="1">
      <x:c r="A3318" s="19" t="str">
        <x:v>GRID79</x:v>
      </x:c>
      <x:c r="B3318" s="19" t="str">
        <x:v>GRID79_report.md</x:v>
      </x:c>
      <x:c r="C3318" s="19" t="str">
        <x:v>3. 逐日期控制时间和重复波动</x:v>
      </x:c>
      <x:c r="D3318" s="19" t="str">
        <x:v>日期=2035-06-25_8；方法=完整搜索</x:v>
      </x:c>
      <x:c r="E3318" s="19" t="str">
        <x:v>候选查询</x:v>
      </x:c>
      <x:c r="F3318" s="19" t="str">
        <x:v>4002</x:v>
      </x:c>
      <x:c r="G3318" s="19" t="str">
        <x:v>速度/计算</x:v>
      </x:c>
      <x:c r="H3318" s="19" t="str">
        <x:v>D:/Codex/GRL研究/outputs/grid79/GRID79_report.md</x:v>
      </x:c>
    </x:row>
    <x:row r="3319" ht="36" customHeight="1">
      <x:c r="A3319" s="19" t="str">
        <x:v>GRID79</x:v>
      </x:c>
      <x:c r="B3319" s="19" t="str">
        <x:v>GRID79_report.md</x:v>
      </x:c>
      <x:c r="C3319" s="19" t="str">
        <x:v>3. 逐日期控制时间和重复波动</x:v>
      </x:c>
      <x:c r="D3319" s="19" t="str">
        <x:v>日期=2035-06-25_8；方法=固定核查＋普通上下文门控</x:v>
      </x:c>
      <x:c r="E3319" s="19" t="str">
        <x:v>方法</x:v>
      </x:c>
      <x:c r="F3319" s="19" t="str">
        <x:v>固定核查＋普通上下文门控</x:v>
      </x:c>
      <x:c r="G3319" s="19" t="str">
        <x:v>其他/配置</x:v>
      </x:c>
      <x:c r="H3319" s="19" t="str">
        <x:v>D:/Codex/GRL研究/outputs/grid79/GRID79_report.md</x:v>
      </x:c>
    </x:row>
    <x:row r="3320" ht="36" customHeight="1">
      <x:c r="A3320" s="19" t="str">
        <x:v>GRID79</x:v>
      </x:c>
      <x:c r="B3320" s="19" t="str">
        <x:v>GRID79_report.md</x:v>
      </x:c>
      <x:c r="C3320" s="19" t="str">
        <x:v>3. 逐日期控制时间和重复波动</x:v>
      </x:c>
      <x:c r="D3320" s="19" t="str">
        <x:v>日期=2035-06-25_8；方法=固定核查＋普通上下文门控</x:v>
      </x:c>
      <x:c r="E3320" s="19" t="str">
        <x:v>两次控制时间均值（秒）</x:v>
      </x:c>
      <x:c r="F3320" s="19" t="str">
        <x:v>52.387</x:v>
      </x:c>
      <x:c r="G3320" s="19" t="str">
        <x:v>速度/计算</x:v>
      </x:c>
      <x:c r="H3320" s="19" t="str">
        <x:v>D:/Codex/GRL研究/outputs/grid79/GRID79_report.md</x:v>
      </x:c>
    </x:row>
    <x:row r="3321" ht="36" customHeight="1">
      <x:c r="A3321" s="19" t="str">
        <x:v>GRID79</x:v>
      </x:c>
      <x:c r="B3321" s="19" t="str">
        <x:v>GRID79_report.md</x:v>
      </x:c>
      <x:c r="C3321" s="19" t="str">
        <x:v>3. 逐日期控制时间和重复波动</x:v>
      </x:c>
      <x:c r="D3321" s="19" t="str">
        <x:v>日期=2035-06-25_8；方法=固定核查＋普通上下文门控</x:v>
      </x:c>
      <x:c r="E3321" s="19" t="str">
        <x:v>最小—最大（秒）</x:v>
      </x:c>
      <x:c r="F3321" s="19" t="str">
        <x:v>49.128—55.647</x:v>
      </x:c>
      <x:c r="G3321" s="19" t="str">
        <x:v>速度/计算</x:v>
      </x:c>
      <x:c r="H3321" s="19" t="str">
        <x:v>D:/Codex/GRL研究/outputs/grid79/GRID79_report.md</x:v>
      </x:c>
    </x:row>
    <x:row r="3322" ht="36" customHeight="1">
      <x:c r="A3322" s="19" t="str">
        <x:v>GRID79</x:v>
      </x:c>
      <x:c r="B3322" s="19" t="str">
        <x:v>GRID79_report.md</x:v>
      </x:c>
      <x:c r="C3322" s="19" t="str">
        <x:v>3. 逐日期控制时间和重复波动</x:v>
      </x:c>
      <x:c r="D3322" s="19" t="str">
        <x:v>日期=2035-06-25_8；方法=固定核查＋普通上下文门控</x:v>
      </x:c>
      <x:c r="E3322" s="19" t="str">
        <x:v>完整周成本增幅</x:v>
      </x:c>
      <x:c r="F3322" s="19" t="str">
        <x:v>共享提前终止，未比较整周成本</x:v>
      </x:c>
      <x:c r="G3322" s="19" t="str">
        <x:v>质量/成本</x:v>
      </x:c>
      <x:c r="H3322" s="19" t="str">
        <x:v>D:/Codex/GRL研究/outputs/grid79/GRID79_report.md</x:v>
      </x:c>
    </x:row>
    <x:row r="3323" ht="36" customHeight="1">
      <x:c r="A3323" s="19" t="str">
        <x:v>GRID79</x:v>
      </x:c>
      <x:c r="B3323" s="19" t="str">
        <x:v>GRID79_report.md</x:v>
      </x:c>
      <x:c r="C3323" s="19" t="str">
        <x:v>3. 逐日期控制时间和重复波动</x:v>
      </x:c>
      <x:c r="D3323" s="19" t="str">
        <x:v>日期=2035-06-25_8；方法=固定核查＋普通上下文门控</x:v>
      </x:c>
      <x:c r="E3323" s="19" t="str">
        <x:v>候选查询</x:v>
      </x:c>
      <x:c r="F3323" s="19" t="str">
        <x:v>1428</x:v>
      </x:c>
      <x:c r="G3323" s="19" t="str">
        <x:v>速度/计算</x:v>
      </x:c>
      <x:c r="H3323" s="19" t="str">
        <x:v>D:/Codex/GRL研究/outputs/grid79/GRID79_report.md</x:v>
      </x:c>
    </x:row>
    <x:row r="3324" ht="36" customHeight="1">
      <x:c r="A3324" s="19" t="str">
        <x:v>GRID79</x:v>
      </x:c>
      <x:c r="B3324" s="19" t="str">
        <x:v>GRID79_report.md</x:v>
      </x:c>
      <x:c r="C3324" s="19" t="str">
        <x:v>3. 逐日期控制时间和重复波动</x:v>
      </x:c>
      <x:c r="D3324" s="19" t="str">
        <x:v>日期=2035-06-25_8；方法=会议适配，种子0</x:v>
      </x:c>
      <x:c r="E3324" s="19" t="str">
        <x:v>方法</x:v>
      </x:c>
      <x:c r="F3324" s="19" t="str">
        <x:v>会议适配，种子0</x:v>
      </x:c>
      <x:c r="G3324" s="19" t="str">
        <x:v>其他/配置</x:v>
      </x:c>
      <x:c r="H3324" s="19" t="str">
        <x:v>D:/Codex/GRL研究/outputs/grid79/GRID79_report.md</x:v>
      </x:c>
    </x:row>
    <x:row r="3325" ht="36" customHeight="1">
      <x:c r="A3325" s="19" t="str">
        <x:v>GRID79</x:v>
      </x:c>
      <x:c r="B3325" s="19" t="str">
        <x:v>GRID79_report.md</x:v>
      </x:c>
      <x:c r="C3325" s="19" t="str">
        <x:v>3. 逐日期控制时间和重复波动</x:v>
      </x:c>
      <x:c r="D3325" s="19" t="str">
        <x:v>日期=2035-06-25_8；方法=会议适配，种子0</x:v>
      </x:c>
      <x:c r="E3325" s="19" t="str">
        <x:v>两次控制时间均值（秒）</x:v>
      </x:c>
      <x:c r="F3325" s="19" t="str">
        <x:v>69.778</x:v>
      </x:c>
      <x:c r="G3325" s="19" t="str">
        <x:v>速度/计算</x:v>
      </x:c>
      <x:c r="H3325" s="19" t="str">
        <x:v>D:/Codex/GRL研究/outputs/grid79/GRID79_report.md</x:v>
      </x:c>
    </x:row>
    <x:row r="3326" ht="36" customHeight="1">
      <x:c r="A3326" s="19" t="str">
        <x:v>GRID79</x:v>
      </x:c>
      <x:c r="B3326" s="19" t="str">
        <x:v>GRID79_report.md</x:v>
      </x:c>
      <x:c r="C3326" s="19" t="str">
        <x:v>3. 逐日期控制时间和重复波动</x:v>
      </x:c>
      <x:c r="D3326" s="19" t="str">
        <x:v>日期=2035-06-25_8；方法=会议适配，种子0</x:v>
      </x:c>
      <x:c r="E3326" s="19" t="str">
        <x:v>最小—最大（秒）</x:v>
      </x:c>
      <x:c r="F3326" s="19" t="str">
        <x:v>52.134—87.421</x:v>
      </x:c>
      <x:c r="G3326" s="19" t="str">
        <x:v>速度/计算</x:v>
      </x:c>
      <x:c r="H3326" s="19" t="str">
        <x:v>D:/Codex/GRL研究/outputs/grid79/GRID79_report.md</x:v>
      </x:c>
    </x:row>
    <x:row r="3327" ht="36" customHeight="1">
      <x:c r="A3327" s="19" t="str">
        <x:v>GRID79</x:v>
      </x:c>
      <x:c r="B3327" s="19" t="str">
        <x:v>GRID79_report.md</x:v>
      </x:c>
      <x:c r="C3327" s="19" t="str">
        <x:v>3. 逐日期控制时间和重复波动</x:v>
      </x:c>
      <x:c r="D3327" s="19" t="str">
        <x:v>日期=2035-06-25_8；方法=会议适配，种子0</x:v>
      </x:c>
      <x:c r="E3327" s="19" t="str">
        <x:v>完整周成本增幅</x:v>
      </x:c>
      <x:c r="F3327" s="19" t="str">
        <x:v>共享提前终止，未比较整周成本</x:v>
      </x:c>
      <x:c r="G3327" s="19" t="str">
        <x:v>质量/成本</x:v>
      </x:c>
      <x:c r="H3327" s="19" t="str">
        <x:v>D:/Codex/GRL研究/outputs/grid79/GRID79_report.md</x:v>
      </x:c>
    </x:row>
    <x:row r="3328" ht="36" customHeight="1">
      <x:c r="A3328" s="19" t="str">
        <x:v>GRID79</x:v>
      </x:c>
      <x:c r="B3328" s="19" t="str">
        <x:v>GRID79_report.md</x:v>
      </x:c>
      <x:c r="C3328" s="19" t="str">
        <x:v>3. 逐日期控制时间和重复波动</x:v>
      </x:c>
      <x:c r="D3328" s="19" t="str">
        <x:v>日期=2035-06-25_8；方法=会议适配，种子0</x:v>
      </x:c>
      <x:c r="E3328" s="19" t="str">
        <x:v>候选查询</x:v>
      </x:c>
      <x:c r="F3328" s="19" t="str">
        <x:v>2492</x:v>
      </x:c>
      <x:c r="G3328" s="19" t="str">
        <x:v>速度/计算</x:v>
      </x:c>
      <x:c r="H3328" s="19" t="str">
        <x:v>D:/Codex/GRL研究/outputs/grid79/GRID79_report.md</x:v>
      </x:c>
    </x:row>
    <x:row r="3329" ht="36" customHeight="1">
      <x:c r="A3329" s="19" t="str">
        <x:v>GRID79</x:v>
      </x:c>
      <x:c r="B3329" s="19" t="str">
        <x:v>GRID79_report.md</x:v>
      </x:c>
      <x:c r="C3329" s="19" t="str">
        <x:v>3. 逐日期控制时间和重复波动</x:v>
      </x:c>
      <x:c r="D3329" s="19" t="str">
        <x:v>日期=2035-06-25_8；方法=会议适配，种子1</x:v>
      </x:c>
      <x:c r="E3329" s="19" t="str">
        <x:v>方法</x:v>
      </x:c>
      <x:c r="F3329" s="19" t="str">
        <x:v>会议适配，种子1</x:v>
      </x:c>
      <x:c r="G3329" s="19" t="str">
        <x:v>其他/配置</x:v>
      </x:c>
      <x:c r="H3329" s="19" t="str">
        <x:v>D:/Codex/GRL研究/outputs/grid79/GRID79_report.md</x:v>
      </x:c>
    </x:row>
    <x:row r="3330" ht="36" customHeight="1">
      <x:c r="A3330" s="19" t="str">
        <x:v>GRID79</x:v>
      </x:c>
      <x:c r="B3330" s="19" t="str">
        <x:v>GRID79_report.md</x:v>
      </x:c>
      <x:c r="C3330" s="19" t="str">
        <x:v>3. 逐日期控制时间和重复波动</x:v>
      </x:c>
      <x:c r="D3330" s="19" t="str">
        <x:v>日期=2035-06-25_8；方法=会议适配，种子1</x:v>
      </x:c>
      <x:c r="E3330" s="19" t="str">
        <x:v>两次控制时间均值（秒）</x:v>
      </x:c>
      <x:c r="F3330" s="19" t="str">
        <x:v>68.468</x:v>
      </x:c>
      <x:c r="G3330" s="19" t="str">
        <x:v>速度/计算</x:v>
      </x:c>
      <x:c r="H3330" s="19" t="str">
        <x:v>D:/Codex/GRL研究/outputs/grid79/GRID79_report.md</x:v>
      </x:c>
    </x:row>
    <x:row r="3331" ht="36" customHeight="1">
      <x:c r="A3331" s="19" t="str">
        <x:v>GRID79</x:v>
      </x:c>
      <x:c r="B3331" s="19" t="str">
        <x:v>GRID79_report.md</x:v>
      </x:c>
      <x:c r="C3331" s="19" t="str">
        <x:v>3. 逐日期控制时间和重复波动</x:v>
      </x:c>
      <x:c r="D3331" s="19" t="str">
        <x:v>日期=2035-06-25_8；方法=会议适配，种子1</x:v>
      </x:c>
      <x:c r="E3331" s="19" t="str">
        <x:v>最小—最大（秒）</x:v>
      </x:c>
      <x:c r="F3331" s="19" t="str">
        <x:v>50.899—86.036</x:v>
      </x:c>
      <x:c r="G3331" s="19" t="str">
        <x:v>速度/计算</x:v>
      </x:c>
      <x:c r="H3331" s="19" t="str">
        <x:v>D:/Codex/GRL研究/outputs/grid79/GRID79_report.md</x:v>
      </x:c>
    </x:row>
    <x:row r="3332" ht="36" customHeight="1">
      <x:c r="A3332" s="19" t="str">
        <x:v>GRID79</x:v>
      </x:c>
      <x:c r="B3332" s="19" t="str">
        <x:v>GRID79_report.md</x:v>
      </x:c>
      <x:c r="C3332" s="19" t="str">
        <x:v>3. 逐日期控制时间和重复波动</x:v>
      </x:c>
      <x:c r="D3332" s="19" t="str">
        <x:v>日期=2035-06-25_8；方法=会议适配，种子1</x:v>
      </x:c>
      <x:c r="E3332" s="19" t="str">
        <x:v>完整周成本增幅</x:v>
      </x:c>
      <x:c r="F3332" s="19" t="str">
        <x:v>共享提前终止，未比较整周成本</x:v>
      </x:c>
      <x:c r="G3332" s="19" t="str">
        <x:v>质量/成本</x:v>
      </x:c>
      <x:c r="H3332" s="19" t="str">
        <x:v>D:/Codex/GRL研究/outputs/grid79/GRID79_report.md</x:v>
      </x:c>
    </x:row>
    <x:row r="3333" ht="36" customHeight="1">
      <x:c r="A3333" s="19" t="str">
        <x:v>GRID79</x:v>
      </x:c>
      <x:c r="B3333" s="19" t="str">
        <x:v>GRID79_report.md</x:v>
      </x:c>
      <x:c r="C3333" s="19" t="str">
        <x:v>3. 逐日期控制时间和重复波动</x:v>
      </x:c>
      <x:c r="D3333" s="19" t="str">
        <x:v>日期=2035-06-25_8；方法=会议适配，种子1</x:v>
      </x:c>
      <x:c r="E3333" s="19" t="str">
        <x:v>候选查询</x:v>
      </x:c>
      <x:c r="F3333" s="19" t="str">
        <x:v>1889</x:v>
      </x:c>
      <x:c r="G3333" s="19" t="str">
        <x:v>速度/计算</x:v>
      </x:c>
      <x:c r="H3333" s="19" t="str">
        <x:v>D:/Codex/GRL研究/outputs/grid79/GRID79_report.md</x:v>
      </x:c>
    </x:row>
    <x:row r="3334" ht="36" customHeight="1">
      <x:c r="A3334" s="19" t="str">
        <x:v>GRID79</x:v>
      </x:c>
      <x:c r="B3334" s="19" t="str">
        <x:v>GRID79_report.md</x:v>
      </x:c>
      <x:c r="C3334" s="19" t="str">
        <x:v>3. 逐日期控制时间和重复波动</x:v>
      </x:c>
      <x:c r="D3334" s="19" t="str">
        <x:v>日期=2035-09-03_4；方法=完整搜索</x:v>
      </x:c>
      <x:c r="E3334" s="19" t="str">
        <x:v>方法</x:v>
      </x:c>
      <x:c r="F3334" s="19" t="str">
        <x:v>完整搜索</x:v>
      </x:c>
      <x:c r="G3334" s="19" t="str">
        <x:v>其他/配置</x:v>
      </x:c>
      <x:c r="H3334" s="19" t="str">
        <x:v>D:/Codex/GRL研究/outputs/grid79/GRID79_report.md</x:v>
      </x:c>
    </x:row>
    <x:row r="3335" ht="36" customHeight="1">
      <x:c r="A3335" s="19" t="str">
        <x:v>GRID79</x:v>
      </x:c>
      <x:c r="B3335" s="19" t="str">
        <x:v>GRID79_report.md</x:v>
      </x:c>
      <x:c r="C3335" s="19" t="str">
        <x:v>3. 逐日期控制时间和重复波动</x:v>
      </x:c>
      <x:c r="D3335" s="19" t="str">
        <x:v>日期=2035-09-03_4；方法=完整搜索</x:v>
      </x:c>
      <x:c r="E3335" s="19" t="str">
        <x:v>两次控制时间均值（秒）</x:v>
      </x:c>
      <x:c r="F3335" s="19" t="str">
        <x:v>64.177</x:v>
      </x:c>
      <x:c r="G3335" s="19" t="str">
        <x:v>速度/计算</x:v>
      </x:c>
      <x:c r="H3335" s="19" t="str">
        <x:v>D:/Codex/GRL研究/outputs/grid79/GRID79_report.md</x:v>
      </x:c>
    </x:row>
    <x:row r="3336" ht="36" customHeight="1">
      <x:c r="A3336" s="19" t="str">
        <x:v>GRID79</x:v>
      </x:c>
      <x:c r="B3336" s="19" t="str">
        <x:v>GRID79_report.md</x:v>
      </x:c>
      <x:c r="C3336" s="19" t="str">
        <x:v>3. 逐日期控制时间和重复波动</x:v>
      </x:c>
      <x:c r="D3336" s="19" t="str">
        <x:v>日期=2035-09-03_4；方法=完整搜索</x:v>
      </x:c>
      <x:c r="E3336" s="19" t="str">
        <x:v>最小—最大（秒）</x:v>
      </x:c>
      <x:c r="F3336" s="19" t="str">
        <x:v>63.467—64.886</x:v>
      </x:c>
      <x:c r="G3336" s="19" t="str">
        <x:v>速度/计算</x:v>
      </x:c>
      <x:c r="H3336" s="19" t="str">
        <x:v>D:/Codex/GRL研究/outputs/grid79/GRID79_report.md</x:v>
      </x:c>
    </x:row>
    <x:row r="3337" ht="36" customHeight="1">
      <x:c r="A3337" s="19" t="str">
        <x:v>GRID79</x:v>
      </x:c>
      <x:c r="B3337" s="19" t="str">
        <x:v>GRID79_report.md</x:v>
      </x:c>
      <x:c r="C3337" s="19" t="str">
        <x:v>3. 逐日期控制时间和重复波动</x:v>
      </x:c>
      <x:c r="D3337" s="19" t="str">
        <x:v>日期=2035-09-03_4；方法=完整搜索</x:v>
      </x:c>
      <x:c r="E3337" s="19" t="str">
        <x:v>完整周成本增幅</x:v>
      </x:c>
      <x:c r="F3337" s="19" t="str">
        <x:v>+0.0000%</x:v>
      </x:c>
      <x:c r="G3337" s="19" t="str">
        <x:v>质量/成本</x:v>
      </x:c>
      <x:c r="H3337" s="19" t="str">
        <x:v>D:/Codex/GRL研究/outputs/grid79/GRID79_report.md</x:v>
      </x:c>
    </x:row>
    <x:row r="3338" ht="36" customHeight="1">
      <x:c r="A3338" s="19" t="str">
        <x:v>GRID79</x:v>
      </x:c>
      <x:c r="B3338" s="19" t="str">
        <x:v>GRID79_report.md</x:v>
      </x:c>
      <x:c r="C3338" s="19" t="str">
        <x:v>3. 逐日期控制时间和重复波动</x:v>
      </x:c>
      <x:c r="D3338" s="19" t="str">
        <x:v>日期=2035-09-03_4；方法=完整搜索</x:v>
      </x:c>
      <x:c r="E3338" s="19" t="str">
        <x:v>候选查询</x:v>
      </x:c>
      <x:c r="F3338" s="19" t="str">
        <x:v>7200</x:v>
      </x:c>
      <x:c r="G3338" s="19" t="str">
        <x:v>速度/计算</x:v>
      </x:c>
      <x:c r="H3338" s="19" t="str">
        <x:v>D:/Codex/GRL研究/outputs/grid79/GRID79_report.md</x:v>
      </x:c>
    </x:row>
    <x:row r="3339" ht="36" customHeight="1">
      <x:c r="A3339" s="19" t="str">
        <x:v>GRID79</x:v>
      </x:c>
      <x:c r="B3339" s="19" t="str">
        <x:v>GRID79_report.md</x:v>
      </x:c>
      <x:c r="C3339" s="19" t="str">
        <x:v>3. 逐日期控制时间和重复波动</x:v>
      </x:c>
      <x:c r="D3339" s="19" t="str">
        <x:v>日期=2035-09-03_4；方法=固定核查＋普通上下文门控</x:v>
      </x:c>
      <x:c r="E3339" s="19" t="str">
        <x:v>方法</x:v>
      </x:c>
      <x:c r="F3339" s="19" t="str">
        <x:v>固定核查＋普通上下文门控</x:v>
      </x:c>
      <x:c r="G3339" s="19" t="str">
        <x:v>其他/配置</x:v>
      </x:c>
      <x:c r="H3339" s="19" t="str">
        <x:v>D:/Codex/GRL研究/outputs/grid79/GRID79_report.md</x:v>
      </x:c>
    </x:row>
    <x:row r="3340" ht="36" customHeight="1">
      <x:c r="A3340" s="19" t="str">
        <x:v>GRID79</x:v>
      </x:c>
      <x:c r="B3340" s="19" t="str">
        <x:v>GRID79_report.md</x:v>
      </x:c>
      <x:c r="C3340" s="19" t="str">
        <x:v>3. 逐日期控制时间和重复波动</x:v>
      </x:c>
      <x:c r="D3340" s="19" t="str">
        <x:v>日期=2035-09-03_4；方法=固定核查＋普通上下文门控</x:v>
      </x:c>
      <x:c r="E3340" s="19" t="str">
        <x:v>两次控制时间均值（秒）</x:v>
      </x:c>
      <x:c r="F3340" s="19" t="str">
        <x:v>49.794</x:v>
      </x:c>
      <x:c r="G3340" s="19" t="str">
        <x:v>速度/计算</x:v>
      </x:c>
      <x:c r="H3340" s="19" t="str">
        <x:v>D:/Codex/GRL研究/outputs/grid79/GRID79_report.md</x:v>
      </x:c>
    </x:row>
    <x:row r="3341" ht="36" customHeight="1">
      <x:c r="A3341" s="19" t="str">
        <x:v>GRID79</x:v>
      </x:c>
      <x:c r="B3341" s="19" t="str">
        <x:v>GRID79_report.md</x:v>
      </x:c>
      <x:c r="C3341" s="19" t="str">
        <x:v>3. 逐日期控制时间和重复波动</x:v>
      </x:c>
      <x:c r="D3341" s="19" t="str">
        <x:v>日期=2035-09-03_4；方法=固定核查＋普通上下文门控</x:v>
      </x:c>
      <x:c r="E3341" s="19" t="str">
        <x:v>最小—最大（秒）</x:v>
      </x:c>
      <x:c r="F3341" s="19" t="str">
        <x:v>49.717—49.871</x:v>
      </x:c>
      <x:c r="G3341" s="19" t="str">
        <x:v>速度/计算</x:v>
      </x:c>
      <x:c r="H3341" s="19" t="str">
        <x:v>D:/Codex/GRL研究/outputs/grid79/GRID79_report.md</x:v>
      </x:c>
    </x:row>
    <x:row r="3342" ht="36" customHeight="1">
      <x:c r="A3342" s="19" t="str">
        <x:v>GRID79</x:v>
      </x:c>
      <x:c r="B3342" s="19" t="str">
        <x:v>GRID79_report.md</x:v>
      </x:c>
      <x:c r="C3342" s="19" t="str">
        <x:v>3. 逐日期控制时间和重复波动</x:v>
      </x:c>
      <x:c r="D3342" s="19" t="str">
        <x:v>日期=2035-09-03_4；方法=固定核查＋普通上下文门控</x:v>
      </x:c>
      <x:c r="E3342" s="19" t="str">
        <x:v>完整周成本增幅</x:v>
      </x:c>
      <x:c r="F3342" s="19" t="str">
        <x:v>-1.8666%</x:v>
      </x:c>
      <x:c r="G3342" s="19" t="str">
        <x:v>质量/成本</x:v>
      </x:c>
      <x:c r="H3342" s="19" t="str">
        <x:v>D:/Codex/GRL研究/outputs/grid79/GRID79_report.md</x:v>
      </x:c>
    </x:row>
    <x:row r="3343" ht="36" customHeight="1">
      <x:c r="A3343" s="19" t="str">
        <x:v>GRID79</x:v>
      </x:c>
      <x:c r="B3343" s="19" t="str">
        <x:v>GRID79_report.md</x:v>
      </x:c>
      <x:c r="C3343" s="19" t="str">
        <x:v>3. 逐日期控制时间和重复波动</x:v>
      </x:c>
      <x:c r="D3343" s="19" t="str">
        <x:v>日期=2035-09-03_4；方法=固定核查＋普通上下文门控</x:v>
      </x:c>
      <x:c r="E3343" s="19" t="str">
        <x:v>候选查询</x:v>
      </x:c>
      <x:c r="F3343" s="19" t="str">
        <x:v>2859</x:v>
      </x:c>
      <x:c r="G3343" s="19" t="str">
        <x:v>速度/计算</x:v>
      </x:c>
      <x:c r="H3343" s="19" t="str">
        <x:v>D:/Codex/GRL研究/outputs/grid79/GRID79_report.md</x:v>
      </x:c>
    </x:row>
    <x:row r="3344" ht="36" customHeight="1">
      <x:c r="A3344" s="19" t="str">
        <x:v>GRID79</x:v>
      </x:c>
      <x:c r="B3344" s="19" t="str">
        <x:v>GRID79_report.md</x:v>
      </x:c>
      <x:c r="C3344" s="19" t="str">
        <x:v>3. 逐日期控制时间和重复波动</x:v>
      </x:c>
      <x:c r="D3344" s="19" t="str">
        <x:v>日期=2035-09-03_4；方法=会议适配，种子0</x:v>
      </x:c>
      <x:c r="E3344" s="19" t="str">
        <x:v>方法</x:v>
      </x:c>
      <x:c r="F3344" s="19" t="str">
        <x:v>会议适配，种子0</x:v>
      </x:c>
      <x:c r="G3344" s="19" t="str">
        <x:v>其他/配置</x:v>
      </x:c>
      <x:c r="H3344" s="19" t="str">
        <x:v>D:/Codex/GRL研究/outputs/grid79/GRID79_report.md</x:v>
      </x:c>
    </x:row>
    <x:row r="3345" ht="36" customHeight="1">
      <x:c r="A3345" s="19" t="str">
        <x:v>GRID79</x:v>
      </x:c>
      <x:c r="B3345" s="19" t="str">
        <x:v>GRID79_report.md</x:v>
      </x:c>
      <x:c r="C3345" s="19" t="str">
        <x:v>3. 逐日期控制时间和重复波动</x:v>
      </x:c>
      <x:c r="D3345" s="19" t="str">
        <x:v>日期=2035-09-03_4；方法=会议适配，种子0</x:v>
      </x:c>
      <x:c r="E3345" s="19" t="str">
        <x:v>两次控制时间均值（秒）</x:v>
      </x:c>
      <x:c r="F3345" s="19" t="str">
        <x:v>50.206</x:v>
      </x:c>
      <x:c r="G3345" s="19" t="str">
        <x:v>速度/计算</x:v>
      </x:c>
      <x:c r="H3345" s="19" t="str">
        <x:v>D:/Codex/GRL研究/outputs/grid79/GRID79_report.md</x:v>
      </x:c>
    </x:row>
    <x:row r="3346" ht="36" customHeight="1">
      <x:c r="A3346" s="19" t="str">
        <x:v>GRID79</x:v>
      </x:c>
      <x:c r="B3346" s="19" t="str">
        <x:v>GRID79_report.md</x:v>
      </x:c>
      <x:c r="C3346" s="19" t="str">
        <x:v>3. 逐日期控制时间和重复波动</x:v>
      </x:c>
      <x:c r="D3346" s="19" t="str">
        <x:v>日期=2035-09-03_4；方法=会议适配，种子0</x:v>
      </x:c>
      <x:c r="E3346" s="19" t="str">
        <x:v>最小—最大（秒）</x:v>
      </x:c>
      <x:c r="F3346" s="19" t="str">
        <x:v>49.981—50.431</x:v>
      </x:c>
      <x:c r="G3346" s="19" t="str">
        <x:v>速度/计算</x:v>
      </x:c>
      <x:c r="H3346" s="19" t="str">
        <x:v>D:/Codex/GRL研究/outputs/grid79/GRID79_report.md</x:v>
      </x:c>
    </x:row>
    <x:row r="3347" ht="36" customHeight="1">
      <x:c r="A3347" s="19" t="str">
        <x:v>GRID79</x:v>
      </x:c>
      <x:c r="B3347" s="19" t="str">
        <x:v>GRID79_report.md</x:v>
      </x:c>
      <x:c r="C3347" s="19" t="str">
        <x:v>3. 逐日期控制时间和重复波动</x:v>
      </x:c>
      <x:c r="D3347" s="19" t="str">
        <x:v>日期=2035-09-03_4；方法=会议适配，种子0</x:v>
      </x:c>
      <x:c r="E3347" s="19" t="str">
        <x:v>完整周成本增幅</x:v>
      </x:c>
      <x:c r="F3347" s="19" t="str">
        <x:v>-1.8666%</x:v>
      </x:c>
      <x:c r="G3347" s="19" t="str">
        <x:v>质量/成本</x:v>
      </x:c>
      <x:c r="H3347" s="19" t="str">
        <x:v>D:/Codex/GRL研究/outputs/grid79/GRID79_report.md</x:v>
      </x:c>
    </x:row>
    <x:row r="3348" ht="36" customHeight="1">
      <x:c r="A3348" s="19" t="str">
        <x:v>GRID79</x:v>
      </x:c>
      <x:c r="B3348" s="19" t="str">
        <x:v>GRID79_report.md</x:v>
      </x:c>
      <x:c r="C3348" s="19" t="str">
        <x:v>3. 逐日期控制时间和重复波动</x:v>
      </x:c>
      <x:c r="D3348" s="19" t="str">
        <x:v>日期=2035-09-03_4；方法=会议适配，种子0</x:v>
      </x:c>
      <x:c r="E3348" s="19" t="str">
        <x:v>候选查询</x:v>
      </x:c>
      <x:c r="F3348" s="19" t="str">
        <x:v>3141</x:v>
      </x:c>
      <x:c r="G3348" s="19" t="str">
        <x:v>速度/计算</x:v>
      </x:c>
      <x:c r="H3348" s="19" t="str">
        <x:v>D:/Codex/GRL研究/outputs/grid79/GRID79_report.md</x:v>
      </x:c>
    </x:row>
    <x:row r="3349" ht="36" customHeight="1">
      <x:c r="A3349" s="19" t="str">
        <x:v>GRID79</x:v>
      </x:c>
      <x:c r="B3349" s="19" t="str">
        <x:v>GRID79_report.md</x:v>
      </x:c>
      <x:c r="C3349" s="19" t="str">
        <x:v>3. 逐日期控制时间和重复波动</x:v>
      </x:c>
      <x:c r="D3349" s="19" t="str">
        <x:v>日期=2035-09-03_4；方法=会议适配，种子1</x:v>
      </x:c>
      <x:c r="E3349" s="19" t="str">
        <x:v>方法</x:v>
      </x:c>
      <x:c r="F3349" s="19" t="str">
        <x:v>会议适配，种子1</x:v>
      </x:c>
      <x:c r="G3349" s="19" t="str">
        <x:v>其他/配置</x:v>
      </x:c>
      <x:c r="H3349" s="19" t="str">
        <x:v>D:/Codex/GRL研究/outputs/grid79/GRID79_report.md</x:v>
      </x:c>
    </x:row>
    <x:row r="3350" ht="36" customHeight="1">
      <x:c r="A3350" s="19" t="str">
        <x:v>GRID79</x:v>
      </x:c>
      <x:c r="B3350" s="19" t="str">
        <x:v>GRID79_report.md</x:v>
      </x:c>
      <x:c r="C3350" s="19" t="str">
        <x:v>3. 逐日期控制时间和重复波动</x:v>
      </x:c>
      <x:c r="D3350" s="19" t="str">
        <x:v>日期=2035-09-03_4；方法=会议适配，种子1</x:v>
      </x:c>
      <x:c r="E3350" s="19" t="str">
        <x:v>两次控制时间均值（秒）</x:v>
      </x:c>
      <x:c r="F3350" s="19" t="str">
        <x:v>49.682</x:v>
      </x:c>
      <x:c r="G3350" s="19" t="str">
        <x:v>速度/计算</x:v>
      </x:c>
      <x:c r="H3350" s="19" t="str">
        <x:v>D:/Codex/GRL研究/outputs/grid79/GRID79_report.md</x:v>
      </x:c>
    </x:row>
    <x:row r="3351" ht="36" customHeight="1">
      <x:c r="A3351" s="19" t="str">
        <x:v>GRID79</x:v>
      </x:c>
      <x:c r="B3351" s="19" t="str">
        <x:v>GRID79_report.md</x:v>
      </x:c>
      <x:c r="C3351" s="19" t="str">
        <x:v>3. 逐日期控制时间和重复波动</x:v>
      </x:c>
      <x:c r="D3351" s="19" t="str">
        <x:v>日期=2035-09-03_4；方法=会议适配，种子1</x:v>
      </x:c>
      <x:c r="E3351" s="19" t="str">
        <x:v>最小—最大（秒）</x:v>
      </x:c>
      <x:c r="F3351" s="19" t="str">
        <x:v>49.531—49.833</x:v>
      </x:c>
      <x:c r="G3351" s="19" t="str">
        <x:v>速度/计算</x:v>
      </x:c>
      <x:c r="H3351" s="19" t="str">
        <x:v>D:/Codex/GRL研究/outputs/grid79/GRID79_report.md</x:v>
      </x:c>
    </x:row>
    <x:row r="3352" ht="36" customHeight="1">
      <x:c r="A3352" s="19" t="str">
        <x:v>GRID79</x:v>
      </x:c>
      <x:c r="B3352" s="19" t="str">
        <x:v>GRID79_report.md</x:v>
      </x:c>
      <x:c r="C3352" s="19" t="str">
        <x:v>3. 逐日期控制时间和重复波动</x:v>
      </x:c>
      <x:c r="D3352" s="19" t="str">
        <x:v>日期=2035-09-03_4；方法=会议适配，种子1</x:v>
      </x:c>
      <x:c r="E3352" s="19" t="str">
        <x:v>完整周成本增幅</x:v>
      </x:c>
      <x:c r="F3352" s="19" t="str">
        <x:v>-1.8666%</x:v>
      </x:c>
      <x:c r="G3352" s="19" t="str">
        <x:v>质量/成本</x:v>
      </x:c>
      <x:c r="H3352" s="19" t="str">
        <x:v>D:/Codex/GRL研究/outputs/grid79/GRID79_report.md</x:v>
      </x:c>
    </x:row>
    <x:row r="3353" ht="36" customHeight="1">
      <x:c r="A3353" s="19" t="str">
        <x:v>GRID79</x:v>
      </x:c>
      <x:c r="B3353" s="19" t="str">
        <x:v>GRID79_report.md</x:v>
      </x:c>
      <x:c r="C3353" s="19" t="str">
        <x:v>3. 逐日期控制时间和重复波动</x:v>
      </x:c>
      <x:c r="D3353" s="19" t="str">
        <x:v>日期=2035-09-03_4；方法=会议适配，种子1</x:v>
      </x:c>
      <x:c r="E3353" s="19" t="str">
        <x:v>候选查询</x:v>
      </x:c>
      <x:c r="F3353" s="19" t="str">
        <x:v>2987</x:v>
      </x:c>
      <x:c r="G3353" s="19" t="str">
        <x:v>速度/计算</x:v>
      </x:c>
      <x:c r="H3353" s="19" t="str">
        <x:v>D:/Codex/GRL研究/outputs/grid79/GRID79_report.md</x:v>
      </x:c>
    </x:row>
    <x:row r="3354" ht="36" customHeight="1">
      <x:c r="A3354" s="19" t="str">
        <x:v>GRID79</x:v>
      </x:c>
      <x:c r="B3354" s="19" t="str">
        <x:v>GRID79_report.md</x:v>
      </x:c>
      <x:c r="C3354" s="19" t="str">
        <x:v>3. 逐日期控制时间和重复波动</x:v>
      </x:c>
      <x:c r="D3354" s="19" t="str">
        <x:v>日期=2035-10-01_5；方法=完整搜索</x:v>
      </x:c>
      <x:c r="E3354" s="19" t="str">
        <x:v>方法</x:v>
      </x:c>
      <x:c r="F3354" s="19" t="str">
        <x:v>完整搜索</x:v>
      </x:c>
      <x:c r="G3354" s="19" t="str">
        <x:v>其他/配置</x:v>
      </x:c>
      <x:c r="H3354" s="19" t="str">
        <x:v>D:/Codex/GRL研究/outputs/grid79/GRID79_report.md</x:v>
      </x:c>
    </x:row>
    <x:row r="3355" ht="36" customHeight="1">
      <x:c r="A3355" s="19" t="str">
        <x:v>GRID79</x:v>
      </x:c>
      <x:c r="B3355" s="19" t="str">
        <x:v>GRID79_report.md</x:v>
      </x:c>
      <x:c r="C3355" s="19" t="str">
        <x:v>3. 逐日期控制时间和重复波动</x:v>
      </x:c>
      <x:c r="D3355" s="19" t="str">
        <x:v>日期=2035-10-01_5；方法=完整搜索</x:v>
      </x:c>
      <x:c r="E3355" s="19" t="str">
        <x:v>两次控制时间均值（秒）</x:v>
      </x:c>
      <x:c r="F3355" s="19" t="str">
        <x:v>46.797</x:v>
      </x:c>
      <x:c r="G3355" s="19" t="str">
        <x:v>速度/计算</x:v>
      </x:c>
      <x:c r="H3355" s="19" t="str">
        <x:v>D:/Codex/GRL研究/outputs/grid79/GRID79_report.md</x:v>
      </x:c>
    </x:row>
    <x:row r="3356" ht="36" customHeight="1">
      <x:c r="A3356" s="19" t="str">
        <x:v>GRID79</x:v>
      </x:c>
      <x:c r="B3356" s="19" t="str">
        <x:v>GRID79_report.md</x:v>
      </x:c>
      <x:c r="C3356" s="19" t="str">
        <x:v>3. 逐日期控制时间和重复波动</x:v>
      </x:c>
      <x:c r="D3356" s="19" t="str">
        <x:v>日期=2035-10-01_5；方法=完整搜索</x:v>
      </x:c>
      <x:c r="E3356" s="19" t="str">
        <x:v>最小—最大（秒）</x:v>
      </x:c>
      <x:c r="F3356" s="19" t="str">
        <x:v>46.457—47.137</x:v>
      </x:c>
      <x:c r="G3356" s="19" t="str">
        <x:v>速度/计算</x:v>
      </x:c>
      <x:c r="H3356" s="19" t="str">
        <x:v>D:/Codex/GRL研究/outputs/grid79/GRID79_report.md</x:v>
      </x:c>
    </x:row>
    <x:row r="3357" ht="36" customHeight="1">
      <x:c r="A3357" s="19" t="str">
        <x:v>GRID79</x:v>
      </x:c>
      <x:c r="B3357" s="19" t="str">
        <x:v>GRID79_report.md</x:v>
      </x:c>
      <x:c r="C3357" s="19" t="str">
        <x:v>3. 逐日期控制时间和重复波动</x:v>
      </x:c>
      <x:c r="D3357" s="19" t="str">
        <x:v>日期=2035-10-01_5；方法=完整搜索</x:v>
      </x:c>
      <x:c r="E3357" s="19" t="str">
        <x:v>完整周成本增幅</x:v>
      </x:c>
      <x:c r="F3357" s="19" t="str">
        <x:v>+0.0000%</x:v>
      </x:c>
      <x:c r="G3357" s="19" t="str">
        <x:v>质量/成本</x:v>
      </x:c>
      <x:c r="H3357" s="19" t="str">
        <x:v>D:/Codex/GRL研究/outputs/grid79/GRID79_report.md</x:v>
      </x:c>
    </x:row>
    <x:row r="3358" ht="36" customHeight="1">
      <x:c r="A3358" s="19" t="str">
        <x:v>GRID79</x:v>
      </x:c>
      <x:c r="B3358" s="19" t="str">
        <x:v>GRID79_report.md</x:v>
      </x:c>
      <x:c r="C3358" s="19" t="str">
        <x:v>3. 逐日期控制时间和重复波动</x:v>
      </x:c>
      <x:c r="D3358" s="19" t="str">
        <x:v>日期=2035-10-01_5；方法=完整搜索</x:v>
      </x:c>
      <x:c r="E3358" s="19" t="str">
        <x:v>候选查询</x:v>
      </x:c>
      <x:c r="F3358" s="19" t="str">
        <x:v>1817</x:v>
      </x:c>
      <x:c r="G3358" s="19" t="str">
        <x:v>速度/计算</x:v>
      </x:c>
      <x:c r="H3358" s="19" t="str">
        <x:v>D:/Codex/GRL研究/outputs/grid79/GRID79_report.md</x:v>
      </x:c>
    </x:row>
    <x:row r="3359" ht="36" customHeight="1">
      <x:c r="A3359" s="19" t="str">
        <x:v>GRID79</x:v>
      </x:c>
      <x:c r="B3359" s="19" t="str">
        <x:v>GRID79_report.md</x:v>
      </x:c>
      <x:c r="C3359" s="19" t="str">
        <x:v>3. 逐日期控制时间和重复波动</x:v>
      </x:c>
      <x:c r="D3359" s="19" t="str">
        <x:v>日期=2035-10-01_5；方法=固定核查＋普通上下文门控</x:v>
      </x:c>
      <x:c r="E3359" s="19" t="str">
        <x:v>方法</x:v>
      </x:c>
      <x:c r="F3359" s="19" t="str">
        <x:v>固定核查＋普通上下文门控</x:v>
      </x:c>
      <x:c r="G3359" s="19" t="str">
        <x:v>其他/配置</x:v>
      </x:c>
      <x:c r="H3359" s="19" t="str">
        <x:v>D:/Codex/GRL研究/outputs/grid79/GRID79_report.md</x:v>
      </x:c>
    </x:row>
    <x:row r="3360" ht="36" customHeight="1">
      <x:c r="A3360" s="19" t="str">
        <x:v>GRID79</x:v>
      </x:c>
      <x:c r="B3360" s="19" t="str">
        <x:v>GRID79_report.md</x:v>
      </x:c>
      <x:c r="C3360" s="19" t="str">
        <x:v>3. 逐日期控制时间和重复波动</x:v>
      </x:c>
      <x:c r="D3360" s="19" t="str">
        <x:v>日期=2035-10-01_5；方法=固定核查＋普通上下文门控</x:v>
      </x:c>
      <x:c r="E3360" s="19" t="str">
        <x:v>两次控制时间均值（秒）</x:v>
      </x:c>
      <x:c r="F3360" s="19" t="str">
        <x:v>43.609</x:v>
      </x:c>
      <x:c r="G3360" s="19" t="str">
        <x:v>速度/计算</x:v>
      </x:c>
      <x:c r="H3360" s="19" t="str">
        <x:v>D:/Codex/GRL研究/outputs/grid79/GRID79_report.md</x:v>
      </x:c>
    </x:row>
    <x:row r="3361" ht="36" customHeight="1">
      <x:c r="A3361" s="19" t="str">
        <x:v>GRID79</x:v>
      </x:c>
      <x:c r="B3361" s="19" t="str">
        <x:v>GRID79_report.md</x:v>
      </x:c>
      <x:c r="C3361" s="19" t="str">
        <x:v>3. 逐日期控制时间和重复波动</x:v>
      </x:c>
      <x:c r="D3361" s="19" t="str">
        <x:v>日期=2035-10-01_5；方法=固定核查＋普通上下文门控</x:v>
      </x:c>
      <x:c r="E3361" s="19" t="str">
        <x:v>最小—最大（秒）</x:v>
      </x:c>
      <x:c r="F3361" s="19" t="str">
        <x:v>42.028—45.190</x:v>
      </x:c>
      <x:c r="G3361" s="19" t="str">
        <x:v>速度/计算</x:v>
      </x:c>
      <x:c r="H3361" s="19" t="str">
        <x:v>D:/Codex/GRL研究/outputs/grid79/GRID79_report.md</x:v>
      </x:c>
    </x:row>
    <x:row r="3362" ht="36" customHeight="1">
      <x:c r="A3362" s="19" t="str">
        <x:v>GRID79</x:v>
      </x:c>
      <x:c r="B3362" s="19" t="str">
        <x:v>GRID79_report.md</x:v>
      </x:c>
      <x:c r="C3362" s="19" t="str">
        <x:v>3. 逐日期控制时间和重复波动</x:v>
      </x:c>
      <x:c r="D3362" s="19" t="str">
        <x:v>日期=2035-10-01_5；方法=固定核查＋普通上下文门控</x:v>
      </x:c>
      <x:c r="E3362" s="19" t="str">
        <x:v>完整周成本增幅</x:v>
      </x:c>
      <x:c r="F3362" s="19" t="str">
        <x:v>+0.0000%</x:v>
      </x:c>
      <x:c r="G3362" s="19" t="str">
        <x:v>质量/成本</x:v>
      </x:c>
      <x:c r="H3362" s="19" t="str">
        <x:v>D:/Codex/GRL研究/outputs/grid79/GRID79_report.md</x:v>
      </x:c>
    </x:row>
    <x:row r="3363" ht="36" customHeight="1">
      <x:c r="A3363" s="19" t="str">
        <x:v>GRID79</x:v>
      </x:c>
      <x:c r="B3363" s="19" t="str">
        <x:v>GRID79_report.md</x:v>
      </x:c>
      <x:c r="C3363" s="19" t="str">
        <x:v>3. 逐日期控制时间和重复波动</x:v>
      </x:c>
      <x:c r="D3363" s="19" t="str">
        <x:v>日期=2035-10-01_5；方法=固定核查＋普通上下文门控</x:v>
      </x:c>
      <x:c r="E3363" s="19" t="str">
        <x:v>候选查询</x:v>
      </x:c>
      <x:c r="F3363" s="19" t="str">
        <x:v>256</x:v>
      </x:c>
      <x:c r="G3363" s="19" t="str">
        <x:v>速度/计算</x:v>
      </x:c>
      <x:c r="H3363" s="19" t="str">
        <x:v>D:/Codex/GRL研究/outputs/grid79/GRID79_report.md</x:v>
      </x:c>
    </x:row>
    <x:row r="3364" ht="36" customHeight="1">
      <x:c r="A3364" s="19" t="str">
        <x:v>GRID79</x:v>
      </x:c>
      <x:c r="B3364" s="19" t="str">
        <x:v>GRID79_report.md</x:v>
      </x:c>
      <x:c r="C3364" s="19" t="str">
        <x:v>3. 逐日期控制时间和重复波动</x:v>
      </x:c>
      <x:c r="D3364" s="19" t="str">
        <x:v>日期=2035-10-01_5；方法=会议适配，种子0</x:v>
      </x:c>
      <x:c r="E3364" s="19" t="str">
        <x:v>方法</x:v>
      </x:c>
      <x:c r="F3364" s="19" t="str">
        <x:v>会议适配，种子0</x:v>
      </x:c>
      <x:c r="G3364" s="19" t="str">
        <x:v>其他/配置</x:v>
      </x:c>
      <x:c r="H3364" s="19" t="str">
        <x:v>D:/Codex/GRL研究/outputs/grid79/GRID79_report.md</x:v>
      </x:c>
    </x:row>
    <x:row r="3365" ht="36" customHeight="1">
      <x:c r="A3365" s="19" t="str">
        <x:v>GRID79</x:v>
      </x:c>
      <x:c r="B3365" s="19" t="str">
        <x:v>GRID79_report.md</x:v>
      </x:c>
      <x:c r="C3365" s="19" t="str">
        <x:v>3. 逐日期控制时间和重复波动</x:v>
      </x:c>
      <x:c r="D3365" s="19" t="str">
        <x:v>日期=2035-10-01_5；方法=会议适配，种子0</x:v>
      </x:c>
      <x:c r="E3365" s="19" t="str">
        <x:v>两次控制时间均值（秒）</x:v>
      </x:c>
      <x:c r="F3365" s="19" t="str">
        <x:v>44.938</x:v>
      </x:c>
      <x:c r="G3365" s="19" t="str">
        <x:v>速度/计算</x:v>
      </x:c>
      <x:c r="H3365" s="19" t="str">
        <x:v>D:/Codex/GRL研究/outputs/grid79/GRID79_report.md</x:v>
      </x:c>
    </x:row>
    <x:row r="3366" ht="36" customHeight="1">
      <x:c r="A3366" s="19" t="str">
        <x:v>GRID79</x:v>
      </x:c>
      <x:c r="B3366" s="19" t="str">
        <x:v>GRID79_report.md</x:v>
      </x:c>
      <x:c r="C3366" s="19" t="str">
        <x:v>3. 逐日期控制时间和重复波动</x:v>
      </x:c>
      <x:c r="D3366" s="19" t="str">
        <x:v>日期=2035-10-01_5；方法=会议适配，种子0</x:v>
      </x:c>
      <x:c r="E3366" s="19" t="str">
        <x:v>最小—最大（秒）</x:v>
      </x:c>
      <x:c r="F3366" s="19" t="str">
        <x:v>44.540—45.336</x:v>
      </x:c>
      <x:c r="G3366" s="19" t="str">
        <x:v>速度/计算</x:v>
      </x:c>
      <x:c r="H3366" s="19" t="str">
        <x:v>D:/Codex/GRL研究/outputs/grid79/GRID79_report.md</x:v>
      </x:c>
    </x:row>
    <x:row r="3367" ht="36" customHeight="1">
      <x:c r="A3367" s="19" t="str">
        <x:v>GRID79</x:v>
      </x:c>
      <x:c r="B3367" s="19" t="str">
        <x:v>GRID79_report.md</x:v>
      </x:c>
      <x:c r="C3367" s="19" t="str">
        <x:v>3. 逐日期控制时间和重复波动</x:v>
      </x:c>
      <x:c r="D3367" s="19" t="str">
        <x:v>日期=2035-10-01_5；方法=会议适配，种子0</x:v>
      </x:c>
      <x:c r="E3367" s="19" t="str">
        <x:v>完整周成本增幅</x:v>
      </x:c>
      <x:c r="F3367" s="19" t="str">
        <x:v>+0.0000%</x:v>
      </x:c>
      <x:c r="G3367" s="19" t="str">
        <x:v>质量/成本</x:v>
      </x:c>
      <x:c r="H3367" s="19" t="str">
        <x:v>D:/Codex/GRL研究/outputs/grid79/GRID79_report.md</x:v>
      </x:c>
    </x:row>
    <x:row r="3368" ht="36" customHeight="1">
      <x:c r="A3368" s="19" t="str">
        <x:v>GRID79</x:v>
      </x:c>
      <x:c r="B3368" s="19" t="str">
        <x:v>GRID79_report.md</x:v>
      </x:c>
      <x:c r="C3368" s="19" t="str">
        <x:v>3. 逐日期控制时间和重复波动</x:v>
      </x:c>
      <x:c r="D3368" s="19" t="str">
        <x:v>日期=2035-10-01_5；方法=会议适配，种子0</x:v>
      </x:c>
      <x:c r="E3368" s="19" t="str">
        <x:v>候选查询</x:v>
      </x:c>
      <x:c r="F3368" s="19" t="str">
        <x:v>1152</x:v>
      </x:c>
      <x:c r="G3368" s="19" t="str">
        <x:v>速度/计算</x:v>
      </x:c>
      <x:c r="H3368" s="19" t="str">
        <x:v>D:/Codex/GRL研究/outputs/grid79/GRID79_report.md</x:v>
      </x:c>
    </x:row>
    <x:row r="3369" ht="36" customHeight="1">
      <x:c r="A3369" s="19" t="str">
        <x:v>GRID79</x:v>
      </x:c>
      <x:c r="B3369" s="19" t="str">
        <x:v>GRID79_report.md</x:v>
      </x:c>
      <x:c r="C3369" s="19" t="str">
        <x:v>3. 逐日期控制时间和重复波动</x:v>
      </x:c>
      <x:c r="D3369" s="19" t="str">
        <x:v>日期=2035-10-01_5；方法=会议适配，种子1</x:v>
      </x:c>
      <x:c r="E3369" s="19" t="str">
        <x:v>方法</x:v>
      </x:c>
      <x:c r="F3369" s="19" t="str">
        <x:v>会议适配，种子1</x:v>
      </x:c>
      <x:c r="G3369" s="19" t="str">
        <x:v>其他/配置</x:v>
      </x:c>
      <x:c r="H3369" s="19" t="str">
        <x:v>D:/Codex/GRL研究/outputs/grid79/GRID79_report.md</x:v>
      </x:c>
    </x:row>
    <x:row r="3370" ht="36" customHeight="1">
      <x:c r="A3370" s="19" t="str">
        <x:v>GRID79</x:v>
      </x:c>
      <x:c r="B3370" s="19" t="str">
        <x:v>GRID79_report.md</x:v>
      </x:c>
      <x:c r="C3370" s="19" t="str">
        <x:v>3. 逐日期控制时间和重复波动</x:v>
      </x:c>
      <x:c r="D3370" s="19" t="str">
        <x:v>日期=2035-10-01_5；方法=会议适配，种子1</x:v>
      </x:c>
      <x:c r="E3370" s="19" t="str">
        <x:v>两次控制时间均值（秒）</x:v>
      </x:c>
      <x:c r="F3370" s="19" t="str">
        <x:v>42.883</x:v>
      </x:c>
      <x:c r="G3370" s="19" t="str">
        <x:v>速度/计算</x:v>
      </x:c>
      <x:c r="H3370" s="19" t="str">
        <x:v>D:/Codex/GRL研究/outputs/grid79/GRID79_report.md</x:v>
      </x:c>
    </x:row>
    <x:row r="3371" ht="36" customHeight="1">
      <x:c r="A3371" s="19" t="str">
        <x:v>GRID79</x:v>
      </x:c>
      <x:c r="B3371" s="19" t="str">
        <x:v>GRID79_report.md</x:v>
      </x:c>
      <x:c r="C3371" s="19" t="str">
        <x:v>3. 逐日期控制时间和重复波动</x:v>
      </x:c>
      <x:c r="D3371" s="19" t="str">
        <x:v>日期=2035-10-01_5；方法=会议适配，种子1</x:v>
      </x:c>
      <x:c r="E3371" s="19" t="str">
        <x:v>最小—最大（秒）</x:v>
      </x:c>
      <x:c r="F3371" s="19" t="str">
        <x:v>42.757—43.008</x:v>
      </x:c>
      <x:c r="G3371" s="19" t="str">
        <x:v>速度/计算</x:v>
      </x:c>
      <x:c r="H3371" s="19" t="str">
        <x:v>D:/Codex/GRL研究/outputs/grid79/GRID79_report.md</x:v>
      </x:c>
    </x:row>
    <x:row r="3372" ht="36" customHeight="1">
      <x:c r="A3372" s="19" t="str">
        <x:v>GRID79</x:v>
      </x:c>
      <x:c r="B3372" s="19" t="str">
        <x:v>GRID79_report.md</x:v>
      </x:c>
      <x:c r="C3372" s="19" t="str">
        <x:v>3. 逐日期控制时间和重复波动</x:v>
      </x:c>
      <x:c r="D3372" s="19" t="str">
        <x:v>日期=2035-10-01_5；方法=会议适配，种子1</x:v>
      </x:c>
      <x:c r="E3372" s="19" t="str">
        <x:v>完整周成本增幅</x:v>
      </x:c>
      <x:c r="F3372" s="19" t="str">
        <x:v>+0.0000%</x:v>
      </x:c>
      <x:c r="G3372" s="19" t="str">
        <x:v>质量/成本</x:v>
      </x:c>
      <x:c r="H3372" s="19" t="str">
        <x:v>D:/Codex/GRL研究/outputs/grid79/GRID79_report.md</x:v>
      </x:c>
    </x:row>
    <x:row r="3373" ht="36" customHeight="1">
      <x:c r="A3373" s="19" t="str">
        <x:v>GRID79</x:v>
      </x:c>
      <x:c r="B3373" s="19" t="str">
        <x:v>GRID79_report.md</x:v>
      </x:c>
      <x:c r="C3373" s="19" t="str">
        <x:v>3. 逐日期控制时间和重复波动</x:v>
      </x:c>
      <x:c r="D3373" s="19" t="str">
        <x:v>日期=2035-10-01_5；方法=会议适配，种子1</x:v>
      </x:c>
      <x:c r="E3373" s="19" t="str">
        <x:v>候选查询</x:v>
      </x:c>
      <x:c r="F3373" s="19" t="str">
        <x:v>512</x:v>
      </x:c>
      <x:c r="G3373" s="19" t="str">
        <x:v>速度/计算</x:v>
      </x:c>
      <x:c r="H3373" s="19" t="str">
        <x:v>D:/Codex/GRL研究/outputs/grid79/GRID79_report.md</x:v>
      </x:c>
    </x:row>
    <x:row r="3374" ht="36" customHeight="1">
      <x:c r="A3374" s="19" t="str">
        <x:v>GRID79</x:v>
      </x:c>
      <x:c r="B3374" s="19" t="str">
        <x:v>GRID79_report.md</x:v>
      </x:c>
      <x:c r="C3374" s="19" t="str">
        <x:v>3. 逐日期控制时间和重复波动</x:v>
      </x:c>
      <x:c r="D3374" s="19" t="str">
        <x:v>日期=2035-04-09_3；方法=完整搜索</x:v>
      </x:c>
      <x:c r="E3374" s="19" t="str">
        <x:v>方法</x:v>
      </x:c>
      <x:c r="F3374" s="19" t="str">
        <x:v>完整搜索</x:v>
      </x:c>
      <x:c r="G3374" s="19" t="str">
        <x:v>其他/配置</x:v>
      </x:c>
      <x:c r="H3374" s="19" t="str">
        <x:v>D:/Codex/GRL研究/outputs/grid79/GRID79_report.md</x:v>
      </x:c>
    </x:row>
    <x:row r="3375" ht="36" customHeight="1">
      <x:c r="A3375" s="19" t="str">
        <x:v>GRID79</x:v>
      </x:c>
      <x:c r="B3375" s="19" t="str">
        <x:v>GRID79_report.md</x:v>
      </x:c>
      <x:c r="C3375" s="19" t="str">
        <x:v>3. 逐日期控制时间和重复波动</x:v>
      </x:c>
      <x:c r="D3375" s="19" t="str">
        <x:v>日期=2035-04-09_3；方法=完整搜索</x:v>
      </x:c>
      <x:c r="E3375" s="19" t="str">
        <x:v>两次控制时间均值（秒）</x:v>
      </x:c>
      <x:c r="F3375" s="19" t="str">
        <x:v>59.324</x:v>
      </x:c>
      <x:c r="G3375" s="19" t="str">
        <x:v>速度/计算</x:v>
      </x:c>
      <x:c r="H3375" s="19" t="str">
        <x:v>D:/Codex/GRL研究/outputs/grid79/GRID79_report.md</x:v>
      </x:c>
    </x:row>
    <x:row r="3376" ht="36" customHeight="1">
      <x:c r="A3376" s="19" t="str">
        <x:v>GRID79</x:v>
      </x:c>
      <x:c r="B3376" s="19" t="str">
        <x:v>GRID79_report.md</x:v>
      </x:c>
      <x:c r="C3376" s="19" t="str">
        <x:v>3. 逐日期控制时间和重复波动</x:v>
      </x:c>
      <x:c r="D3376" s="19" t="str">
        <x:v>日期=2035-04-09_3；方法=完整搜索</x:v>
      </x:c>
      <x:c r="E3376" s="19" t="str">
        <x:v>最小—最大（秒）</x:v>
      </x:c>
      <x:c r="F3376" s="19" t="str">
        <x:v>59.005—59.642</x:v>
      </x:c>
      <x:c r="G3376" s="19" t="str">
        <x:v>速度/计算</x:v>
      </x:c>
      <x:c r="H3376" s="19" t="str">
        <x:v>D:/Codex/GRL研究/outputs/grid79/GRID79_report.md</x:v>
      </x:c>
    </x:row>
    <x:row r="3377" ht="36" customHeight="1">
      <x:c r="A3377" s="19" t="str">
        <x:v>GRID79</x:v>
      </x:c>
      <x:c r="B3377" s="19" t="str">
        <x:v>GRID79_report.md</x:v>
      </x:c>
      <x:c r="C3377" s="19" t="str">
        <x:v>3. 逐日期控制时间和重复波动</x:v>
      </x:c>
      <x:c r="D3377" s="19" t="str">
        <x:v>日期=2035-04-09_3；方法=完整搜索</x:v>
      </x:c>
      <x:c r="E3377" s="19" t="str">
        <x:v>完整周成本增幅</x:v>
      </x:c>
      <x:c r="F3377" s="19" t="str">
        <x:v>+0.0000%</x:v>
      </x:c>
      <x:c r="G3377" s="19" t="str">
        <x:v>质量/成本</x:v>
      </x:c>
      <x:c r="H3377" s="19" t="str">
        <x:v>D:/Codex/GRL研究/outputs/grid79/GRID79_report.md</x:v>
      </x:c>
    </x:row>
    <x:row r="3378" ht="36" customHeight="1">
      <x:c r="A3378" s="19" t="str">
        <x:v>GRID79</x:v>
      </x:c>
      <x:c r="B3378" s="19" t="str">
        <x:v>GRID79_report.md</x:v>
      </x:c>
      <x:c r="C3378" s="19" t="str">
        <x:v>3. 逐日期控制时间和重复波动</x:v>
      </x:c>
      <x:c r="D3378" s="19" t="str">
        <x:v>日期=2035-04-09_3；方法=完整搜索</x:v>
      </x:c>
      <x:c r="E3378" s="19" t="str">
        <x:v>候选查询</x:v>
      </x:c>
      <x:c r="F3378" s="19" t="str">
        <x:v>5445</x:v>
      </x:c>
      <x:c r="G3378" s="19" t="str">
        <x:v>速度/计算</x:v>
      </x:c>
      <x:c r="H3378" s="19" t="str">
        <x:v>D:/Codex/GRL研究/outputs/grid79/GRID79_report.md</x:v>
      </x:c>
    </x:row>
    <x:row r="3379" ht="36" customHeight="1">
      <x:c r="A3379" s="19" t="str">
        <x:v>GRID79</x:v>
      </x:c>
      <x:c r="B3379" s="19" t="str">
        <x:v>GRID79_report.md</x:v>
      </x:c>
      <x:c r="C3379" s="19" t="str">
        <x:v>3. 逐日期控制时间和重复波动</x:v>
      </x:c>
      <x:c r="D3379" s="19" t="str">
        <x:v>日期=2035-04-09_3；方法=固定核查＋普通上下文门控</x:v>
      </x:c>
      <x:c r="E3379" s="19" t="str">
        <x:v>方法</x:v>
      </x:c>
      <x:c r="F3379" s="19" t="str">
        <x:v>固定核查＋普通上下文门控</x:v>
      </x:c>
      <x:c r="G3379" s="19" t="str">
        <x:v>其他/配置</x:v>
      </x:c>
      <x:c r="H3379" s="19" t="str">
        <x:v>D:/Codex/GRL研究/outputs/grid79/GRID79_report.md</x:v>
      </x:c>
    </x:row>
    <x:row r="3380" ht="36" customHeight="1">
      <x:c r="A3380" s="19" t="str">
        <x:v>GRID79</x:v>
      </x:c>
      <x:c r="B3380" s="19" t="str">
        <x:v>GRID79_report.md</x:v>
      </x:c>
      <x:c r="C3380" s="19" t="str">
        <x:v>3. 逐日期控制时间和重复波动</x:v>
      </x:c>
      <x:c r="D3380" s="19" t="str">
        <x:v>日期=2035-04-09_3；方法=固定核查＋普通上下文门控</x:v>
      </x:c>
      <x:c r="E3380" s="19" t="str">
        <x:v>两次控制时间均值（秒）</x:v>
      </x:c>
      <x:c r="F3380" s="19" t="str">
        <x:v>43.421</x:v>
      </x:c>
      <x:c r="G3380" s="19" t="str">
        <x:v>速度/计算</x:v>
      </x:c>
      <x:c r="H3380" s="19" t="str">
        <x:v>D:/Codex/GRL研究/outputs/grid79/GRID79_report.md</x:v>
      </x:c>
    </x:row>
    <x:row r="3381" ht="36" customHeight="1">
      <x:c r="A3381" s="19" t="str">
        <x:v>GRID79</x:v>
      </x:c>
      <x:c r="B3381" s="19" t="str">
        <x:v>GRID79_report.md</x:v>
      </x:c>
      <x:c r="C3381" s="19" t="str">
        <x:v>3. 逐日期控制时间和重复波动</x:v>
      </x:c>
      <x:c r="D3381" s="19" t="str">
        <x:v>日期=2035-04-09_3；方法=固定核查＋普通上下文门控</x:v>
      </x:c>
      <x:c r="E3381" s="19" t="str">
        <x:v>最小—最大（秒）</x:v>
      </x:c>
      <x:c r="F3381" s="19" t="str">
        <x:v>43.124—43.718</x:v>
      </x:c>
      <x:c r="G3381" s="19" t="str">
        <x:v>速度/计算</x:v>
      </x:c>
      <x:c r="H3381" s="19" t="str">
        <x:v>D:/Codex/GRL研究/outputs/grid79/GRID79_report.md</x:v>
      </x:c>
    </x:row>
    <x:row r="3382" ht="36" customHeight="1">
      <x:c r="A3382" s="19" t="str">
        <x:v>GRID79</x:v>
      </x:c>
      <x:c r="B3382" s="19" t="str">
        <x:v>GRID79_report.md</x:v>
      </x:c>
      <x:c r="C3382" s="19" t="str">
        <x:v>3. 逐日期控制时间和重复波动</x:v>
      </x:c>
      <x:c r="D3382" s="19" t="str">
        <x:v>日期=2035-04-09_3；方法=固定核查＋普通上下文门控</x:v>
      </x:c>
      <x:c r="E3382" s="19" t="str">
        <x:v>完整周成本增幅</x:v>
      </x:c>
      <x:c r="F3382" s="19" t="str">
        <x:v>-1.3275%</x:v>
      </x:c>
      <x:c r="G3382" s="19" t="str">
        <x:v>质量/成本</x:v>
      </x:c>
      <x:c r="H3382" s="19" t="str">
        <x:v>D:/Codex/GRL研究/outputs/grid79/GRID79_report.md</x:v>
      </x:c>
    </x:row>
    <x:row r="3383" ht="36" customHeight="1">
      <x:c r="A3383" s="19" t="str">
        <x:v>GRID79</x:v>
      </x:c>
      <x:c r="B3383" s="19" t="str">
        <x:v>GRID79_report.md</x:v>
      </x:c>
      <x:c r="C3383" s="19" t="str">
        <x:v>3. 逐日期控制时间和重复波动</x:v>
      </x:c>
      <x:c r="D3383" s="19" t="str">
        <x:v>日期=2035-04-09_3；方法=固定核查＋普通上下文门控</x:v>
      </x:c>
      <x:c r="E3383" s="19" t="str">
        <x:v>候选查询</x:v>
      </x:c>
      <x:c r="F3383" s="19" t="str">
        <x:v>1396</x:v>
      </x:c>
      <x:c r="G3383" s="19" t="str">
        <x:v>速度/计算</x:v>
      </x:c>
      <x:c r="H3383" s="19" t="str">
        <x:v>D:/Codex/GRL研究/outputs/grid79/GRID79_report.md</x:v>
      </x:c>
    </x:row>
    <x:row r="3384" ht="36" customHeight="1">
      <x:c r="A3384" s="19" t="str">
        <x:v>GRID79</x:v>
      </x:c>
      <x:c r="B3384" s="19" t="str">
        <x:v>GRID79_report.md</x:v>
      </x:c>
      <x:c r="C3384" s="19" t="str">
        <x:v>3. 逐日期控制时间和重复波动</x:v>
      </x:c>
      <x:c r="D3384" s="19" t="str">
        <x:v>日期=2035-04-09_3；方法=会议适配，种子0</x:v>
      </x:c>
      <x:c r="E3384" s="19" t="str">
        <x:v>方法</x:v>
      </x:c>
      <x:c r="F3384" s="19" t="str">
        <x:v>会议适配，种子0</x:v>
      </x:c>
      <x:c r="G3384" s="19" t="str">
        <x:v>其他/配置</x:v>
      </x:c>
      <x:c r="H3384" s="19" t="str">
        <x:v>D:/Codex/GRL研究/outputs/grid79/GRID79_report.md</x:v>
      </x:c>
    </x:row>
    <x:row r="3385" ht="36" customHeight="1">
      <x:c r="A3385" s="19" t="str">
        <x:v>GRID79</x:v>
      </x:c>
      <x:c r="B3385" s="19" t="str">
        <x:v>GRID79_report.md</x:v>
      </x:c>
      <x:c r="C3385" s="19" t="str">
        <x:v>3. 逐日期控制时间和重复波动</x:v>
      </x:c>
      <x:c r="D3385" s="19" t="str">
        <x:v>日期=2035-04-09_3；方法=会议适配，种子0</x:v>
      </x:c>
      <x:c r="E3385" s="19" t="str">
        <x:v>两次控制时间均值（秒）</x:v>
      </x:c>
      <x:c r="F3385" s="19" t="str">
        <x:v>55.373</x:v>
      </x:c>
      <x:c r="G3385" s="19" t="str">
        <x:v>速度/计算</x:v>
      </x:c>
      <x:c r="H3385" s="19" t="str">
        <x:v>D:/Codex/GRL研究/outputs/grid79/GRID79_report.md</x:v>
      </x:c>
    </x:row>
    <x:row r="3386" ht="36" customHeight="1">
      <x:c r="A3386" s="19" t="str">
        <x:v>GRID79</x:v>
      </x:c>
      <x:c r="B3386" s="19" t="str">
        <x:v>GRID79_report.md</x:v>
      </x:c>
      <x:c r="C3386" s="19" t="str">
        <x:v>3. 逐日期控制时间和重复波动</x:v>
      </x:c>
      <x:c r="D3386" s="19" t="str">
        <x:v>日期=2035-04-09_3；方法=会议适配，种子0</x:v>
      </x:c>
      <x:c r="E3386" s="19" t="str">
        <x:v>最小—最大（秒）</x:v>
      </x:c>
      <x:c r="F3386" s="19" t="str">
        <x:v>54.930—55.815</x:v>
      </x:c>
      <x:c r="G3386" s="19" t="str">
        <x:v>速度/计算</x:v>
      </x:c>
      <x:c r="H3386" s="19" t="str">
        <x:v>D:/Codex/GRL研究/outputs/grid79/GRID79_report.md</x:v>
      </x:c>
    </x:row>
    <x:row r="3387" ht="36" customHeight="1">
      <x:c r="A3387" s="19" t="str">
        <x:v>GRID79</x:v>
      </x:c>
      <x:c r="B3387" s="19" t="str">
        <x:v>GRID79_report.md</x:v>
      </x:c>
      <x:c r="C3387" s="19" t="str">
        <x:v>3. 逐日期控制时间和重复波动</x:v>
      </x:c>
      <x:c r="D3387" s="19" t="str">
        <x:v>日期=2035-04-09_3；方法=会议适配，种子0</x:v>
      </x:c>
      <x:c r="E3387" s="19" t="str">
        <x:v>完整周成本增幅</x:v>
      </x:c>
      <x:c r="F3387" s="19" t="str">
        <x:v>+0.0000%</x:v>
      </x:c>
      <x:c r="G3387" s="19" t="str">
        <x:v>质量/成本</x:v>
      </x:c>
      <x:c r="H3387" s="19" t="str">
        <x:v>D:/Codex/GRL研究/outputs/grid79/GRID79_report.md</x:v>
      </x:c>
    </x:row>
    <x:row r="3388" ht="36" customHeight="1">
      <x:c r="A3388" s="19" t="str">
        <x:v>GRID79</x:v>
      </x:c>
      <x:c r="B3388" s="19" t="str">
        <x:v>GRID79_report.md</x:v>
      </x:c>
      <x:c r="C3388" s="19" t="str">
        <x:v>3. 逐日期控制时间和重复波动</x:v>
      </x:c>
      <x:c r="D3388" s="19" t="str">
        <x:v>日期=2035-04-09_3；方法=会议适配，种子0</x:v>
      </x:c>
      <x:c r="E3388" s="19" t="str">
        <x:v>候选查询</x:v>
      </x:c>
      <x:c r="F3388" s="19" t="str">
        <x:v>3776</x:v>
      </x:c>
      <x:c r="G3388" s="19" t="str">
        <x:v>速度/计算</x:v>
      </x:c>
      <x:c r="H3388" s="19" t="str">
        <x:v>D:/Codex/GRL研究/outputs/grid79/GRID79_report.md</x:v>
      </x:c>
    </x:row>
    <x:row r="3389" ht="36" customHeight="1">
      <x:c r="A3389" s="19" t="str">
        <x:v>GRID79</x:v>
      </x:c>
      <x:c r="B3389" s="19" t="str">
        <x:v>GRID79_report.md</x:v>
      </x:c>
      <x:c r="C3389" s="19" t="str">
        <x:v>3. 逐日期控制时间和重复波动</x:v>
      </x:c>
      <x:c r="D3389" s="19" t="str">
        <x:v>日期=2035-04-09_3；方法=会议适配，种子1</x:v>
      </x:c>
      <x:c r="E3389" s="19" t="str">
        <x:v>方法</x:v>
      </x:c>
      <x:c r="F3389" s="19" t="str">
        <x:v>会议适配，种子1</x:v>
      </x:c>
      <x:c r="G3389" s="19" t="str">
        <x:v>其他/配置</x:v>
      </x:c>
      <x:c r="H3389" s="19" t="str">
        <x:v>D:/Codex/GRL研究/outputs/grid79/GRID79_report.md</x:v>
      </x:c>
    </x:row>
    <x:row r="3390" ht="36" customHeight="1">
      <x:c r="A3390" s="19" t="str">
        <x:v>GRID79</x:v>
      </x:c>
      <x:c r="B3390" s="19" t="str">
        <x:v>GRID79_report.md</x:v>
      </x:c>
      <x:c r="C3390" s="19" t="str">
        <x:v>3. 逐日期控制时间和重复波动</x:v>
      </x:c>
      <x:c r="D3390" s="19" t="str">
        <x:v>日期=2035-04-09_3；方法=会议适配，种子1</x:v>
      </x:c>
      <x:c r="E3390" s="19" t="str">
        <x:v>两次控制时间均值（秒）</x:v>
      </x:c>
      <x:c r="F3390" s="19" t="str">
        <x:v>43.788</x:v>
      </x:c>
      <x:c r="G3390" s="19" t="str">
        <x:v>速度/计算</x:v>
      </x:c>
      <x:c r="H3390" s="19" t="str">
        <x:v>D:/Codex/GRL研究/outputs/grid79/GRID79_report.md</x:v>
      </x:c>
    </x:row>
    <x:row r="3391" ht="36" customHeight="1">
      <x:c r="A3391" s="19" t="str">
        <x:v>GRID79</x:v>
      </x:c>
      <x:c r="B3391" s="19" t="str">
        <x:v>GRID79_report.md</x:v>
      </x:c>
      <x:c r="C3391" s="19" t="str">
        <x:v>3. 逐日期控制时间和重复波动</x:v>
      </x:c>
      <x:c r="D3391" s="19" t="str">
        <x:v>日期=2035-04-09_3；方法=会议适配，种子1</x:v>
      </x:c>
      <x:c r="E3391" s="19" t="str">
        <x:v>最小—最大（秒）</x:v>
      </x:c>
      <x:c r="F3391" s="19" t="str">
        <x:v>43.687—43.889</x:v>
      </x:c>
      <x:c r="G3391" s="19" t="str">
        <x:v>速度/计算</x:v>
      </x:c>
      <x:c r="H3391" s="19" t="str">
        <x:v>D:/Codex/GRL研究/outputs/grid79/GRID79_report.md</x:v>
      </x:c>
    </x:row>
    <x:row r="3392" ht="36" customHeight="1">
      <x:c r="A3392" s="19" t="str">
        <x:v>GRID79</x:v>
      </x:c>
      <x:c r="B3392" s="19" t="str">
        <x:v>GRID79_report.md</x:v>
      </x:c>
      <x:c r="C3392" s="19" t="str">
        <x:v>3. 逐日期控制时间和重复波动</x:v>
      </x:c>
      <x:c r="D3392" s="19" t="str">
        <x:v>日期=2035-04-09_3；方法=会议适配，种子1</x:v>
      </x:c>
      <x:c r="E3392" s="19" t="str">
        <x:v>完整周成本增幅</x:v>
      </x:c>
      <x:c r="F3392" s="19" t="str">
        <x:v>-1.3891%</x:v>
      </x:c>
      <x:c r="G3392" s="19" t="str">
        <x:v>质量/成本</x:v>
      </x:c>
      <x:c r="H3392" s="19" t="str">
        <x:v>D:/Codex/GRL研究/outputs/grid79/GRID79_report.md</x:v>
      </x:c>
    </x:row>
    <x:row r="3393" ht="36" customHeight="1">
      <x:c r="A3393" s="19" t="str">
        <x:v>GRID79</x:v>
      </x:c>
      <x:c r="B3393" s="19" t="str">
        <x:v>GRID79_report.md</x:v>
      </x:c>
      <x:c r="C3393" s="19" t="str">
        <x:v>3. 逐日期控制时间和重复波动</x:v>
      </x:c>
      <x:c r="D3393" s="19" t="str">
        <x:v>日期=2035-04-09_3；方法=会议适配，种子1</x:v>
      </x:c>
      <x:c r="E3393" s="19" t="str">
        <x:v>候选查询</x:v>
      </x:c>
      <x:c r="F3393" s="19" t="str">
        <x:v>1589</x:v>
      </x:c>
      <x:c r="G3393" s="19" t="str">
        <x:v>速度/计算</x:v>
      </x:c>
      <x:c r="H3393" s="19" t="str">
        <x:v>D:/Codex/GRL研究/outputs/grid79/GRID79_report.md</x:v>
      </x:c>
    </x:row>
    <x:row r="3394" ht="36" customHeight="1">
      <x:c r="A3394" s="19" t="str">
        <x:v>GRID79</x:v>
      </x:c>
      <x:c r="B3394" s="19" t="str">
        <x:v>GRID79_report.md</x:v>
      </x:c>
      <x:c r="C3394" s="19" t="str">
        <x:v>3. 逐日期控制时间和重复波动</x:v>
      </x:c>
      <x:c r="D3394" s="19" t="str">
        <x:v>日期=2035-05-14_14；方法=完整搜索</x:v>
      </x:c>
      <x:c r="E3394" s="19" t="str">
        <x:v>方法</x:v>
      </x:c>
      <x:c r="F3394" s="19" t="str">
        <x:v>完整搜索</x:v>
      </x:c>
      <x:c r="G3394" s="19" t="str">
        <x:v>其他/配置</x:v>
      </x:c>
      <x:c r="H3394" s="19" t="str">
        <x:v>D:/Codex/GRL研究/outputs/grid79/GRID79_report.md</x:v>
      </x:c>
    </x:row>
    <x:row r="3395" ht="36" customHeight="1">
      <x:c r="A3395" s="19" t="str">
        <x:v>GRID79</x:v>
      </x:c>
      <x:c r="B3395" s="19" t="str">
        <x:v>GRID79_report.md</x:v>
      </x:c>
      <x:c r="C3395" s="19" t="str">
        <x:v>3. 逐日期控制时间和重复波动</x:v>
      </x:c>
      <x:c r="D3395" s="19" t="str">
        <x:v>日期=2035-05-14_14；方法=完整搜索</x:v>
      </x:c>
      <x:c r="E3395" s="19" t="str">
        <x:v>两次控制时间均值（秒）</x:v>
      </x:c>
      <x:c r="F3395" s="19" t="str">
        <x:v>6.554</x:v>
      </x:c>
      <x:c r="G3395" s="19" t="str">
        <x:v>速度/计算</x:v>
      </x:c>
      <x:c r="H3395" s="19" t="str">
        <x:v>D:/Codex/GRL研究/outputs/grid79/GRID79_report.md</x:v>
      </x:c>
    </x:row>
    <x:row r="3396" ht="36" customHeight="1">
      <x:c r="A3396" s="19" t="str">
        <x:v>GRID79</x:v>
      </x:c>
      <x:c r="B3396" s="19" t="str">
        <x:v>GRID79_report.md</x:v>
      </x:c>
      <x:c r="C3396" s="19" t="str">
        <x:v>3. 逐日期控制时间和重复波动</x:v>
      </x:c>
      <x:c r="D3396" s="19" t="str">
        <x:v>日期=2035-05-14_14；方法=完整搜索</x:v>
      </x:c>
      <x:c r="E3396" s="19" t="str">
        <x:v>最小—最大（秒）</x:v>
      </x:c>
      <x:c r="F3396" s="19" t="str">
        <x:v>6.498—6.610</x:v>
      </x:c>
      <x:c r="G3396" s="19" t="str">
        <x:v>速度/计算</x:v>
      </x:c>
      <x:c r="H3396" s="19" t="str">
        <x:v>D:/Codex/GRL研究/outputs/grid79/GRID79_report.md</x:v>
      </x:c>
    </x:row>
    <x:row r="3397" ht="36" customHeight="1">
      <x:c r="A3397" s="19" t="str">
        <x:v>GRID79</x:v>
      </x:c>
      <x:c r="B3397" s="19" t="str">
        <x:v>GRID79_report.md</x:v>
      </x:c>
      <x:c r="C3397" s="19" t="str">
        <x:v>3. 逐日期控制时间和重复波动</x:v>
      </x:c>
      <x:c r="D3397" s="19" t="str">
        <x:v>日期=2035-05-14_14；方法=完整搜索</x:v>
      </x:c>
      <x:c r="E3397" s="19" t="str">
        <x:v>完整周成本增幅</x:v>
      </x:c>
      <x:c r="F3397" s="19" t="str">
        <x:v>共享提前终止，未比较整周成本</x:v>
      </x:c>
      <x:c r="G3397" s="19" t="str">
        <x:v>质量/成本</x:v>
      </x:c>
      <x:c r="H3397" s="19" t="str">
        <x:v>D:/Codex/GRL研究/outputs/grid79/GRID79_report.md</x:v>
      </x:c>
    </x:row>
    <x:row r="3398" ht="36" customHeight="1">
      <x:c r="A3398" s="19" t="str">
        <x:v>GRID79</x:v>
      </x:c>
      <x:c r="B3398" s="19" t="str">
        <x:v>GRID79_report.md</x:v>
      </x:c>
      <x:c r="C3398" s="19" t="str">
        <x:v>3. 逐日期控制时间和重复波动</x:v>
      </x:c>
      <x:c r="D3398" s="19" t="str">
        <x:v>日期=2035-05-14_14；方法=完整搜索</x:v>
      </x:c>
      <x:c r="E3398" s="19" t="str">
        <x:v>候选查询</x:v>
      </x:c>
      <x:c r="F3398" s="19" t="str">
        <x:v>0</x:v>
      </x:c>
      <x:c r="G3398" s="19" t="str">
        <x:v>速度/计算</x:v>
      </x:c>
      <x:c r="H3398" s="19" t="str">
        <x:v>D:/Codex/GRL研究/outputs/grid79/GRID79_report.md</x:v>
      </x:c>
    </x:row>
    <x:row r="3399" ht="36" customHeight="1">
      <x:c r="A3399" s="19" t="str">
        <x:v>GRID79</x:v>
      </x:c>
      <x:c r="B3399" s="19" t="str">
        <x:v>GRID79_report.md</x:v>
      </x:c>
      <x:c r="C3399" s="19" t="str">
        <x:v>3. 逐日期控制时间和重复波动</x:v>
      </x:c>
      <x:c r="D3399" s="19" t="str">
        <x:v>日期=2035-05-14_14；方法=固定核查＋普通上下文门控</x:v>
      </x:c>
      <x:c r="E3399" s="19" t="str">
        <x:v>方法</x:v>
      </x:c>
      <x:c r="F3399" s="19" t="str">
        <x:v>固定核查＋普通上下文门控</x:v>
      </x:c>
      <x:c r="G3399" s="19" t="str">
        <x:v>其他/配置</x:v>
      </x:c>
      <x:c r="H3399" s="19" t="str">
        <x:v>D:/Codex/GRL研究/outputs/grid79/GRID79_report.md</x:v>
      </x:c>
    </x:row>
    <x:row r="3400" ht="36" customHeight="1">
      <x:c r="A3400" s="19" t="str">
        <x:v>GRID79</x:v>
      </x:c>
      <x:c r="B3400" s="19" t="str">
        <x:v>GRID79_report.md</x:v>
      </x:c>
      <x:c r="C3400" s="19" t="str">
        <x:v>3. 逐日期控制时间和重复波动</x:v>
      </x:c>
      <x:c r="D3400" s="19" t="str">
        <x:v>日期=2035-05-14_14；方法=固定核查＋普通上下文门控</x:v>
      </x:c>
      <x:c r="E3400" s="19" t="str">
        <x:v>两次控制时间均值（秒）</x:v>
      </x:c>
      <x:c r="F3400" s="19" t="str">
        <x:v>6.525</x:v>
      </x:c>
      <x:c r="G3400" s="19" t="str">
        <x:v>速度/计算</x:v>
      </x:c>
      <x:c r="H3400" s="19" t="str">
        <x:v>D:/Codex/GRL研究/outputs/grid79/GRID79_report.md</x:v>
      </x:c>
    </x:row>
    <x:row r="3401" ht="36" customHeight="1">
      <x:c r="A3401" s="19" t="str">
        <x:v>GRID79</x:v>
      </x:c>
      <x:c r="B3401" s="19" t="str">
        <x:v>GRID79_report.md</x:v>
      </x:c>
      <x:c r="C3401" s="19" t="str">
        <x:v>3. 逐日期控制时间和重复波动</x:v>
      </x:c>
      <x:c r="D3401" s="19" t="str">
        <x:v>日期=2035-05-14_14；方法=固定核查＋普通上下文门控</x:v>
      </x:c>
      <x:c r="E3401" s="19" t="str">
        <x:v>最小—最大（秒）</x:v>
      </x:c>
      <x:c r="F3401" s="19" t="str">
        <x:v>6.446—6.604</x:v>
      </x:c>
      <x:c r="G3401" s="19" t="str">
        <x:v>速度/计算</x:v>
      </x:c>
      <x:c r="H3401" s="19" t="str">
        <x:v>D:/Codex/GRL研究/outputs/grid79/GRID79_report.md</x:v>
      </x:c>
    </x:row>
    <x:row r="3402" ht="36" customHeight="1">
      <x:c r="A3402" s="19" t="str">
        <x:v>GRID79</x:v>
      </x:c>
      <x:c r="B3402" s="19" t="str">
        <x:v>GRID79_report.md</x:v>
      </x:c>
      <x:c r="C3402" s="19" t="str">
        <x:v>3. 逐日期控制时间和重复波动</x:v>
      </x:c>
      <x:c r="D3402" s="19" t="str">
        <x:v>日期=2035-05-14_14；方法=固定核查＋普通上下文门控</x:v>
      </x:c>
      <x:c r="E3402" s="19" t="str">
        <x:v>完整周成本增幅</x:v>
      </x:c>
      <x:c r="F3402" s="19" t="str">
        <x:v>共享提前终止，未比较整周成本</x:v>
      </x:c>
      <x:c r="G3402" s="19" t="str">
        <x:v>质量/成本</x:v>
      </x:c>
      <x:c r="H3402" s="19" t="str">
        <x:v>D:/Codex/GRL研究/outputs/grid79/GRID79_report.md</x:v>
      </x:c>
    </x:row>
    <x:row r="3403" ht="36" customHeight="1">
      <x:c r="A3403" s="19" t="str">
        <x:v>GRID79</x:v>
      </x:c>
      <x:c r="B3403" s="19" t="str">
        <x:v>GRID79_report.md</x:v>
      </x:c>
      <x:c r="C3403" s="19" t="str">
        <x:v>3. 逐日期控制时间和重复波动</x:v>
      </x:c>
      <x:c r="D3403" s="19" t="str">
        <x:v>日期=2035-05-14_14；方法=固定核查＋普通上下文门控</x:v>
      </x:c>
      <x:c r="E3403" s="19" t="str">
        <x:v>候选查询</x:v>
      </x:c>
      <x:c r="F3403" s="19" t="str">
        <x:v>0</x:v>
      </x:c>
      <x:c r="G3403" s="19" t="str">
        <x:v>速度/计算</x:v>
      </x:c>
      <x:c r="H3403" s="19" t="str">
        <x:v>D:/Codex/GRL研究/outputs/grid79/GRID79_report.md</x:v>
      </x:c>
    </x:row>
    <x:row r="3404" ht="36" customHeight="1">
      <x:c r="A3404" s="19" t="str">
        <x:v>GRID79</x:v>
      </x:c>
      <x:c r="B3404" s="19" t="str">
        <x:v>GRID79_report.md</x:v>
      </x:c>
      <x:c r="C3404" s="19" t="str">
        <x:v>3. 逐日期控制时间和重复波动</x:v>
      </x:c>
      <x:c r="D3404" s="19" t="str">
        <x:v>日期=2035-05-14_14；方法=会议适配，种子0</x:v>
      </x:c>
      <x:c r="E3404" s="19" t="str">
        <x:v>方法</x:v>
      </x:c>
      <x:c r="F3404" s="19" t="str">
        <x:v>会议适配，种子0</x:v>
      </x:c>
      <x:c r="G3404" s="19" t="str">
        <x:v>其他/配置</x:v>
      </x:c>
      <x:c r="H3404" s="19" t="str">
        <x:v>D:/Codex/GRL研究/outputs/grid79/GRID79_report.md</x:v>
      </x:c>
    </x:row>
    <x:row r="3405" ht="36" customHeight="1">
      <x:c r="A3405" s="19" t="str">
        <x:v>GRID79</x:v>
      </x:c>
      <x:c r="B3405" s="19" t="str">
        <x:v>GRID79_report.md</x:v>
      </x:c>
      <x:c r="C3405" s="19" t="str">
        <x:v>3. 逐日期控制时间和重复波动</x:v>
      </x:c>
      <x:c r="D3405" s="19" t="str">
        <x:v>日期=2035-05-14_14；方法=会议适配，种子0</x:v>
      </x:c>
      <x:c r="E3405" s="19" t="str">
        <x:v>两次控制时间均值（秒）</x:v>
      </x:c>
      <x:c r="F3405" s="19" t="str">
        <x:v>6.545</x:v>
      </x:c>
      <x:c r="G3405" s="19" t="str">
        <x:v>速度/计算</x:v>
      </x:c>
      <x:c r="H3405" s="19" t="str">
        <x:v>D:/Codex/GRL研究/outputs/grid79/GRID79_report.md</x:v>
      </x:c>
    </x:row>
    <x:row r="3406" ht="36" customHeight="1">
      <x:c r="A3406" s="19" t="str">
        <x:v>GRID79</x:v>
      </x:c>
      <x:c r="B3406" s="19" t="str">
        <x:v>GRID79_report.md</x:v>
      </x:c>
      <x:c r="C3406" s="19" t="str">
        <x:v>3. 逐日期控制时间和重复波动</x:v>
      </x:c>
      <x:c r="D3406" s="19" t="str">
        <x:v>日期=2035-05-14_14；方法=会议适配，种子0</x:v>
      </x:c>
      <x:c r="E3406" s="19" t="str">
        <x:v>最小—最大（秒）</x:v>
      </x:c>
      <x:c r="F3406" s="19" t="str">
        <x:v>6.520—6.571</x:v>
      </x:c>
      <x:c r="G3406" s="19" t="str">
        <x:v>速度/计算</x:v>
      </x:c>
      <x:c r="H3406" s="19" t="str">
        <x:v>D:/Codex/GRL研究/outputs/grid79/GRID79_report.md</x:v>
      </x:c>
    </x:row>
    <x:row r="3407" ht="36" customHeight="1">
      <x:c r="A3407" s="19" t="str">
        <x:v>GRID79</x:v>
      </x:c>
      <x:c r="B3407" s="19" t="str">
        <x:v>GRID79_report.md</x:v>
      </x:c>
      <x:c r="C3407" s="19" t="str">
        <x:v>3. 逐日期控制时间和重复波动</x:v>
      </x:c>
      <x:c r="D3407" s="19" t="str">
        <x:v>日期=2035-05-14_14；方法=会议适配，种子0</x:v>
      </x:c>
      <x:c r="E3407" s="19" t="str">
        <x:v>完整周成本增幅</x:v>
      </x:c>
      <x:c r="F3407" s="19" t="str">
        <x:v>共享提前终止，未比较整周成本</x:v>
      </x:c>
      <x:c r="G3407" s="19" t="str">
        <x:v>质量/成本</x:v>
      </x:c>
      <x:c r="H3407" s="19" t="str">
        <x:v>D:/Codex/GRL研究/outputs/grid79/GRID79_report.md</x:v>
      </x:c>
    </x:row>
    <x:row r="3408" ht="36" customHeight="1">
      <x:c r="A3408" s="19" t="str">
        <x:v>GRID79</x:v>
      </x:c>
      <x:c r="B3408" s="19" t="str">
        <x:v>GRID79_report.md</x:v>
      </x:c>
      <x:c r="C3408" s="19" t="str">
        <x:v>3. 逐日期控制时间和重复波动</x:v>
      </x:c>
      <x:c r="D3408" s="19" t="str">
        <x:v>日期=2035-05-14_14；方法=会议适配，种子0</x:v>
      </x:c>
      <x:c r="E3408" s="19" t="str">
        <x:v>候选查询</x:v>
      </x:c>
      <x:c r="F3408" s="19" t="str">
        <x:v>0</x:v>
      </x:c>
      <x:c r="G3408" s="19" t="str">
        <x:v>速度/计算</x:v>
      </x:c>
      <x:c r="H3408" s="19" t="str">
        <x:v>D:/Codex/GRL研究/outputs/grid79/GRID79_report.md</x:v>
      </x:c>
    </x:row>
    <x:row r="3409" ht="36" customHeight="1">
      <x:c r="A3409" s="19" t="str">
        <x:v>GRID79</x:v>
      </x:c>
      <x:c r="B3409" s="19" t="str">
        <x:v>GRID79_report.md</x:v>
      </x:c>
      <x:c r="C3409" s="19" t="str">
        <x:v>3. 逐日期控制时间和重复波动</x:v>
      </x:c>
      <x:c r="D3409" s="19" t="str">
        <x:v>日期=2035-05-14_14；方法=会议适配，种子1</x:v>
      </x:c>
      <x:c r="E3409" s="19" t="str">
        <x:v>方法</x:v>
      </x:c>
      <x:c r="F3409" s="19" t="str">
        <x:v>会议适配，种子1</x:v>
      </x:c>
      <x:c r="G3409" s="19" t="str">
        <x:v>其他/配置</x:v>
      </x:c>
      <x:c r="H3409" s="19" t="str">
        <x:v>D:/Codex/GRL研究/outputs/grid79/GRID79_report.md</x:v>
      </x:c>
    </x:row>
    <x:row r="3410" ht="36" customHeight="1">
      <x:c r="A3410" s="19" t="str">
        <x:v>GRID79</x:v>
      </x:c>
      <x:c r="B3410" s="19" t="str">
        <x:v>GRID79_report.md</x:v>
      </x:c>
      <x:c r="C3410" s="19" t="str">
        <x:v>3. 逐日期控制时间和重复波动</x:v>
      </x:c>
      <x:c r="D3410" s="19" t="str">
        <x:v>日期=2035-05-14_14；方法=会议适配，种子1</x:v>
      </x:c>
      <x:c r="E3410" s="19" t="str">
        <x:v>两次控制时间均值（秒）</x:v>
      </x:c>
      <x:c r="F3410" s="19" t="str">
        <x:v>6.519</x:v>
      </x:c>
      <x:c r="G3410" s="19" t="str">
        <x:v>速度/计算</x:v>
      </x:c>
      <x:c r="H3410" s="19" t="str">
        <x:v>D:/Codex/GRL研究/outputs/grid79/GRID79_report.md</x:v>
      </x:c>
    </x:row>
    <x:row r="3411" ht="36" customHeight="1">
      <x:c r="A3411" s="19" t="str">
        <x:v>GRID79</x:v>
      </x:c>
      <x:c r="B3411" s="19" t="str">
        <x:v>GRID79_report.md</x:v>
      </x:c>
      <x:c r="C3411" s="19" t="str">
        <x:v>3. 逐日期控制时间和重复波动</x:v>
      </x:c>
      <x:c r="D3411" s="19" t="str">
        <x:v>日期=2035-05-14_14；方法=会议适配，种子1</x:v>
      </x:c>
      <x:c r="E3411" s="19" t="str">
        <x:v>最小—最大（秒）</x:v>
      </x:c>
      <x:c r="F3411" s="19" t="str">
        <x:v>6.465—6.573</x:v>
      </x:c>
      <x:c r="G3411" s="19" t="str">
        <x:v>速度/计算</x:v>
      </x:c>
      <x:c r="H3411" s="19" t="str">
        <x:v>D:/Codex/GRL研究/outputs/grid79/GRID79_report.md</x:v>
      </x:c>
    </x:row>
    <x:row r="3412" ht="36" customHeight="1">
      <x:c r="A3412" s="19" t="str">
        <x:v>GRID79</x:v>
      </x:c>
      <x:c r="B3412" s="19" t="str">
        <x:v>GRID79_report.md</x:v>
      </x:c>
      <x:c r="C3412" s="19" t="str">
        <x:v>3. 逐日期控制时间和重复波动</x:v>
      </x:c>
      <x:c r="D3412" s="19" t="str">
        <x:v>日期=2035-05-14_14；方法=会议适配，种子1</x:v>
      </x:c>
      <x:c r="E3412" s="19" t="str">
        <x:v>完整周成本增幅</x:v>
      </x:c>
      <x:c r="F3412" s="19" t="str">
        <x:v>共享提前终止，未比较整周成本</x:v>
      </x:c>
      <x:c r="G3412" s="19" t="str">
        <x:v>质量/成本</x:v>
      </x:c>
      <x:c r="H3412" s="19" t="str">
        <x:v>D:/Codex/GRL研究/outputs/grid79/GRID79_report.md</x:v>
      </x:c>
    </x:row>
    <x:row r="3413" ht="36" customHeight="1">
      <x:c r="A3413" s="19" t="str">
        <x:v>GRID79</x:v>
      </x:c>
      <x:c r="B3413" s="19" t="str">
        <x:v>GRID79_report.md</x:v>
      </x:c>
      <x:c r="C3413" s="19" t="str">
        <x:v>3. 逐日期控制时间和重复波动</x:v>
      </x:c>
      <x:c r="D3413" s="19" t="str">
        <x:v>日期=2035-05-14_14；方法=会议适配，种子1</x:v>
      </x:c>
      <x:c r="E3413" s="19" t="str">
        <x:v>候选查询</x:v>
      </x:c>
      <x:c r="F3413" s="19" t="str">
        <x:v>0</x:v>
      </x:c>
      <x:c r="G3413" s="19" t="str">
        <x:v>速度/计算</x:v>
      </x:c>
      <x:c r="H3413" s="19" t="str">
        <x:v>D:/Codex/GRL研究/outputs/grid79/GRID79_report.md</x:v>
      </x:c>
    </x:row>
    <x:row r="3414" ht="36" customHeight="1">
      <x:c r="A3414" s="19" t="str">
        <x:v>GRID79</x:v>
      </x:c>
      <x:c r="B3414" s="19" t="str">
        <x:v>GRID79_report.md</x:v>
      </x:c>
      <x:c r="C3414" s="19" t="str">
        <x:v>3. 逐日期控制时间和重复波动</x:v>
      </x:c>
      <x:c r="D3414" s="19" t="str">
        <x:v>日期=2035-11-19_0；方法=完整搜索</x:v>
      </x:c>
      <x:c r="E3414" s="19" t="str">
        <x:v>方法</x:v>
      </x:c>
      <x:c r="F3414" s="19" t="str">
        <x:v>完整搜索</x:v>
      </x:c>
      <x:c r="G3414" s="19" t="str">
        <x:v>其他/配置</x:v>
      </x:c>
      <x:c r="H3414" s="19" t="str">
        <x:v>D:/Codex/GRL研究/outputs/grid79/GRID79_report.md</x:v>
      </x:c>
    </x:row>
    <x:row r="3415" ht="36" customHeight="1">
      <x:c r="A3415" s="19" t="str">
        <x:v>GRID79</x:v>
      </x:c>
      <x:c r="B3415" s="19" t="str">
        <x:v>GRID79_report.md</x:v>
      </x:c>
      <x:c r="C3415" s="19" t="str">
        <x:v>3. 逐日期控制时间和重复波动</x:v>
      </x:c>
      <x:c r="D3415" s="19" t="str">
        <x:v>日期=2035-11-19_0；方法=完整搜索</x:v>
      </x:c>
      <x:c r="E3415" s="19" t="str">
        <x:v>两次控制时间均值（秒）</x:v>
      </x:c>
      <x:c r="F3415" s="19" t="str">
        <x:v>76.586</x:v>
      </x:c>
      <x:c r="G3415" s="19" t="str">
        <x:v>速度/计算</x:v>
      </x:c>
      <x:c r="H3415" s="19" t="str">
        <x:v>D:/Codex/GRL研究/outputs/grid79/GRID79_report.md</x:v>
      </x:c>
    </x:row>
    <x:row r="3416" ht="36" customHeight="1">
      <x:c r="A3416" s="19" t="str">
        <x:v>GRID79</x:v>
      </x:c>
      <x:c r="B3416" s="19" t="str">
        <x:v>GRID79_report.md</x:v>
      </x:c>
      <x:c r="C3416" s="19" t="str">
        <x:v>3. 逐日期控制时间和重复波动</x:v>
      </x:c>
      <x:c r="D3416" s="19" t="str">
        <x:v>日期=2035-11-19_0；方法=完整搜索</x:v>
      </x:c>
      <x:c r="E3416" s="19" t="str">
        <x:v>最小—最大（秒）</x:v>
      </x:c>
      <x:c r="F3416" s="19" t="str">
        <x:v>74.849—78.323</x:v>
      </x:c>
      <x:c r="G3416" s="19" t="str">
        <x:v>速度/计算</x:v>
      </x:c>
      <x:c r="H3416" s="19" t="str">
        <x:v>D:/Codex/GRL研究/outputs/grid79/GRID79_report.md</x:v>
      </x:c>
    </x:row>
    <x:row r="3417" ht="36" customHeight="1">
      <x:c r="A3417" s="19" t="str">
        <x:v>GRID79</x:v>
      </x:c>
      <x:c r="B3417" s="19" t="str">
        <x:v>GRID79_report.md</x:v>
      </x:c>
      <x:c r="C3417" s="19" t="str">
        <x:v>3. 逐日期控制时间和重复波动</x:v>
      </x:c>
      <x:c r="D3417" s="19" t="str">
        <x:v>日期=2035-11-19_0；方法=完整搜索</x:v>
      </x:c>
      <x:c r="E3417" s="19" t="str">
        <x:v>完整周成本增幅</x:v>
      </x:c>
      <x:c r="F3417" s="19" t="str">
        <x:v>+0.0000%</x:v>
      </x:c>
      <x:c r="G3417" s="19" t="str">
        <x:v>质量/成本</x:v>
      </x:c>
      <x:c r="H3417" s="19" t="str">
        <x:v>D:/Codex/GRL研究/outputs/grid79/GRID79_report.md</x:v>
      </x:c>
    </x:row>
    <x:row r="3418" ht="36" customHeight="1">
      <x:c r="A3418" s="19" t="str">
        <x:v>GRID79</x:v>
      </x:c>
      <x:c r="B3418" s="19" t="str">
        <x:v>GRID79_report.md</x:v>
      </x:c>
      <x:c r="C3418" s="19" t="str">
        <x:v>3. 逐日期控制时间和重复波动</x:v>
      </x:c>
      <x:c r="D3418" s="19" t="str">
        <x:v>日期=2035-11-19_0；方法=完整搜索</x:v>
      </x:c>
      <x:c r="E3418" s="19" t="str">
        <x:v>候选查询</x:v>
      </x:c>
      <x:c r="F3418" s="19" t="str">
        <x:v>2680</x:v>
      </x:c>
      <x:c r="G3418" s="19" t="str">
        <x:v>速度/计算</x:v>
      </x:c>
      <x:c r="H3418" s="19" t="str">
        <x:v>D:/Codex/GRL研究/outputs/grid79/GRID79_report.md</x:v>
      </x:c>
    </x:row>
    <x:row r="3419" ht="36" customHeight="1">
      <x:c r="A3419" s="19" t="str">
        <x:v>GRID79</x:v>
      </x:c>
      <x:c r="B3419" s="19" t="str">
        <x:v>GRID79_report.md</x:v>
      </x:c>
      <x:c r="C3419" s="19" t="str">
        <x:v>3. 逐日期控制时间和重复波动</x:v>
      </x:c>
      <x:c r="D3419" s="19" t="str">
        <x:v>日期=2035-11-19_0；方法=固定核查＋普通上下文门控</x:v>
      </x:c>
      <x:c r="E3419" s="19" t="str">
        <x:v>方法</x:v>
      </x:c>
      <x:c r="F3419" s="19" t="str">
        <x:v>固定核查＋普通上下文门控</x:v>
      </x:c>
      <x:c r="G3419" s="19" t="str">
        <x:v>其他/配置</x:v>
      </x:c>
      <x:c r="H3419" s="19" t="str">
        <x:v>D:/Codex/GRL研究/outputs/grid79/GRID79_report.md</x:v>
      </x:c>
    </x:row>
    <x:row r="3420" ht="36" customHeight="1">
      <x:c r="A3420" s="19" t="str">
        <x:v>GRID79</x:v>
      </x:c>
      <x:c r="B3420" s="19" t="str">
        <x:v>GRID79_report.md</x:v>
      </x:c>
      <x:c r="C3420" s="19" t="str">
        <x:v>3. 逐日期控制时间和重复波动</x:v>
      </x:c>
      <x:c r="D3420" s="19" t="str">
        <x:v>日期=2035-11-19_0；方法=固定核查＋普通上下文门控</x:v>
      </x:c>
      <x:c r="E3420" s="19" t="str">
        <x:v>两次控制时间均值（秒）</x:v>
      </x:c>
      <x:c r="F3420" s="19" t="str">
        <x:v>70.965</x:v>
      </x:c>
      <x:c r="G3420" s="19" t="str">
        <x:v>速度/计算</x:v>
      </x:c>
      <x:c r="H3420" s="19" t="str">
        <x:v>D:/Codex/GRL研究/outputs/grid79/GRID79_report.md</x:v>
      </x:c>
    </x:row>
    <x:row r="3421" ht="36" customHeight="1">
      <x:c r="A3421" s="19" t="str">
        <x:v>GRID79</x:v>
      </x:c>
      <x:c r="B3421" s="19" t="str">
        <x:v>GRID79_report.md</x:v>
      </x:c>
      <x:c r="C3421" s="19" t="str">
        <x:v>3. 逐日期控制时间和重复波动</x:v>
      </x:c>
      <x:c r="D3421" s="19" t="str">
        <x:v>日期=2035-11-19_0；方法=固定核查＋普通上下文门控</x:v>
      </x:c>
      <x:c r="E3421" s="19" t="str">
        <x:v>最小—最大（秒）</x:v>
      </x:c>
      <x:c r="F3421" s="19" t="str">
        <x:v>69.216—72.714</x:v>
      </x:c>
      <x:c r="G3421" s="19" t="str">
        <x:v>速度/计算</x:v>
      </x:c>
      <x:c r="H3421" s="19" t="str">
        <x:v>D:/Codex/GRL研究/outputs/grid79/GRID79_report.md</x:v>
      </x:c>
    </x:row>
    <x:row r="3422" ht="36" customHeight="1">
      <x:c r="A3422" s="19" t="str">
        <x:v>GRID79</x:v>
      </x:c>
      <x:c r="B3422" s="19" t="str">
        <x:v>GRID79_report.md</x:v>
      </x:c>
      <x:c r="C3422" s="19" t="str">
        <x:v>3. 逐日期控制时间和重复波动</x:v>
      </x:c>
      <x:c r="D3422" s="19" t="str">
        <x:v>日期=2035-11-19_0；方法=固定核查＋普通上下文门控</x:v>
      </x:c>
      <x:c r="E3422" s="19" t="str">
        <x:v>完整周成本增幅</x:v>
      </x:c>
      <x:c r="F3422" s="19" t="str">
        <x:v>+0.0139%</x:v>
      </x:c>
      <x:c r="G3422" s="19" t="str">
        <x:v>质量/成本</x:v>
      </x:c>
      <x:c r="H3422" s="19" t="str">
        <x:v>D:/Codex/GRL研究/outputs/grid79/GRID79_report.md</x:v>
      </x:c>
    </x:row>
    <x:row r="3423" ht="36" customHeight="1">
      <x:c r="A3423" s="19" t="str">
        <x:v>GRID79</x:v>
      </x:c>
      <x:c r="B3423" s="19" t="str">
        <x:v>GRID79_report.md</x:v>
      </x:c>
      <x:c r="C3423" s="19" t="str">
        <x:v>3. 逐日期控制时间和重复波动</x:v>
      </x:c>
      <x:c r="D3423" s="19" t="str">
        <x:v>日期=2035-11-19_0；方法=固定核查＋普通上下文门控</x:v>
      </x:c>
      <x:c r="E3423" s="19" t="str">
        <x:v>候选查询</x:v>
      </x:c>
      <x:c r="F3423" s="19" t="str">
        <x:v>640</x:v>
      </x:c>
      <x:c r="G3423" s="19" t="str">
        <x:v>速度/计算</x:v>
      </x:c>
      <x:c r="H3423" s="19" t="str">
        <x:v>D:/Codex/GRL研究/outputs/grid79/GRID79_report.md</x:v>
      </x:c>
    </x:row>
    <x:row r="3424" ht="36" customHeight="1">
      <x:c r="A3424" s="19" t="str">
        <x:v>GRID79</x:v>
      </x:c>
      <x:c r="B3424" s="19" t="str">
        <x:v>GRID79_report.md</x:v>
      </x:c>
      <x:c r="C3424" s="19" t="str">
        <x:v>3. 逐日期控制时间和重复波动</x:v>
      </x:c>
      <x:c r="D3424" s="19" t="str">
        <x:v>日期=2035-11-19_0；方法=会议适配，种子0</x:v>
      </x:c>
      <x:c r="E3424" s="19" t="str">
        <x:v>方法</x:v>
      </x:c>
      <x:c r="F3424" s="19" t="str">
        <x:v>会议适配，种子0</x:v>
      </x:c>
      <x:c r="G3424" s="19" t="str">
        <x:v>其他/配置</x:v>
      </x:c>
      <x:c r="H3424" s="19" t="str">
        <x:v>D:/Codex/GRL研究/outputs/grid79/GRID79_report.md</x:v>
      </x:c>
    </x:row>
    <x:row r="3425" ht="36" customHeight="1">
      <x:c r="A3425" s="19" t="str">
        <x:v>GRID79</x:v>
      </x:c>
      <x:c r="B3425" s="19" t="str">
        <x:v>GRID79_report.md</x:v>
      </x:c>
      <x:c r="C3425" s="19" t="str">
        <x:v>3. 逐日期控制时间和重复波动</x:v>
      </x:c>
      <x:c r="D3425" s="19" t="str">
        <x:v>日期=2035-11-19_0；方法=会议适配，种子0</x:v>
      </x:c>
      <x:c r="E3425" s="19" t="str">
        <x:v>两次控制时间均值（秒）</x:v>
      </x:c>
      <x:c r="F3425" s="19" t="str">
        <x:v>66.070</x:v>
      </x:c>
      <x:c r="G3425" s="19" t="str">
        <x:v>速度/计算</x:v>
      </x:c>
      <x:c r="H3425" s="19" t="str">
        <x:v>D:/Codex/GRL研究/outputs/grid79/GRID79_report.md</x:v>
      </x:c>
    </x:row>
    <x:row r="3426" ht="36" customHeight="1">
      <x:c r="A3426" s="19" t="str">
        <x:v>GRID79</x:v>
      </x:c>
      <x:c r="B3426" s="19" t="str">
        <x:v>GRID79_report.md</x:v>
      </x:c>
      <x:c r="C3426" s="19" t="str">
        <x:v>3. 逐日期控制时间和重复波动</x:v>
      </x:c>
      <x:c r="D3426" s="19" t="str">
        <x:v>日期=2035-11-19_0；方法=会议适配，种子0</x:v>
      </x:c>
      <x:c r="E3426" s="19" t="str">
        <x:v>最小—最大（秒）</x:v>
      </x:c>
      <x:c r="F3426" s="19" t="str">
        <x:v>65.979—66.162</x:v>
      </x:c>
      <x:c r="G3426" s="19" t="str">
        <x:v>速度/计算</x:v>
      </x:c>
      <x:c r="H3426" s="19" t="str">
        <x:v>D:/Codex/GRL研究/outputs/grid79/GRID79_report.md</x:v>
      </x:c>
    </x:row>
    <x:row r="3427" ht="36" customHeight="1">
      <x:c r="A3427" s="19" t="str">
        <x:v>GRID79</x:v>
      </x:c>
      <x:c r="B3427" s="19" t="str">
        <x:v>GRID79_report.md</x:v>
      </x:c>
      <x:c r="C3427" s="19" t="str">
        <x:v>3. 逐日期控制时间和重复波动</x:v>
      </x:c>
      <x:c r="D3427" s="19" t="str">
        <x:v>日期=2035-11-19_0；方法=会议适配，种子0</x:v>
      </x:c>
      <x:c r="E3427" s="19" t="str">
        <x:v>完整周成本增幅</x:v>
      </x:c>
      <x:c r="F3427" s="19" t="str">
        <x:v>-0.0231%</x:v>
      </x:c>
      <x:c r="G3427" s="19" t="str">
        <x:v>质量/成本</x:v>
      </x:c>
      <x:c r="H3427" s="19" t="str">
        <x:v>D:/Codex/GRL研究/outputs/grid79/GRID79_report.md</x:v>
      </x:c>
    </x:row>
    <x:row r="3428" ht="36" customHeight="1">
      <x:c r="A3428" s="19" t="str">
        <x:v>GRID79</x:v>
      </x:c>
      <x:c r="B3428" s="19" t="str">
        <x:v>GRID79_report.md</x:v>
      </x:c>
      <x:c r="C3428" s="19" t="str">
        <x:v>3. 逐日期控制时间和重复波动</x:v>
      </x:c>
      <x:c r="D3428" s="19" t="str">
        <x:v>日期=2035-11-19_0；方法=会议适配，种子0</x:v>
      </x:c>
      <x:c r="E3428" s="19" t="str">
        <x:v>候选查询</x:v>
      </x:c>
      <x:c r="F3428" s="19" t="str">
        <x:v>1216</x:v>
      </x:c>
      <x:c r="G3428" s="19" t="str">
        <x:v>速度/计算</x:v>
      </x:c>
      <x:c r="H3428" s="19" t="str">
        <x:v>D:/Codex/GRL研究/outputs/grid79/GRID79_report.md</x:v>
      </x:c>
    </x:row>
    <x:row r="3429" ht="36" customHeight="1">
      <x:c r="A3429" s="19" t="str">
        <x:v>GRID79</x:v>
      </x:c>
      <x:c r="B3429" s="19" t="str">
        <x:v>GRID79_report.md</x:v>
      </x:c>
      <x:c r="C3429" s="19" t="str">
        <x:v>3. 逐日期控制时间和重复波动</x:v>
      </x:c>
      <x:c r="D3429" s="19" t="str">
        <x:v>日期=2035-11-19_0；方法=会议适配，种子1</x:v>
      </x:c>
      <x:c r="E3429" s="19" t="str">
        <x:v>方法</x:v>
      </x:c>
      <x:c r="F3429" s="19" t="str">
        <x:v>会议适配，种子1</x:v>
      </x:c>
      <x:c r="G3429" s="19" t="str">
        <x:v>其他/配置</x:v>
      </x:c>
      <x:c r="H3429" s="19" t="str">
        <x:v>D:/Codex/GRL研究/outputs/grid79/GRID79_report.md</x:v>
      </x:c>
    </x:row>
    <x:row r="3430" ht="36" customHeight="1">
      <x:c r="A3430" s="19" t="str">
        <x:v>GRID79</x:v>
      </x:c>
      <x:c r="B3430" s="19" t="str">
        <x:v>GRID79_report.md</x:v>
      </x:c>
      <x:c r="C3430" s="19" t="str">
        <x:v>3. 逐日期控制时间和重复波动</x:v>
      </x:c>
      <x:c r="D3430" s="19" t="str">
        <x:v>日期=2035-11-19_0；方法=会议适配，种子1</x:v>
      </x:c>
      <x:c r="E3430" s="19" t="str">
        <x:v>两次控制时间均值（秒）</x:v>
      </x:c>
      <x:c r="F3430" s="19" t="str">
        <x:v>65.498</x:v>
      </x:c>
      <x:c r="G3430" s="19" t="str">
        <x:v>速度/计算</x:v>
      </x:c>
      <x:c r="H3430" s="19" t="str">
        <x:v>D:/Codex/GRL研究/outputs/grid79/GRID79_report.md</x:v>
      </x:c>
    </x:row>
    <x:row r="3431" ht="36" customHeight="1">
      <x:c r="A3431" s="19" t="str">
        <x:v>GRID79</x:v>
      </x:c>
      <x:c r="B3431" s="19" t="str">
        <x:v>GRID79_report.md</x:v>
      </x:c>
      <x:c r="C3431" s="19" t="str">
        <x:v>3. 逐日期控制时间和重复波动</x:v>
      </x:c>
      <x:c r="D3431" s="19" t="str">
        <x:v>日期=2035-11-19_0；方法=会议适配，种子1</x:v>
      </x:c>
      <x:c r="E3431" s="19" t="str">
        <x:v>最小—最大（秒）</x:v>
      </x:c>
      <x:c r="F3431" s="19" t="str">
        <x:v>65.154—65.842</x:v>
      </x:c>
      <x:c r="G3431" s="19" t="str">
        <x:v>速度/计算</x:v>
      </x:c>
      <x:c r="H3431" s="19" t="str">
        <x:v>D:/Codex/GRL研究/outputs/grid79/GRID79_report.md</x:v>
      </x:c>
    </x:row>
    <x:row r="3432" ht="36" customHeight="1">
      <x:c r="A3432" s="19" t="str">
        <x:v>GRID79</x:v>
      </x:c>
      <x:c r="B3432" s="19" t="str">
        <x:v>GRID79_report.md</x:v>
      </x:c>
      <x:c r="C3432" s="19" t="str">
        <x:v>3. 逐日期控制时间和重复波动</x:v>
      </x:c>
      <x:c r="D3432" s="19" t="str">
        <x:v>日期=2035-11-19_0；方法=会议适配，种子1</x:v>
      </x:c>
      <x:c r="E3432" s="19" t="str">
        <x:v>完整周成本增幅</x:v>
      </x:c>
      <x:c r="F3432" s="19" t="str">
        <x:v>-0.0231%</x:v>
      </x:c>
      <x:c r="G3432" s="19" t="str">
        <x:v>质量/成本</x:v>
      </x:c>
      <x:c r="H3432" s="19" t="str">
        <x:v>D:/Codex/GRL研究/outputs/grid79/GRID79_report.md</x:v>
      </x:c>
    </x:row>
    <x:row r="3433" ht="36" customHeight="1">
      <x:c r="A3433" s="19" t="str">
        <x:v>GRID79</x:v>
      </x:c>
      <x:c r="B3433" s="19" t="str">
        <x:v>GRID79_report.md</x:v>
      </x:c>
      <x:c r="C3433" s="19" t="str">
        <x:v>3. 逐日期控制时间和重复波动</x:v>
      </x:c>
      <x:c r="D3433" s="19" t="str">
        <x:v>日期=2035-11-19_0；方法=会议适配，种子1</x:v>
      </x:c>
      <x:c r="E3433" s="19" t="str">
        <x:v>候选查询</x:v>
      </x:c>
      <x:c r="F3433" s="19" t="str">
        <x:v>921</x:v>
      </x:c>
      <x:c r="G3433" s="19" t="str">
        <x:v>速度/计算</x:v>
      </x:c>
      <x:c r="H3433" s="19" t="str">
        <x:v>D:/Codex/GRL研究/outputs/grid79/GRID79_report.md</x:v>
      </x:c>
    </x:row>
    <x:row r="3434" ht="36" customHeight="1">
      <x:c r="A3434" s="19" t="str">
        <x:v>GRID79</x:v>
      </x:c>
      <x:c r="B3434" s="19" t="str">
        <x:v>GRID79_report.md</x:v>
      </x:c>
      <x:c r="C3434" s="19" t="str">
        <x:v>4. 不重叠的控制计算分解</x:v>
      </x:c>
      <x:c r="D3434" s="19" t="str">
        <x:v>方法=完整搜索；优化器（秒）=40.313</x:v>
      </x:c>
      <x:c r="E3434" s="19" t="str">
        <x:v>优化器（秒）</x:v>
      </x:c>
      <x:c r="F3434" s="19" t="str">
        <x:v>40.313</x:v>
      </x:c>
      <x:c r="G3434" s="19" t="str">
        <x:v>速度/计算</x:v>
      </x:c>
      <x:c r="H3434" s="19" t="str">
        <x:v>D:/Codex/GRL研究/outputs/grid79/GRID79_report.md</x:v>
      </x:c>
    </x:row>
    <x:row r="3435" ht="36" customHeight="1">
      <x:c r="A3435" s="19" t="str">
        <x:v>GRID79</x:v>
      </x:c>
      <x:c r="B3435" s="19" t="str">
        <x:v>GRID79_report.md</x:v>
      </x:c>
      <x:c r="C3435" s="19" t="str">
        <x:v>4. 不重叠的控制计算分解</x:v>
      </x:c>
      <x:c r="D3435" s="19" t="str">
        <x:v>方法=完整搜索；优化器（秒）=40.313</x:v>
      </x:c>
      <x:c r="E3435" s="19" t="str">
        <x:v>全部预测（秒）</x:v>
      </x:c>
      <x:c r="F3435" s="19" t="str">
        <x:v>20.253</x:v>
      </x:c>
      <x:c r="G3435" s="19" t="str">
        <x:v>速度/计算</x:v>
      </x:c>
      <x:c r="H3435" s="19" t="str">
        <x:v>D:/Codex/GRL研究/outputs/grid79/GRID79_report.md</x:v>
      </x:c>
    </x:row>
    <x:row r="3436" ht="36" customHeight="1">
      <x:c r="A3436" s="19" t="str">
        <x:v>GRID79</x:v>
      </x:c>
      <x:c r="B3436" s="19" t="str">
        <x:v>GRID79_report.md</x:v>
      </x:c>
      <x:c r="C3436" s="19" t="str">
        <x:v>4. 不重叠的控制计算分解</x:v>
      </x:c>
      <x:c r="D3436" s="19" t="str">
        <x:v>方法=完整搜索；优化器（秒）=40.313</x:v>
      </x:c>
      <x:c r="E3436" s="19" t="str">
        <x:v>候选搜索非预测部分（秒）</x:v>
      </x:c>
      <x:c r="F3436" s="19" t="str">
        <x:v>0.653</x:v>
      </x:c>
      <x:c r="G3436" s="19" t="str">
        <x:v>速度/计算</x:v>
      </x:c>
      <x:c r="H3436" s="19" t="str">
        <x:v>D:/Codex/GRL研究/outputs/grid79/GRID79_report.md</x:v>
      </x:c>
    </x:row>
    <x:row r="3437" ht="36" customHeight="1">
      <x:c r="A3437" s="19" t="str">
        <x:v>GRID79</x:v>
      </x:c>
      <x:c r="B3437" s="19" t="str">
        <x:v>GRID79_report.md</x:v>
      </x:c>
      <x:c r="C3437" s="19" t="str">
        <x:v>4. 不重叠的控制计算分解</x:v>
      </x:c>
      <x:c r="D3437" s="19" t="str">
        <x:v>方法=完整搜索；优化器（秒）=40.313</x:v>
      </x:c>
      <x:c r="E3437" s="19" t="str">
        <x:v>其余控制（秒）</x:v>
      </x:c>
      <x:c r="F3437" s="19" t="str">
        <x:v>4.431</x:v>
      </x:c>
      <x:c r="G3437" s="19" t="str">
        <x:v>速度/计算</x:v>
      </x:c>
      <x:c r="H3437" s="19" t="str">
        <x:v>D:/Codex/GRL研究/outputs/grid79/GRID79_report.md</x:v>
      </x:c>
    </x:row>
    <x:row r="3438" ht="36" customHeight="1">
      <x:c r="A3438" s="19" t="str">
        <x:v>GRID79</x:v>
      </x:c>
      <x:c r="B3438" s="19" t="str">
        <x:v>GRID79_report.md</x:v>
      </x:c>
      <x:c r="C3438" s="19" t="str">
        <x:v>4. 不重叠的控制计算分解</x:v>
      </x:c>
      <x:c r="D3438" s="19" t="str">
        <x:v>方法=完整搜索；优化器（秒）=40.313</x:v>
      </x:c>
      <x:c r="E3438" s="19" t="str">
        <x:v>合计（秒）</x:v>
      </x:c>
      <x:c r="F3438" s="19" t="str">
        <x:v>65.650</x:v>
      </x:c>
      <x:c r="G3438" s="19" t="str">
        <x:v>速度/计算</x:v>
      </x:c>
      <x:c r="H3438" s="19" t="str">
        <x:v>D:/Codex/GRL研究/outputs/grid79/GRID79_report.md</x:v>
      </x:c>
    </x:row>
    <x:row r="3439" ht="36" customHeight="1">
      <x:c r="A3439" s="19" t="str">
        <x:v>GRID79</x:v>
      </x:c>
      <x:c r="B3439" s="19" t="str">
        <x:v>GRID79_report.md</x:v>
      </x:c>
      <x:c r="C3439" s="19" t="str">
        <x:v>4. 不重叠的控制计算分解</x:v>
      </x:c>
      <x:c r="D3439" s="19" t="str">
        <x:v>方法=固定核查＋普通上下文门控；优化器（秒）=39.864</x:v>
      </x:c>
      <x:c r="E3439" s="19" t="str">
        <x:v>优化器（秒）</x:v>
      </x:c>
      <x:c r="F3439" s="19" t="str">
        <x:v>39.864</x:v>
      </x:c>
      <x:c r="G3439" s="19" t="str">
        <x:v>速度/计算</x:v>
      </x:c>
      <x:c r="H3439" s="19" t="str">
        <x:v>D:/Codex/GRL研究/outputs/grid79/GRID79_report.md</x:v>
      </x:c>
    </x:row>
    <x:row r="3440" ht="36" customHeight="1">
      <x:c r="A3440" s="19" t="str">
        <x:v>GRID79</x:v>
      </x:c>
      <x:c r="B3440" s="19" t="str">
        <x:v>GRID79_report.md</x:v>
      </x:c>
      <x:c r="C3440" s="19" t="str">
        <x:v>4. 不重叠的控制计算分解</x:v>
      </x:c>
      <x:c r="D3440" s="19" t="str">
        <x:v>方法=固定核查＋普通上下文门控；优化器（秒）=39.864</x:v>
      </x:c>
      <x:c r="E3440" s="19" t="str">
        <x:v>全部预测（秒）</x:v>
      </x:c>
      <x:c r="F3440" s="19" t="str">
        <x:v>12.245</x:v>
      </x:c>
      <x:c r="G3440" s="19" t="str">
        <x:v>速度/计算</x:v>
      </x:c>
      <x:c r="H3440" s="19" t="str">
        <x:v>D:/Codex/GRL研究/outputs/grid79/GRID79_report.md</x:v>
      </x:c>
    </x:row>
    <x:row r="3441" ht="36" customHeight="1">
      <x:c r="A3441" s="19" t="str">
        <x:v>GRID79</x:v>
      </x:c>
      <x:c r="B3441" s="19" t="str">
        <x:v>GRID79_report.md</x:v>
      </x:c>
      <x:c r="C3441" s="19" t="str">
        <x:v>4. 不重叠的控制计算分解</x:v>
      </x:c>
      <x:c r="D3441" s="19" t="str">
        <x:v>方法=固定核查＋普通上下文门控；优化器（秒）=39.864</x:v>
      </x:c>
      <x:c r="E3441" s="19" t="str">
        <x:v>候选搜索非预测部分（秒）</x:v>
      </x:c>
      <x:c r="F3441" s="19" t="str">
        <x:v>0.528</x:v>
      </x:c>
      <x:c r="G3441" s="19" t="str">
        <x:v>速度/计算</x:v>
      </x:c>
      <x:c r="H3441" s="19" t="str">
        <x:v>D:/Codex/GRL研究/outputs/grid79/GRID79_report.md</x:v>
      </x:c>
    </x:row>
    <x:row r="3442" ht="36" customHeight="1">
      <x:c r="A3442" s="19" t="str">
        <x:v>GRID79</x:v>
      </x:c>
      <x:c r="B3442" s="19" t="str">
        <x:v>GRID79_report.md</x:v>
      </x:c>
      <x:c r="C3442" s="19" t="str">
        <x:v>4. 不重叠的控制计算分解</x:v>
      </x:c>
      <x:c r="D3442" s="19" t="str">
        <x:v>方法=固定核查＋普通上下文门控；优化器（秒）=39.864</x:v>
      </x:c>
      <x:c r="E3442" s="19" t="str">
        <x:v>其余控制（秒）</x:v>
      </x:c>
      <x:c r="F3442" s="19" t="str">
        <x:v>4.158</x:v>
      </x:c>
      <x:c r="G3442" s="19" t="str">
        <x:v>速度/计算</x:v>
      </x:c>
      <x:c r="H3442" s="19" t="str">
        <x:v>D:/Codex/GRL研究/outputs/grid79/GRID79_report.md</x:v>
      </x:c>
    </x:row>
    <x:row r="3443" ht="36" customHeight="1">
      <x:c r="A3443" s="19" t="str">
        <x:v>GRID79</x:v>
      </x:c>
      <x:c r="B3443" s="19" t="str">
        <x:v>GRID79_report.md</x:v>
      </x:c>
      <x:c r="C3443" s="19" t="str">
        <x:v>4. 不重叠的控制计算分解</x:v>
      </x:c>
      <x:c r="D3443" s="19" t="str">
        <x:v>方法=固定核查＋普通上下文门控；优化器（秒）=39.864</x:v>
      </x:c>
      <x:c r="E3443" s="19" t="str">
        <x:v>合计（秒）</x:v>
      </x:c>
      <x:c r="F3443" s="19" t="str">
        <x:v>56.795</x:v>
      </x:c>
      <x:c r="G3443" s="19" t="str">
        <x:v>速度/计算</x:v>
      </x:c>
      <x:c r="H3443" s="19" t="str">
        <x:v>D:/Codex/GRL研究/outputs/grid79/GRID79_report.md</x:v>
      </x:c>
    </x:row>
    <x:row r="3444" ht="36" customHeight="1">
      <x:c r="A3444" s="19" t="str">
        <x:v>GRID79</x:v>
      </x:c>
      <x:c r="B3444" s="19" t="str">
        <x:v>GRID79_report.md</x:v>
      </x:c>
      <x:c r="C3444" s="19" t="str">
        <x:v>4. 不重叠的控制计算分解</x:v>
      </x:c>
      <x:c r="D3444" s="19" t="str">
        <x:v>方法=会议适配，种子0；优化器（秒）=42.116</x:v>
      </x:c>
      <x:c r="E3444" s="19" t="str">
        <x:v>优化器（秒）</x:v>
      </x:c>
      <x:c r="F3444" s="19" t="str">
        <x:v>42.116</x:v>
      </x:c>
      <x:c r="G3444" s="19" t="str">
        <x:v>速度/计算</x:v>
      </x:c>
      <x:c r="H3444" s="19" t="str">
        <x:v>D:/Codex/GRL研究/outputs/grid79/GRID79_report.md</x:v>
      </x:c>
    </x:row>
    <x:row r="3445" ht="36" customHeight="1">
      <x:c r="A3445" s="19" t="str">
        <x:v>GRID79</x:v>
      </x:c>
      <x:c r="B3445" s="19" t="str">
        <x:v>GRID79_report.md</x:v>
      </x:c>
      <x:c r="C3445" s="19" t="str">
        <x:v>4. 不重叠的控制计算分解</x:v>
      </x:c>
      <x:c r="D3445" s="19" t="str">
        <x:v>方法=会议适配，种子0；优化器（秒）=42.116</x:v>
      </x:c>
      <x:c r="E3445" s="19" t="str">
        <x:v>全部预测（秒）</x:v>
      </x:c>
      <x:c r="F3445" s="19" t="str">
        <x:v>14.972</x:v>
      </x:c>
      <x:c r="G3445" s="19" t="str">
        <x:v>速度/计算</x:v>
      </x:c>
      <x:c r="H3445" s="19" t="str">
        <x:v>D:/Codex/GRL研究/outputs/grid79/GRID79_report.md</x:v>
      </x:c>
    </x:row>
    <x:row r="3446" ht="36" customHeight="1">
      <x:c r="A3446" s="19" t="str">
        <x:v>GRID79</x:v>
      </x:c>
      <x:c r="B3446" s="19" t="str">
        <x:v>GRID79_report.md</x:v>
      </x:c>
      <x:c r="C3446" s="19" t="str">
        <x:v>4. 不重叠的控制计算分解</x:v>
      </x:c>
      <x:c r="D3446" s="19" t="str">
        <x:v>方法=会议适配，种子0；优化器（秒）=42.116</x:v>
      </x:c>
      <x:c r="E3446" s="19" t="str">
        <x:v>候选搜索非预测部分（秒）</x:v>
      </x:c>
      <x:c r="F3446" s="19" t="str">
        <x:v>0.604</x:v>
      </x:c>
      <x:c r="G3446" s="19" t="str">
        <x:v>速度/计算</x:v>
      </x:c>
      <x:c r="H3446" s="19" t="str">
        <x:v>D:/Codex/GRL研究/outputs/grid79/GRID79_report.md</x:v>
      </x:c>
    </x:row>
    <x:row r="3447" ht="36" customHeight="1">
      <x:c r="A3447" s="19" t="str">
        <x:v>GRID79</x:v>
      </x:c>
      <x:c r="B3447" s="19" t="str">
        <x:v>GRID79_report.md</x:v>
      </x:c>
      <x:c r="C3447" s="19" t="str">
        <x:v>4. 不重叠的控制计算分解</x:v>
      </x:c>
      <x:c r="D3447" s="19" t="str">
        <x:v>方法=会议适配，种子0；优化器（秒）=42.116</x:v>
      </x:c>
      <x:c r="E3447" s="19" t="str">
        <x:v>其余控制（秒）</x:v>
      </x:c>
      <x:c r="F3447" s="19" t="str">
        <x:v>4.362</x:v>
      </x:c>
      <x:c r="G3447" s="19" t="str">
        <x:v>速度/计算</x:v>
      </x:c>
      <x:c r="H3447" s="19" t="str">
        <x:v>D:/Codex/GRL研究/outputs/grid79/GRID79_report.md</x:v>
      </x:c>
    </x:row>
    <x:row r="3448" ht="36" customHeight="1">
      <x:c r="A3448" s="19" t="str">
        <x:v>GRID79</x:v>
      </x:c>
      <x:c r="B3448" s="19" t="str">
        <x:v>GRID79_report.md</x:v>
      </x:c>
      <x:c r="C3448" s="19" t="str">
        <x:v>4. 不重叠的控制计算分解</x:v>
      </x:c>
      <x:c r="D3448" s="19" t="str">
        <x:v>方法=会议适配，种子0；优化器（秒）=42.116</x:v>
      </x:c>
      <x:c r="E3448" s="19" t="str">
        <x:v>合计（秒）</x:v>
      </x:c>
      <x:c r="F3448" s="19" t="str">
        <x:v>62.054</x:v>
      </x:c>
      <x:c r="G3448" s="19" t="str">
        <x:v>速度/计算</x:v>
      </x:c>
      <x:c r="H3448" s="19" t="str">
        <x:v>D:/Codex/GRL研究/outputs/grid79/GRID79_report.md</x:v>
      </x:c>
    </x:row>
    <x:row r="3449" ht="36" customHeight="1">
      <x:c r="A3449" s="19" t="str">
        <x:v>GRID79</x:v>
      </x:c>
      <x:c r="B3449" s="19" t="str">
        <x:v>GRID79_report.md</x:v>
      </x:c>
      <x:c r="C3449" s="19" t="str">
        <x:v>4. 不重叠的控制计算分解</x:v>
      </x:c>
      <x:c r="D3449" s="19" t="str">
        <x:v>方法=会议适配，种子1；优化器（秒）=41.627</x:v>
      </x:c>
      <x:c r="E3449" s="19" t="str">
        <x:v>优化器（秒）</x:v>
      </x:c>
      <x:c r="F3449" s="19" t="str">
        <x:v>41.627</x:v>
      </x:c>
      <x:c r="G3449" s="19" t="str">
        <x:v>速度/计算</x:v>
      </x:c>
      <x:c r="H3449" s="19" t="str">
        <x:v>D:/Codex/GRL研究/outputs/grid79/GRID79_report.md</x:v>
      </x:c>
    </x:row>
    <x:row r="3450" ht="36" customHeight="1">
      <x:c r="A3450" s="19" t="str">
        <x:v>GRID79</x:v>
      </x:c>
      <x:c r="B3450" s="19" t="str">
        <x:v>GRID79_report.md</x:v>
      </x:c>
      <x:c r="C3450" s="19" t="str">
        <x:v>4. 不重叠的控制计算分解</x:v>
      </x:c>
      <x:c r="D3450" s="19" t="str">
        <x:v>方法=会议适配，种子1；优化器（秒）=41.627</x:v>
      </x:c>
      <x:c r="E3450" s="19" t="str">
        <x:v>全部预测（秒）</x:v>
      </x:c>
      <x:c r="F3450" s="19" t="str">
        <x:v>13.135</x:v>
      </x:c>
      <x:c r="G3450" s="19" t="str">
        <x:v>速度/计算</x:v>
      </x:c>
      <x:c r="H3450" s="19" t="str">
        <x:v>D:/Codex/GRL研究/outputs/grid79/GRID79_report.md</x:v>
      </x:c>
    </x:row>
    <x:row r="3451" ht="36" customHeight="1">
      <x:c r="A3451" s="19" t="str">
        <x:v>GRID79</x:v>
      </x:c>
      <x:c r="B3451" s="19" t="str">
        <x:v>GRID79_report.md</x:v>
      </x:c>
      <x:c r="C3451" s="19" t="str">
        <x:v>4. 不重叠的控制计算分解</x:v>
      </x:c>
      <x:c r="D3451" s="19" t="str">
        <x:v>方法=会议适配，种子1；优化器（秒）=41.627</x:v>
      </x:c>
      <x:c r="E3451" s="19" t="str">
        <x:v>候选搜索非预测部分（秒）</x:v>
      </x:c>
      <x:c r="F3451" s="19" t="str">
        <x:v>0.536</x:v>
      </x:c>
      <x:c r="G3451" s="19" t="str">
        <x:v>速度/计算</x:v>
      </x:c>
      <x:c r="H3451" s="19" t="str">
        <x:v>D:/Codex/GRL研究/outputs/grid79/GRID79_report.md</x:v>
      </x:c>
    </x:row>
    <x:row r="3452" ht="36" customHeight="1">
      <x:c r="A3452" s="19" t="str">
        <x:v>GRID79</x:v>
      </x:c>
      <x:c r="B3452" s="19" t="str">
        <x:v>GRID79_report.md</x:v>
      </x:c>
      <x:c r="C3452" s="19" t="str">
        <x:v>4. 不重叠的控制计算分解</x:v>
      </x:c>
      <x:c r="D3452" s="19" t="str">
        <x:v>方法=会议适配，种子1；优化器（秒）=41.627</x:v>
      </x:c>
      <x:c r="E3452" s="19" t="str">
        <x:v>其余控制（秒）</x:v>
      </x:c>
      <x:c r="F3452" s="19" t="str">
        <x:v>4.322</x:v>
      </x:c>
      <x:c r="G3452" s="19" t="str">
        <x:v>速度/计算</x:v>
      </x:c>
      <x:c r="H3452" s="19" t="str">
        <x:v>D:/Codex/GRL研究/outputs/grid79/GRID79_report.md</x:v>
      </x:c>
    </x:row>
    <x:row r="3453" ht="36" customHeight="1">
      <x:c r="A3453" s="19" t="str">
        <x:v>GRID79</x:v>
      </x:c>
      <x:c r="B3453" s="19" t="str">
        <x:v>GRID79_report.md</x:v>
      </x:c>
      <x:c r="C3453" s="19" t="str">
        <x:v>4. 不重叠的控制计算分解</x:v>
      </x:c>
      <x:c r="D3453" s="19" t="str">
        <x:v>方法=会议适配，种子1；优化器（秒）=41.627</x:v>
      </x:c>
      <x:c r="E3453" s="19" t="str">
        <x:v>合计（秒）</x:v>
      </x:c>
      <x:c r="F3453" s="19" t="str">
        <x:v>59.620</x:v>
      </x:c>
      <x:c r="G3453" s="19" t="str">
        <x:v>速度/计算</x:v>
      </x:c>
      <x:c r="H3453" s="19" t="str">
        <x:v>D:/Codex/GRL研究/outputs/grid79/GRID79_report.md</x:v>
      </x:c>
    </x:row>
    <x:row r="3454" ht="36" customHeight="1">
      <x:c r="A3454" s="19" t="str">
        <x:v>GRID81</x:v>
      </x:c>
      <x:c r="B3454" s="19" t="str">
        <x:v>GRID81_report.md</x:v>
      </x:c>
      <x:c r="C3454" s="19" t="str">
        <x:v>1. GRID81：新场景确认与门控消融</x:v>
      </x:c>
      <x:c r="D3454" s="19" t="str">
        <x:v>方法=FULL；质量通过场景=6/6</x:v>
      </x:c>
      <x:c r="E3454" s="19" t="str">
        <x:v>质量通过场景</x:v>
      </x:c>
      <x:c r="F3454" s="19" t="str">
        <x:v>6/6</x:v>
      </x:c>
      <x:c r="G3454" s="19" t="str">
        <x:v>质量/成本</x:v>
      </x:c>
      <x:c r="H3454" s="19" t="str">
        <x:v>D:/Codex/GRL研究/outputs/grid81/GRID81_report.md</x:v>
      </x:c>
    </x:row>
    <x:row r="3455" ht="36" customHeight="1">
      <x:c r="A3455" s="19" t="str">
        <x:v>GRID81</x:v>
      </x:c>
      <x:c r="B3455" s="19" t="str">
        <x:v>GRID81_report.md</x:v>
      </x:c>
      <x:c r="C3455" s="19" t="str">
        <x:v>1. GRID81：新场景确认与门控消融</x:v>
      </x:c>
      <x:c r="D3455" s="19" t="str">
        <x:v>方法=FULL；质量通过场景=6/6</x:v>
      </x:c>
      <x:c r="E3455" s="19" t="str">
        <x:v>完成场景</x:v>
      </x:c>
      <x:c r="F3455" s="19" t="str">
        <x:v>4/6</x:v>
      </x:c>
      <x:c r="G3455" s="19" t="str">
        <x:v>质量/成本</x:v>
      </x:c>
      <x:c r="H3455" s="19" t="str">
        <x:v>D:/Codex/GRL研究/outputs/grid81/GRID81_report.md</x:v>
      </x:c>
    </x:row>
    <x:row r="3456" ht="36" customHeight="1">
      <x:c r="A3456" s="19" t="str">
        <x:v>GRID81</x:v>
      </x:c>
      <x:c r="B3456" s="19" t="str">
        <x:v>GRID81_report.md</x:v>
      </x:c>
      <x:c r="C3456" s="19" t="str">
        <x:v>1. GRID81：新场景确认与门控消融</x:v>
      </x:c>
      <x:c r="D3456" s="19" t="str">
        <x:v>方法=FULL；质量通过场景=6/6</x:v>
      </x:c>
      <x:c r="E3456" s="19" t="str">
        <x:v>搜索查询合计（每场景只计一次）</x:v>
      </x:c>
      <x:c r="F3456" s="19" t="str">
        <x:v>28798</x:v>
      </x:c>
      <x:c r="G3456" s="19" t="str">
        <x:v>速度/计算</x:v>
      </x:c>
      <x:c r="H3456" s="19" t="str">
        <x:v>D:/Codex/GRL研究/outputs/grid81/GRID81_report.md</x:v>
      </x:c>
    </x:row>
    <x:row r="3457" ht="36" customHeight="1">
      <x:c r="A3457" s="19" t="str">
        <x:v>GRID81</x:v>
      </x:c>
      <x:c r="B3457" s="19" t="str">
        <x:v>GRID81_report.md</x:v>
      </x:c>
      <x:c r="C3457" s="19" t="str">
        <x:v>1. GRID81：新场景确认与门控消融</x:v>
      </x:c>
      <x:c r="D3457" s="19" t="str">
        <x:v>方法=FULL；质量通过场景=6/6</x:v>
      </x:c>
      <x:c r="E3457" s="19" t="str">
        <x:v>控制秒/场景</x:v>
      </x:c>
      <x:c r="F3457" s="19" t="str">
        <x:v>57.353</x:v>
      </x:c>
      <x:c r="G3457" s="19" t="str">
        <x:v>速度/计算</x:v>
      </x:c>
      <x:c r="H3457" s="19" t="str">
        <x:v>D:/Codex/GRL研究/outputs/grid81/GRID81_report.md</x:v>
      </x:c>
    </x:row>
    <x:row r="3458" ht="36" customHeight="1">
      <x:c r="A3458" s="19" t="str">
        <x:v>GRID81</x:v>
      </x:c>
      <x:c r="B3458" s="19" t="str">
        <x:v>GRID81_report.md</x:v>
      </x:c>
      <x:c r="C3458" s="19" t="str">
        <x:v>1. GRID81：新场景确认与门控消融</x:v>
      </x:c>
      <x:c r="D3458" s="19" t="str">
        <x:v>方法=CONTEXT_GATE；质量通过场景=6/6</x:v>
      </x:c>
      <x:c r="E3458" s="19" t="str">
        <x:v>质量通过场景</x:v>
      </x:c>
      <x:c r="F3458" s="19" t="str">
        <x:v>6/6</x:v>
      </x:c>
      <x:c r="G3458" s="19" t="str">
        <x:v>质量/成本</x:v>
      </x:c>
      <x:c r="H3458" s="19" t="str">
        <x:v>D:/Codex/GRL研究/outputs/grid81/GRID81_report.md</x:v>
      </x:c>
    </x:row>
    <x:row r="3459" ht="36" customHeight="1">
      <x:c r="A3459" s="19" t="str">
        <x:v>GRID81</x:v>
      </x:c>
      <x:c r="B3459" s="19" t="str">
        <x:v>GRID81_report.md</x:v>
      </x:c>
      <x:c r="C3459" s="19" t="str">
        <x:v>1. GRID81：新场景确认与门控消融</x:v>
      </x:c>
      <x:c r="D3459" s="19" t="str">
        <x:v>方法=CONTEXT_GATE；质量通过场景=6/6</x:v>
      </x:c>
      <x:c r="E3459" s="19" t="str">
        <x:v>完成场景</x:v>
      </x:c>
      <x:c r="F3459" s="19" t="str">
        <x:v>4/6</x:v>
      </x:c>
      <x:c r="G3459" s="19" t="str">
        <x:v>质量/成本</x:v>
      </x:c>
      <x:c r="H3459" s="19" t="str">
        <x:v>D:/Codex/GRL研究/outputs/grid81/GRID81_report.md</x:v>
      </x:c>
    </x:row>
    <x:row r="3460" ht="36" customHeight="1">
      <x:c r="A3460" s="19" t="str">
        <x:v>GRID81</x:v>
      </x:c>
      <x:c r="B3460" s="19" t="str">
        <x:v>GRID81_report.md</x:v>
      </x:c>
      <x:c r="C3460" s="19" t="str">
        <x:v>1. GRID81：新场景确认与门控消融</x:v>
      </x:c>
      <x:c r="D3460" s="19" t="str">
        <x:v>方法=CONTEXT_GATE；质量通过场景=6/6</x:v>
      </x:c>
      <x:c r="E3460" s="19" t="str">
        <x:v>搜索查询合计（每场景只计一次）</x:v>
      </x:c>
      <x:c r="F3460" s="19" t="str">
        <x:v>10921</x:v>
      </x:c>
      <x:c r="G3460" s="19" t="str">
        <x:v>速度/计算</x:v>
      </x:c>
      <x:c r="H3460" s="19" t="str">
        <x:v>D:/Codex/GRL研究/outputs/grid81/GRID81_report.md</x:v>
      </x:c>
    </x:row>
    <x:row r="3461" ht="36" customHeight="1">
      <x:c r="A3461" s="19" t="str">
        <x:v>GRID81</x:v>
      </x:c>
      <x:c r="B3461" s="19" t="str">
        <x:v>GRID81_report.md</x:v>
      </x:c>
      <x:c r="C3461" s="19" t="str">
        <x:v>1. GRID81：新场景确认与门控消融</x:v>
      </x:c>
      <x:c r="D3461" s="19" t="str">
        <x:v>方法=CONTEXT_GATE；质量通过场景=6/6</x:v>
      </x:c>
      <x:c r="E3461" s="19" t="str">
        <x:v>控制秒/场景</x:v>
      </x:c>
      <x:c r="F3461" s="19" t="str">
        <x:v>47.983</x:v>
      </x:c>
      <x:c r="G3461" s="19" t="str">
        <x:v>速度/计算</x:v>
      </x:c>
      <x:c r="H3461" s="19" t="str">
        <x:v>D:/Codex/GRL研究/outputs/grid81/GRID81_report.md</x:v>
      </x:c>
    </x:row>
    <x:row r="3462" ht="36" customHeight="1">
      <x:c r="A3462" s="19" t="str">
        <x:v>GRID81</x:v>
      </x:c>
      <x:c r="B3462" s="19" t="str">
        <x:v>GRID81_report.md</x:v>
      </x:c>
      <x:c r="C3462" s="19" t="str">
        <x:v>1. GRID81：新场景确认与门控消融</x:v>
      </x:c>
      <x:c r="D3462" s="19" t="str">
        <x:v>方法=FRAME_GUARD；质量通过场景=6/6</x:v>
      </x:c>
      <x:c r="E3462" s="19" t="str">
        <x:v>质量通过场景</x:v>
      </x:c>
      <x:c r="F3462" s="19" t="str">
        <x:v>6/6</x:v>
      </x:c>
      <x:c r="G3462" s="19" t="str">
        <x:v>质量/成本</x:v>
      </x:c>
      <x:c r="H3462" s="19" t="str">
        <x:v>D:/Codex/GRL研究/outputs/grid81/GRID81_report.md</x:v>
      </x:c>
    </x:row>
    <x:row r="3463" ht="36" customHeight="1">
      <x:c r="A3463" s="19" t="str">
        <x:v>GRID81</x:v>
      </x:c>
      <x:c r="B3463" s="19" t="str">
        <x:v>GRID81_report.md</x:v>
      </x:c>
      <x:c r="C3463" s="19" t="str">
        <x:v>1. GRID81：新场景确认与门控消融</x:v>
      </x:c>
      <x:c r="D3463" s="19" t="str">
        <x:v>方法=FRAME_GUARD；质量通过场景=6/6</x:v>
      </x:c>
      <x:c r="E3463" s="19" t="str">
        <x:v>完成场景</x:v>
      </x:c>
      <x:c r="F3463" s="19" t="str">
        <x:v>4/6</x:v>
      </x:c>
      <x:c r="G3463" s="19" t="str">
        <x:v>质量/成本</x:v>
      </x:c>
      <x:c r="H3463" s="19" t="str">
        <x:v>D:/Codex/GRL研究/outputs/grid81/GRID81_report.md</x:v>
      </x:c>
    </x:row>
    <x:row r="3464" ht="36" customHeight="1">
      <x:c r="A3464" s="19" t="str">
        <x:v>GRID81</x:v>
      </x:c>
      <x:c r="B3464" s="19" t="str">
        <x:v>GRID81_report.md</x:v>
      </x:c>
      <x:c r="C3464" s="19" t="str">
        <x:v>1. GRID81：新场景确认与门控消融</x:v>
      </x:c>
      <x:c r="D3464" s="19" t="str">
        <x:v>方法=FRAME_GUARD；质量通过场景=6/6</x:v>
      </x:c>
      <x:c r="E3464" s="19" t="str">
        <x:v>搜索查询合计（每场景只计一次）</x:v>
      </x:c>
      <x:c r="F3464" s="19" t="str">
        <x:v>11526</x:v>
      </x:c>
      <x:c r="G3464" s="19" t="str">
        <x:v>速度/计算</x:v>
      </x:c>
      <x:c r="H3464" s="19" t="str">
        <x:v>D:/Codex/GRL研究/outputs/grid81/GRID81_report.md</x:v>
      </x:c>
    </x:row>
    <x:row r="3465" ht="36" customHeight="1">
      <x:c r="A3465" s="19" t="str">
        <x:v>GRID81</x:v>
      </x:c>
      <x:c r="B3465" s="19" t="str">
        <x:v>GRID81_report.md</x:v>
      </x:c>
      <x:c r="C3465" s="19" t="str">
        <x:v>1. GRID81：新场景确认与门控消融</x:v>
      </x:c>
      <x:c r="D3465" s="19" t="str">
        <x:v>方法=FRAME_GUARD；质量通过场景=6/6</x:v>
      </x:c>
      <x:c r="E3465" s="19" t="str">
        <x:v>控制秒/场景</x:v>
      </x:c>
      <x:c r="F3465" s="19" t="str">
        <x:v>47.990</x:v>
      </x:c>
      <x:c r="G3465" s="19" t="str">
        <x:v>速度/计算</x:v>
      </x:c>
      <x:c r="H3465" s="19" t="str">
        <x:v>D:/Codex/GRL研究/outputs/grid81/GRID81_report.md</x:v>
      </x:c>
    </x:row>
    <x:row r="3466" ht="36" customHeight="1">
      <x:c r="A3466" s="19" t="str">
        <x:v>GRID81</x:v>
      </x:c>
      <x:c r="B3466" s="19" t="str">
        <x:v>GRID81_report.md</x:v>
      </x:c>
      <x:c r="C3466" s="19" t="str">
        <x:v>1. GRID81：新场景确认与门控消融</x:v>
      </x:c>
      <x:c r="D3466" s="19" t="str">
        <x:v>方法=RANDOM_GATE0；质量通过场景=6/6</x:v>
      </x:c>
      <x:c r="E3466" s="19" t="str">
        <x:v>质量通过场景</x:v>
      </x:c>
      <x:c r="F3466" s="19" t="str">
        <x:v>6/6</x:v>
      </x:c>
      <x:c r="G3466" s="19" t="str">
        <x:v>质量/成本</x:v>
      </x:c>
      <x:c r="H3466" s="19" t="str">
        <x:v>D:/Codex/GRL研究/outputs/grid81/GRID81_report.md</x:v>
      </x:c>
    </x:row>
    <x:row r="3467" ht="36" customHeight="1">
      <x:c r="A3467" s="19" t="str">
        <x:v>GRID81</x:v>
      </x:c>
      <x:c r="B3467" s="19" t="str">
        <x:v>GRID81_report.md</x:v>
      </x:c>
      <x:c r="C3467" s="19" t="str">
        <x:v>1. GRID81：新场景确认与门控消融</x:v>
      </x:c>
      <x:c r="D3467" s="19" t="str">
        <x:v>方法=RANDOM_GATE0；质量通过场景=6/6</x:v>
      </x:c>
      <x:c r="E3467" s="19" t="str">
        <x:v>完成场景</x:v>
      </x:c>
      <x:c r="F3467" s="19" t="str">
        <x:v>4/6</x:v>
      </x:c>
      <x:c r="G3467" s="19" t="str">
        <x:v>质量/成本</x:v>
      </x:c>
      <x:c r="H3467" s="19" t="str">
        <x:v>D:/Codex/GRL研究/outputs/grid81/GRID81_report.md</x:v>
      </x:c>
    </x:row>
    <x:row r="3468" ht="36" customHeight="1">
      <x:c r="A3468" s="19" t="str">
        <x:v>GRID81</x:v>
      </x:c>
      <x:c r="B3468" s="19" t="str">
        <x:v>GRID81_report.md</x:v>
      </x:c>
      <x:c r="C3468" s="19" t="str">
        <x:v>1. GRID81：新场景确认与门控消融</x:v>
      </x:c>
      <x:c r="D3468" s="19" t="str">
        <x:v>方法=RANDOM_GATE0；质量通过场景=6/6</x:v>
      </x:c>
      <x:c r="E3468" s="19" t="str">
        <x:v>搜索查询合计（每场景只计一次）</x:v>
      </x:c>
      <x:c r="F3468" s="19" t="str">
        <x:v>11398</x:v>
      </x:c>
      <x:c r="G3468" s="19" t="str">
        <x:v>速度/计算</x:v>
      </x:c>
      <x:c r="H3468" s="19" t="str">
        <x:v>D:/Codex/GRL研究/outputs/grid81/GRID81_report.md</x:v>
      </x:c>
    </x:row>
    <x:row r="3469" ht="36" customHeight="1">
      <x:c r="A3469" s="19" t="str">
        <x:v>GRID81</x:v>
      </x:c>
      <x:c r="B3469" s="19" t="str">
        <x:v>GRID81_report.md</x:v>
      </x:c>
      <x:c r="C3469" s="19" t="str">
        <x:v>1. GRID81：新场景确认与门控消融</x:v>
      </x:c>
      <x:c r="D3469" s="19" t="str">
        <x:v>方法=RANDOM_GATE0；质量通过场景=6/6</x:v>
      </x:c>
      <x:c r="E3469" s="19" t="str">
        <x:v>控制秒/场景</x:v>
      </x:c>
      <x:c r="F3469" s="19" t="str">
        <x:v>48.159</x:v>
      </x:c>
      <x:c r="G3469" s="19" t="str">
        <x:v>速度/计算</x:v>
      </x:c>
      <x:c r="H3469" s="19" t="str">
        <x:v>D:/Codex/GRL研究/outputs/grid81/GRID81_report.md</x:v>
      </x:c>
    </x:row>
    <x:row r="3470" ht="36" customHeight="1">
      <x:c r="A3470" s="19" t="str">
        <x:v>GRID81</x:v>
      </x:c>
      <x:c r="B3470" s="19" t="str">
        <x:v>GRID81_report.md</x:v>
      </x:c>
      <x:c r="C3470" s="19" t="str">
        <x:v>1. GRID81：新场景确认与门控消融</x:v>
      </x:c>
      <x:c r="D3470" s="19" t="str">
        <x:v>方法=RANDOM_GATE1；质量通过场景=6/6</x:v>
      </x:c>
      <x:c r="E3470" s="19" t="str">
        <x:v>质量通过场景</x:v>
      </x:c>
      <x:c r="F3470" s="19" t="str">
        <x:v>6/6</x:v>
      </x:c>
      <x:c r="G3470" s="19" t="str">
        <x:v>质量/成本</x:v>
      </x:c>
      <x:c r="H3470" s="19" t="str">
        <x:v>D:/Codex/GRL研究/outputs/grid81/GRID81_report.md</x:v>
      </x:c>
    </x:row>
    <x:row r="3471" ht="36" customHeight="1">
      <x:c r="A3471" s="19" t="str">
        <x:v>GRID81</x:v>
      </x:c>
      <x:c r="B3471" s="19" t="str">
        <x:v>GRID81_report.md</x:v>
      </x:c>
      <x:c r="C3471" s="19" t="str">
        <x:v>1. GRID81：新场景确认与门控消融</x:v>
      </x:c>
      <x:c r="D3471" s="19" t="str">
        <x:v>方法=RANDOM_GATE1；质量通过场景=6/6</x:v>
      </x:c>
      <x:c r="E3471" s="19" t="str">
        <x:v>完成场景</x:v>
      </x:c>
      <x:c r="F3471" s="19" t="str">
        <x:v>4/6</x:v>
      </x:c>
      <x:c r="G3471" s="19" t="str">
        <x:v>质量/成本</x:v>
      </x:c>
      <x:c r="H3471" s="19" t="str">
        <x:v>D:/Codex/GRL研究/outputs/grid81/GRID81_report.md</x:v>
      </x:c>
    </x:row>
    <x:row r="3472" ht="36" customHeight="1">
      <x:c r="A3472" s="19" t="str">
        <x:v>GRID81</x:v>
      </x:c>
      <x:c r="B3472" s="19" t="str">
        <x:v>GRID81_report.md</x:v>
      </x:c>
      <x:c r="C3472" s="19" t="str">
        <x:v>1. GRID81：新场景确认与门控消融</x:v>
      </x:c>
      <x:c r="D3472" s="19" t="str">
        <x:v>方法=RANDOM_GATE1；质量通过场景=6/6</x:v>
      </x:c>
      <x:c r="E3472" s="19" t="str">
        <x:v>搜索查询合计（每场景只计一次）</x:v>
      </x:c>
      <x:c r="F3472" s="19" t="str">
        <x:v>11398</x:v>
      </x:c>
      <x:c r="G3472" s="19" t="str">
        <x:v>速度/计算</x:v>
      </x:c>
      <x:c r="H3472" s="19" t="str">
        <x:v>D:/Codex/GRL研究/outputs/grid81/GRID81_report.md</x:v>
      </x:c>
    </x:row>
    <x:row r="3473" ht="36" customHeight="1">
      <x:c r="A3473" s="19" t="str">
        <x:v>GRID81</x:v>
      </x:c>
      <x:c r="B3473" s="19" t="str">
        <x:v>GRID81_report.md</x:v>
      </x:c>
      <x:c r="C3473" s="19" t="str">
        <x:v>1. GRID81：新场景确认与门控消融</x:v>
      </x:c>
      <x:c r="D3473" s="19" t="str">
        <x:v>方法=RANDOM_GATE1；质量通过场景=6/6</x:v>
      </x:c>
      <x:c r="E3473" s="19" t="str">
        <x:v>控制秒/场景</x:v>
      </x:c>
      <x:c r="F3473" s="19" t="str">
        <x:v>48.039</x:v>
      </x:c>
      <x:c r="G3473" s="19" t="str">
        <x:v>速度/计算</x:v>
      </x:c>
      <x:c r="H3473" s="19" t="str">
        <x:v>D:/Codex/GRL研究/outputs/grid81/GRID81_report.md</x:v>
      </x:c>
    </x:row>
    <x:row r="3474" ht="36" customHeight="1">
      <x:c r="A3474" s="19" t="str">
        <x:v>GRID81</x:v>
      </x:c>
      <x:c r="B3474" s="19" t="str">
        <x:v>GRID81_report.md</x:v>
      </x:c>
      <x:c r="C3474" s="19" t="str">
        <x:v>2. GRID81：新场景确认与门控消融</x:v>
      </x:c>
      <x:c r="D3474" s="19" t="str">
        <x:v>门控相对参照=FULL；控制时间宏平均减少=+15.011%</x:v>
      </x:c>
      <x:c r="E3474" s="19" t="str">
        <x:v>控制时间宏平均减少</x:v>
      </x:c>
      <x:c r="F3474" s="19" t="str">
        <x:v>+15.011%</x:v>
      </x:c>
      <x:c r="G3474" s="19" t="str">
        <x:v>速度/计算</x:v>
      </x:c>
      <x:c r="H3474" s="19" t="str">
        <x:v>D:/Codex/GRL研究/outputs/grid81/GRID81_report.md</x:v>
      </x:c>
    </x:row>
    <x:row r="3475" ht="36" customHeight="1">
      <x:c r="A3475" s="19" t="str">
        <x:v>GRID81</x:v>
      </x:c>
      <x:c r="B3475" s="19" t="str">
        <x:v>GRID81_report.md</x:v>
      </x:c>
      <x:c r="C3475" s="19" t="str">
        <x:v>2. GRID81：新场景确认与门控消融</x:v>
      </x:c>
      <x:c r="D3475" s="19" t="str">
        <x:v>门控相对参照=FULL；控制时间宏平均减少=+15.011%</x:v>
      </x:c>
      <x:c r="E3475" s="19" t="str">
        <x:v>P95宏平均减少</x:v>
      </x:c>
      <x:c r="F3475" s="19" t="str">
        <x:v>+0.014%</x:v>
      </x:c>
      <x:c r="G3475" s="19" t="str">
        <x:v>速度/计算</x:v>
      </x:c>
      <x:c r="H3475" s="19" t="str">
        <x:v>D:/Codex/GRL研究/outputs/grid81/GRID81_report.md</x:v>
      </x:c>
    </x:row>
    <x:row r="3476" ht="36" customHeight="1">
      <x:c r="A3476" s="19" t="str">
        <x:v>GRID81</x:v>
      </x:c>
      <x:c r="B3476" s="19" t="str">
        <x:v>GRID81_report.md</x:v>
      </x:c>
      <x:c r="C3476" s="19" t="str">
        <x:v>2. GRID81：新场景确认与门控消融</x:v>
      </x:c>
      <x:c r="D3476" s="19" t="str">
        <x:v>门控相对参照=FULL；控制时间宏平均减少=+15.011%</x:v>
      </x:c>
      <x:c r="E3476" s="19" t="str">
        <x:v>同时域活跃搜索场景查询宏平均减少</x:v>
      </x:c>
      <x:c r="F3476" s="19" t="str">
        <x:v>+66.898%</x:v>
      </x:c>
      <x:c r="G3476" s="19" t="str">
        <x:v>速度/计算</x:v>
      </x:c>
      <x:c r="H3476" s="19" t="str">
        <x:v>D:/Codex/GRL研究/outputs/grid81/GRID81_report.md</x:v>
      </x:c>
    </x:row>
    <x:row r="3477" ht="36" customHeight="1">
      <x:c r="A3477" s="19" t="str">
        <x:v>GRID81</x:v>
      </x:c>
      <x:c r="B3477" s="19" t="str">
        <x:v>GRID81_report.md</x:v>
      </x:c>
      <x:c r="C3477" s="19" t="str">
        <x:v>2. GRID81：新场景确认与门控消融</x:v>
      </x:c>
      <x:c r="D3477" s="19" t="str">
        <x:v>门控相对参照=FULL；控制时间宏平均减少=+15.011%</x:v>
      </x:c>
      <x:c r="E3477" s="19" t="str">
        <x:v>两次计时分别</x:v>
      </x:c>
      <x:c r="F3477" s="19" t="str">
        <x:v>+16.105% / +13.863%</x:v>
      </x:c>
      <x:c r="G3477" s="19" t="str">
        <x:v>其他/配置</x:v>
      </x:c>
      <x:c r="H3477" s="19" t="str">
        <x:v>D:/Codex/GRL研究/outputs/grid81/GRID81_report.md</x:v>
      </x:c>
    </x:row>
    <x:row r="3478" ht="36" customHeight="1">
      <x:c r="A3478" s="19" t="str">
        <x:v>GRID81</x:v>
      </x:c>
      <x:c r="B3478" s="19" t="str">
        <x:v>GRID81_report.md</x:v>
      </x:c>
      <x:c r="C3478" s="19" t="str">
        <x:v>2. GRID81：新场景确认与门控消融</x:v>
      </x:c>
      <x:c r="D3478" s="19" t="str">
        <x:v>门控相对参照=FRAME_GUARD；控制时间宏平均减少=-0.040%</x:v>
      </x:c>
      <x:c r="E3478" s="19" t="str">
        <x:v>控制时间宏平均减少</x:v>
      </x:c>
      <x:c r="F3478" s="19" t="str">
        <x:v>-0.040%</x:v>
      </x:c>
      <x:c r="G3478" s="19" t="str">
        <x:v>速度/计算</x:v>
      </x:c>
      <x:c r="H3478" s="19" t="str">
        <x:v>D:/Codex/GRL研究/outputs/grid81/GRID81_report.md</x:v>
      </x:c>
    </x:row>
    <x:row r="3479" ht="36" customHeight="1">
      <x:c r="A3479" s="19" t="str">
        <x:v>GRID81</x:v>
      </x:c>
      <x:c r="B3479" s="19" t="str">
        <x:v>GRID81_report.md</x:v>
      </x:c>
      <x:c r="C3479" s="19" t="str">
        <x:v>2. GRID81：新场景确认与门控消融</x:v>
      </x:c>
      <x:c r="D3479" s="19" t="str">
        <x:v>门控相对参照=FRAME_GUARD；控制时间宏平均减少=-0.040%</x:v>
      </x:c>
      <x:c r="E3479" s="19" t="str">
        <x:v>P95宏平均减少</x:v>
      </x:c>
      <x:c r="F3479" s="19" t="str">
        <x:v>-0.617%</x:v>
      </x:c>
      <x:c r="G3479" s="19" t="str">
        <x:v>速度/计算</x:v>
      </x:c>
      <x:c r="H3479" s="19" t="str">
        <x:v>D:/Codex/GRL研究/outputs/grid81/GRID81_report.md</x:v>
      </x:c>
    </x:row>
    <x:row r="3480" ht="36" customHeight="1">
      <x:c r="A3480" s="19" t="str">
        <x:v>GRID81</x:v>
      </x:c>
      <x:c r="B3480" s="19" t="str">
        <x:v>GRID81_report.md</x:v>
      </x:c>
      <x:c r="C3480" s="19" t="str">
        <x:v>2. GRID81：新场景确认与门控消融</x:v>
      </x:c>
      <x:c r="D3480" s="19" t="str">
        <x:v>门控相对参照=FRAME_GUARD；控制时间宏平均减少=-0.040%</x:v>
      </x:c>
      <x:c r="E3480" s="19" t="str">
        <x:v>同时域活跃搜索场景查询宏平均减少</x:v>
      </x:c>
      <x:c r="F3480" s="19" t="str">
        <x:v>+4.925%</x:v>
      </x:c>
      <x:c r="G3480" s="19" t="str">
        <x:v>速度/计算</x:v>
      </x:c>
      <x:c r="H3480" s="19" t="str">
        <x:v>D:/Codex/GRL研究/outputs/grid81/GRID81_report.md</x:v>
      </x:c>
    </x:row>
    <x:row r="3481" ht="36" customHeight="1">
      <x:c r="A3481" s="19" t="str">
        <x:v>GRID81</x:v>
      </x:c>
      <x:c r="B3481" s="19" t="str">
        <x:v>GRID81_report.md</x:v>
      </x:c>
      <x:c r="C3481" s="19" t="str">
        <x:v>2. GRID81：新场景确认与门控消融</x:v>
      </x:c>
      <x:c r="D3481" s="19" t="str">
        <x:v>门控相对参照=FRAME_GUARD；控制时间宏平均减少=-0.040%</x:v>
      </x:c>
      <x:c r="E3481" s="19" t="str">
        <x:v>两次计时分别</x:v>
      </x:c>
      <x:c r="F3481" s="19" t="str">
        <x:v>+0.818% / -0.935%</x:v>
      </x:c>
      <x:c r="G3481" s="19" t="str">
        <x:v>其他/配置</x:v>
      </x:c>
      <x:c r="H3481" s="19" t="str">
        <x:v>D:/Codex/GRL研究/outputs/grid81/GRID81_report.md</x:v>
      </x:c>
    </x:row>
    <x:row r="3482" ht="36" customHeight="1">
      <x:c r="A3482" s="19" t="str">
        <x:v>GRID81</x:v>
      </x:c>
      <x:c r="B3482" s="19" t="str">
        <x:v>GRID81_report.md</x:v>
      </x:c>
      <x:c r="C3482" s="19" t="str">
        <x:v>2. GRID81：新场景确认与门控消融</x:v>
      </x:c>
      <x:c r="D3482" s="19" t="str">
        <x:v>门控相对参照=RANDOM_GATE0；控制时间宏平均减少=+0.299%</x:v>
      </x:c>
      <x:c r="E3482" s="19" t="str">
        <x:v>控制时间宏平均减少</x:v>
      </x:c>
      <x:c r="F3482" s="19" t="str">
        <x:v>+0.299%</x:v>
      </x:c>
      <x:c r="G3482" s="19" t="str">
        <x:v>速度/计算</x:v>
      </x:c>
      <x:c r="H3482" s="19" t="str">
        <x:v>D:/Codex/GRL研究/outputs/grid81/GRID81_report.md</x:v>
      </x:c>
    </x:row>
    <x:row r="3483" ht="36" customHeight="1">
      <x:c r="A3483" s="19" t="str">
        <x:v>GRID81</x:v>
      </x:c>
      <x:c r="B3483" s="19" t="str">
        <x:v>GRID81_report.md</x:v>
      </x:c>
      <x:c r="C3483" s="19" t="str">
        <x:v>2. GRID81：新场景确认与门控消融</x:v>
      </x:c>
      <x:c r="D3483" s="19" t="str">
        <x:v>门控相对参照=RANDOM_GATE0；控制时间宏平均减少=+0.299%</x:v>
      </x:c>
      <x:c r="E3483" s="19" t="str">
        <x:v>P95宏平均减少</x:v>
      </x:c>
      <x:c r="F3483" s="19" t="str">
        <x:v>+0.273%</x:v>
      </x:c>
      <x:c r="G3483" s="19" t="str">
        <x:v>速度/计算</x:v>
      </x:c>
      <x:c r="H3483" s="19" t="str">
        <x:v>D:/Codex/GRL研究/outputs/grid81/GRID81_report.md</x:v>
      </x:c>
    </x:row>
    <x:row r="3484" ht="36" customHeight="1">
      <x:c r="A3484" s="19" t="str">
        <x:v>GRID81</x:v>
      </x:c>
      <x:c r="B3484" s="19" t="str">
        <x:v>GRID81_report.md</x:v>
      </x:c>
      <x:c r="C3484" s="19" t="str">
        <x:v>2. GRID81：新场景确认与门控消融</x:v>
      </x:c>
      <x:c r="D3484" s="19" t="str">
        <x:v>门控相对参照=RANDOM_GATE0；控制时间宏平均减少=+0.299%</x:v>
      </x:c>
      <x:c r="E3484" s="19" t="str">
        <x:v>同时域活跃搜索场景查询宏平均减少</x:v>
      </x:c>
      <x:c r="F3484" s="19" t="str">
        <x:v>+2.513%</x:v>
      </x:c>
      <x:c r="G3484" s="19" t="str">
        <x:v>速度/计算</x:v>
      </x:c>
      <x:c r="H3484" s="19" t="str">
        <x:v>D:/Codex/GRL研究/outputs/grid81/GRID81_report.md</x:v>
      </x:c>
    </x:row>
    <x:row r="3485" ht="36" customHeight="1">
      <x:c r="A3485" s="19" t="str">
        <x:v>GRID81</x:v>
      </x:c>
      <x:c r="B3485" s="19" t="str">
        <x:v>GRID81_report.md</x:v>
      </x:c>
      <x:c r="C3485" s="19" t="str">
        <x:v>2. GRID81：新场景确认与门控消融</x:v>
      </x:c>
      <x:c r="D3485" s="19" t="str">
        <x:v>门控相对参照=RANDOM_GATE0；控制时间宏平均减少=+0.299%</x:v>
      </x:c>
      <x:c r="E3485" s="19" t="str">
        <x:v>两次计时分别</x:v>
      </x:c>
      <x:c r="F3485" s="19" t="str">
        <x:v>+1.662% / -1.138%</x:v>
      </x:c>
      <x:c r="G3485" s="19" t="str">
        <x:v>其他/配置</x:v>
      </x:c>
      <x:c r="H3485" s="19" t="str">
        <x:v>D:/Codex/GRL研究/outputs/grid81/GRID81_report.md</x:v>
      </x:c>
    </x:row>
    <x:row r="3486" ht="36" customHeight="1">
      <x:c r="A3486" s="19" t="str">
        <x:v>GRID81</x:v>
      </x:c>
      <x:c r="B3486" s="19" t="str">
        <x:v>GRID81_report.md</x:v>
      </x:c>
      <x:c r="C3486" s="19" t="str">
        <x:v>2. GRID81：新场景确认与门控消融</x:v>
      </x:c>
      <x:c r="D3486" s="19" t="str">
        <x:v>门控相对参照=RANDOM_GATE1；控制时间宏平均减少=+0.373%</x:v>
      </x:c>
      <x:c r="E3486" s="19" t="str">
        <x:v>控制时间宏平均减少</x:v>
      </x:c>
      <x:c r="F3486" s="19" t="str">
        <x:v>+0.373%</x:v>
      </x:c>
      <x:c r="G3486" s="19" t="str">
        <x:v>速度/计算</x:v>
      </x:c>
      <x:c r="H3486" s="19" t="str">
        <x:v>D:/Codex/GRL研究/outputs/grid81/GRID81_report.md</x:v>
      </x:c>
    </x:row>
    <x:row r="3487" ht="36" customHeight="1">
      <x:c r="A3487" s="19" t="str">
        <x:v>GRID81</x:v>
      </x:c>
      <x:c r="B3487" s="19" t="str">
        <x:v>GRID81_report.md</x:v>
      </x:c>
      <x:c r="C3487" s="19" t="str">
        <x:v>2. GRID81：新场景确认与门控消融</x:v>
      </x:c>
      <x:c r="D3487" s="19" t="str">
        <x:v>门控相对参照=RANDOM_GATE1；控制时间宏平均减少=+0.373%</x:v>
      </x:c>
      <x:c r="E3487" s="19" t="str">
        <x:v>P95宏平均减少</x:v>
      </x:c>
      <x:c r="F3487" s="19" t="str">
        <x:v>+0.401%</x:v>
      </x:c>
      <x:c r="G3487" s="19" t="str">
        <x:v>速度/计算</x:v>
      </x:c>
      <x:c r="H3487" s="19" t="str">
        <x:v>D:/Codex/GRL研究/outputs/grid81/GRID81_report.md</x:v>
      </x:c>
    </x:row>
    <x:row r="3488" ht="36" customHeight="1">
      <x:c r="A3488" s="19" t="str">
        <x:v>GRID81</x:v>
      </x:c>
      <x:c r="B3488" s="19" t="str">
        <x:v>GRID81_report.md</x:v>
      </x:c>
      <x:c r="C3488" s="19" t="str">
        <x:v>2. GRID81：新场景确认与门控消融</x:v>
      </x:c>
      <x:c r="D3488" s="19" t="str">
        <x:v>门控相对参照=RANDOM_GATE1；控制时间宏平均减少=+0.373%</x:v>
      </x:c>
      <x:c r="E3488" s="19" t="str">
        <x:v>同时域活跃搜索场景查询宏平均减少</x:v>
      </x:c>
      <x:c r="F3488" s="19" t="str">
        <x:v>+2.513%</x:v>
      </x:c>
      <x:c r="G3488" s="19" t="str">
        <x:v>速度/计算</x:v>
      </x:c>
      <x:c r="H3488" s="19" t="str">
        <x:v>D:/Codex/GRL研究/outputs/grid81/GRID81_report.md</x:v>
      </x:c>
    </x:row>
    <x:row r="3489" ht="36" customHeight="1">
      <x:c r="A3489" s="19" t="str">
        <x:v>GRID81</x:v>
      </x:c>
      <x:c r="B3489" s="19" t="str">
        <x:v>GRID81_report.md</x:v>
      </x:c>
      <x:c r="C3489" s="19" t="str">
        <x:v>2. GRID81：新场景确认与门控消融</x:v>
      </x:c>
      <x:c r="D3489" s="19" t="str">
        <x:v>门控相对参照=RANDOM_GATE1；控制时间宏平均减少=+0.373%</x:v>
      </x:c>
      <x:c r="E3489" s="19" t="str">
        <x:v>两次计时分别</x:v>
      </x:c>
      <x:c r="F3489" s="19" t="str">
        <x:v>+1.740% / -1.097%</x:v>
      </x:c>
      <x:c r="G3489" s="19" t="str">
        <x:v>其他/配置</x:v>
      </x:c>
      <x:c r="H3489" s="19" t="str">
        <x:v>D:/Codex/GRL研究/outputs/grid81/GRID81_report.md</x:v>
      </x:c>
    </x:row>
    <x:row r="3490" ht="36" customHeight="1">
      <x:c r="A3490" s="19" t="str">
        <x:v>GRID81</x:v>
      </x:c>
      <x:c r="B3490" s="19" t="str">
        <x:v>GRID81_report.md</x:v>
      </x:c>
      <x:c r="C3490" s="19" t="str">
        <x:v>3. 逐场景质量与时间</x:v>
      </x:c>
      <x:c r="D3490" s="19" t="str">
        <x:v>场景=2036-01-07_9；方法=FULL</x:v>
      </x:c>
      <x:c r="E3490" s="19" t="str">
        <x:v>方法</x:v>
      </x:c>
      <x:c r="F3490" s="19" t="str">
        <x:v>FULL</x:v>
      </x:c>
      <x:c r="G3490" s="19" t="str">
        <x:v>其他/配置</x:v>
      </x:c>
      <x:c r="H3490" s="19" t="str">
        <x:v>D:/Codex/GRL研究/outputs/grid81/GRID81_report.md</x:v>
      </x:c>
    </x:row>
    <x:row r="3491" ht="36" customHeight="1">
      <x:c r="A3491" s="19" t="str">
        <x:v>GRID81</x:v>
      </x:c>
      <x:c r="B3491" s="19" t="str">
        <x:v>GRID81_report.md</x:v>
      </x:c>
      <x:c r="C3491" s="19" t="str">
        <x:v>3. 逐场景质量与时间</x:v>
      </x:c>
      <x:c r="D3491" s="19" t="str">
        <x:v>场景=2036-01-07_9；方法=FULL</x:v>
      </x:c>
      <x:c r="E3491" s="19" t="str">
        <x:v>完成/步数</x:v>
      </x:c>
      <x:c r="F3491" s="19" t="str">
        <x:v>True/2017</x:v>
      </x:c>
      <x:c r="G3491" s="19" t="str">
        <x:v>质量/成本</x:v>
      </x:c>
      <x:c r="H3491" s="19" t="str">
        <x:v>D:/Codex/GRL研究/outputs/grid81/GRID81_report.md</x:v>
      </x:c>
    </x:row>
    <x:row r="3492" ht="36" customHeight="1">
      <x:c r="A3492" s="19" t="str">
        <x:v>GRID81</x:v>
      </x:c>
      <x:c r="B3492" s="19" t="str">
        <x:v>GRID81_report.md</x:v>
      </x:c>
      <x:c r="C3492" s="19" t="str">
        <x:v>3. 逐场景质量与时间</x:v>
      </x:c>
      <x:c r="D3492" s="19" t="str">
        <x:v>场景=2036-01-07_9；方法=FULL</x:v>
      </x:c>
      <x:c r="E3492" s="19" t="str">
        <x:v>完整周成本相对FULL</x:v>
      </x:c>
      <x:c r="F3492" s="19" t="str">
        <x:v>+0.0000%</x:v>
      </x:c>
      <x:c r="G3492" s="19" t="str">
        <x:v>质量/成本</x:v>
      </x:c>
      <x:c r="H3492" s="19" t="str">
        <x:v>D:/Codex/GRL研究/outputs/grid81/GRID81_report.md</x:v>
      </x:c>
    </x:row>
    <x:row r="3493" ht="36" customHeight="1">
      <x:c r="A3493" s="19" t="str">
        <x:v>GRID81</x:v>
      </x:c>
      <x:c r="B3493" s="19" t="str">
        <x:v>GRID81_report.md</x:v>
      </x:c>
      <x:c r="C3493" s="19" t="str">
        <x:v>3. 逐场景质量与时间</x:v>
      </x:c>
      <x:c r="D3493" s="19" t="str">
        <x:v>场景=2036-01-07_9；方法=FULL</x:v>
      </x:c>
      <x:c r="E3493" s="19" t="str">
        <x:v>查询</x:v>
      </x:c>
      <x:c r="F3493" s="19" t="str">
        <x:v>5445</x:v>
      </x:c>
      <x:c r="G3493" s="19" t="str">
        <x:v>速度/计算</x:v>
      </x:c>
      <x:c r="H3493" s="19" t="str">
        <x:v>D:/Codex/GRL研究/outputs/grid81/GRID81_report.md</x:v>
      </x:c>
    </x:row>
    <x:row r="3494" ht="36" customHeight="1">
      <x:c r="A3494" s="19" t="str">
        <x:v>GRID81</x:v>
      </x:c>
      <x:c r="B3494" s="19" t="str">
        <x:v>GRID81_report.md</x:v>
      </x:c>
      <x:c r="C3494" s="19" t="str">
        <x:v>3. 逐场景质量与时间</x:v>
      </x:c>
      <x:c r="D3494" s="19" t="str">
        <x:v>场景=2036-01-07_9；方法=FULL</x:v>
      </x:c>
      <x:c r="E3494" s="19" t="str">
        <x:v>控制秒，两次范围</x:v>
      </x:c>
      <x:c r="F3494" s="19" t="str">
        <x:v>90.721 [89.688, 91.753]</x:v>
      </x:c>
      <x:c r="G3494" s="19" t="str">
        <x:v>速度/计算</x:v>
      </x:c>
      <x:c r="H3494" s="19" t="str">
        <x:v>D:/Codex/GRL研究/outputs/grid81/GRID81_report.md</x:v>
      </x:c>
    </x:row>
    <x:row r="3495" ht="36" customHeight="1">
      <x:c r="A3495" s="19" t="str">
        <x:v>GRID81</x:v>
      </x:c>
      <x:c r="B3495" s="19" t="str">
        <x:v>GRID81_report.md</x:v>
      </x:c>
      <x:c r="C3495" s="19" t="str">
        <x:v>3. 逐场景质量与时间</x:v>
      </x:c>
      <x:c r="D3495" s="19" t="str">
        <x:v>场景=2036-01-07_9；方法=CONTEXT_GATE</x:v>
      </x:c>
      <x:c r="E3495" s="19" t="str">
        <x:v>方法</x:v>
      </x:c>
      <x:c r="F3495" s="19" t="str">
        <x:v>CONTEXT_GATE</x:v>
      </x:c>
      <x:c r="G3495" s="19" t="str">
        <x:v>其他/配置</x:v>
      </x:c>
      <x:c r="H3495" s="19" t="str">
        <x:v>D:/Codex/GRL研究/outputs/grid81/GRID81_report.md</x:v>
      </x:c>
    </x:row>
    <x:row r="3496" ht="36" customHeight="1">
      <x:c r="A3496" s="19" t="str">
        <x:v>GRID81</x:v>
      </x:c>
      <x:c r="B3496" s="19" t="str">
        <x:v>GRID81_report.md</x:v>
      </x:c>
      <x:c r="C3496" s="19" t="str">
        <x:v>3. 逐场景质量与时间</x:v>
      </x:c>
      <x:c r="D3496" s="19" t="str">
        <x:v>场景=2036-01-07_9；方法=CONTEXT_GATE</x:v>
      </x:c>
      <x:c r="E3496" s="19" t="str">
        <x:v>完成/步数</x:v>
      </x:c>
      <x:c r="F3496" s="19" t="str">
        <x:v>True/2017</x:v>
      </x:c>
      <x:c r="G3496" s="19" t="str">
        <x:v>质量/成本</x:v>
      </x:c>
      <x:c r="H3496" s="19" t="str">
        <x:v>D:/Codex/GRL研究/outputs/grid81/GRID81_report.md</x:v>
      </x:c>
    </x:row>
    <x:row r="3497" ht="36" customHeight="1">
      <x:c r="A3497" s="19" t="str">
        <x:v>GRID81</x:v>
      </x:c>
      <x:c r="B3497" s="19" t="str">
        <x:v>GRID81_report.md</x:v>
      </x:c>
      <x:c r="C3497" s="19" t="str">
        <x:v>3. 逐场景质量与时间</x:v>
      </x:c>
      <x:c r="D3497" s="19" t="str">
        <x:v>场景=2036-01-07_9；方法=CONTEXT_GATE</x:v>
      </x:c>
      <x:c r="E3497" s="19" t="str">
        <x:v>完整周成本相对FULL</x:v>
      </x:c>
      <x:c r="F3497" s="19" t="str">
        <x:v>+0.0866%</x:v>
      </x:c>
      <x:c r="G3497" s="19" t="str">
        <x:v>质量/成本</x:v>
      </x:c>
      <x:c r="H3497" s="19" t="str">
        <x:v>D:/Codex/GRL研究/outputs/grid81/GRID81_report.md</x:v>
      </x:c>
    </x:row>
    <x:row r="3498" ht="36" customHeight="1">
      <x:c r="A3498" s="19" t="str">
        <x:v>GRID81</x:v>
      </x:c>
      <x:c r="B3498" s="19" t="str">
        <x:v>GRID81_report.md</x:v>
      </x:c>
      <x:c r="C3498" s="19" t="str">
        <x:v>3. 逐场景质量与时间</x:v>
      </x:c>
      <x:c r="D3498" s="19" t="str">
        <x:v>场景=2036-01-07_9；方法=CONTEXT_GATE</x:v>
      </x:c>
      <x:c r="E3498" s="19" t="str">
        <x:v>查询</x:v>
      </x:c>
      <x:c r="F3498" s="19" t="str">
        <x:v>1432</x:v>
      </x:c>
      <x:c r="G3498" s="19" t="str">
        <x:v>速度/计算</x:v>
      </x:c>
      <x:c r="H3498" s="19" t="str">
        <x:v>D:/Codex/GRL研究/outputs/grid81/GRID81_report.md</x:v>
      </x:c>
    </x:row>
    <x:row r="3499" ht="36" customHeight="1">
      <x:c r="A3499" s="19" t="str">
        <x:v>GRID81</x:v>
      </x:c>
      <x:c r="B3499" s="19" t="str">
        <x:v>GRID81_report.md</x:v>
      </x:c>
      <x:c r="C3499" s="19" t="str">
        <x:v>3. 逐场景质量与时间</x:v>
      </x:c>
      <x:c r="D3499" s="19" t="str">
        <x:v>场景=2036-01-07_9；方法=CONTEXT_GATE</x:v>
      </x:c>
      <x:c r="E3499" s="19" t="str">
        <x:v>控制秒，两次范围</x:v>
      </x:c>
      <x:c r="F3499" s="19" t="str">
        <x:v>81.981 [81.007, 82.955]</x:v>
      </x:c>
      <x:c r="G3499" s="19" t="str">
        <x:v>速度/计算</x:v>
      </x:c>
      <x:c r="H3499" s="19" t="str">
        <x:v>D:/Codex/GRL研究/outputs/grid81/GRID81_report.md</x:v>
      </x:c>
    </x:row>
    <x:row r="3500" ht="36" customHeight="1">
      <x:c r="A3500" s="19" t="str">
        <x:v>GRID81</x:v>
      </x:c>
      <x:c r="B3500" s="19" t="str">
        <x:v>GRID81_report.md</x:v>
      </x:c>
      <x:c r="C3500" s="19" t="str">
        <x:v>3. 逐场景质量与时间</x:v>
      </x:c>
      <x:c r="D3500" s="19" t="str">
        <x:v>场景=2036-01-07_9；方法=FRAME_GUARD</x:v>
      </x:c>
      <x:c r="E3500" s="19" t="str">
        <x:v>方法</x:v>
      </x:c>
      <x:c r="F3500" s="19" t="str">
        <x:v>FRAME_GUARD</x:v>
      </x:c>
      <x:c r="G3500" s="19" t="str">
        <x:v>其他/配置</x:v>
      </x:c>
      <x:c r="H3500" s="19" t="str">
        <x:v>D:/Codex/GRL研究/outputs/grid81/GRID81_report.md</x:v>
      </x:c>
    </x:row>
    <x:row r="3501" ht="36" customHeight="1">
      <x:c r="A3501" s="19" t="str">
        <x:v>GRID81</x:v>
      </x:c>
      <x:c r="B3501" s="19" t="str">
        <x:v>GRID81_report.md</x:v>
      </x:c>
      <x:c r="C3501" s="19" t="str">
        <x:v>3. 逐场景质量与时间</x:v>
      </x:c>
      <x:c r="D3501" s="19" t="str">
        <x:v>场景=2036-01-07_9；方法=FRAME_GUARD</x:v>
      </x:c>
      <x:c r="E3501" s="19" t="str">
        <x:v>完成/步数</x:v>
      </x:c>
      <x:c r="F3501" s="19" t="str">
        <x:v>True/2017</x:v>
      </x:c>
      <x:c r="G3501" s="19" t="str">
        <x:v>质量/成本</x:v>
      </x:c>
      <x:c r="H3501" s="19" t="str">
        <x:v>D:/Codex/GRL研究/outputs/grid81/GRID81_report.md</x:v>
      </x:c>
    </x:row>
    <x:row r="3502" ht="36" customHeight="1">
      <x:c r="A3502" s="19" t="str">
        <x:v>GRID81</x:v>
      </x:c>
      <x:c r="B3502" s="19" t="str">
        <x:v>GRID81_report.md</x:v>
      </x:c>
      <x:c r="C3502" s="19" t="str">
        <x:v>3. 逐场景质量与时间</x:v>
      </x:c>
      <x:c r="D3502" s="19" t="str">
        <x:v>场景=2036-01-07_9；方法=FRAME_GUARD</x:v>
      </x:c>
      <x:c r="E3502" s="19" t="str">
        <x:v>完整周成本相对FULL</x:v>
      </x:c>
      <x:c r="F3502" s="19" t="str">
        <x:v>+0.0866%</x:v>
      </x:c>
      <x:c r="G3502" s="19" t="str">
        <x:v>质量/成本</x:v>
      </x:c>
      <x:c r="H3502" s="19" t="str">
        <x:v>D:/Codex/GRL研究/outputs/grid81/GRID81_report.md</x:v>
      </x:c>
    </x:row>
    <x:row r="3503" ht="36" customHeight="1">
      <x:c r="A3503" s="19" t="str">
        <x:v>GRID81</x:v>
      </x:c>
      <x:c r="B3503" s="19" t="str">
        <x:v>GRID81_report.md</x:v>
      </x:c>
      <x:c r="C3503" s="19" t="str">
        <x:v>3. 逐场景质量与时间</x:v>
      </x:c>
      <x:c r="D3503" s="19" t="str">
        <x:v>场景=2036-01-07_9；方法=FRAME_GUARD</x:v>
      </x:c>
      <x:c r="E3503" s="19" t="str">
        <x:v>查询</x:v>
      </x:c>
      <x:c r="F3503" s="19" t="str">
        <x:v>1432</x:v>
      </x:c>
      <x:c r="G3503" s="19" t="str">
        <x:v>速度/计算</x:v>
      </x:c>
      <x:c r="H3503" s="19" t="str">
        <x:v>D:/Codex/GRL研究/outputs/grid81/GRID81_report.md</x:v>
      </x:c>
    </x:row>
    <x:row r="3504" ht="36" customHeight="1">
      <x:c r="A3504" s="19" t="str">
        <x:v>GRID81</x:v>
      </x:c>
      <x:c r="B3504" s="19" t="str">
        <x:v>GRID81_report.md</x:v>
      </x:c>
      <x:c r="C3504" s="19" t="str">
        <x:v>3. 逐场景质量与时间</x:v>
      </x:c>
      <x:c r="D3504" s="19" t="str">
        <x:v>场景=2036-01-07_9；方法=FRAME_GUARD</x:v>
      </x:c>
      <x:c r="E3504" s="19" t="str">
        <x:v>控制秒，两次范围</x:v>
      </x:c>
      <x:c r="F3504" s="19" t="str">
        <x:v>82.773 [81.030, 84.515]</x:v>
      </x:c>
      <x:c r="G3504" s="19" t="str">
        <x:v>速度/计算</x:v>
      </x:c>
      <x:c r="H3504" s="19" t="str">
        <x:v>D:/Codex/GRL研究/outputs/grid81/GRID81_report.md</x:v>
      </x:c>
    </x:row>
    <x:row r="3505" ht="36" customHeight="1">
      <x:c r="A3505" s="19" t="str">
        <x:v>GRID81</x:v>
      </x:c>
      <x:c r="B3505" s="19" t="str">
        <x:v>GRID81_report.md</x:v>
      </x:c>
      <x:c r="C3505" s="19" t="str">
        <x:v>3. 逐场景质量与时间</x:v>
      </x:c>
      <x:c r="D3505" s="19" t="str">
        <x:v>场景=2036-01-07_9；方法=RANDOM_GATE0</x:v>
      </x:c>
      <x:c r="E3505" s="19" t="str">
        <x:v>方法</x:v>
      </x:c>
      <x:c r="F3505" s="19" t="str">
        <x:v>RANDOM_GATE0</x:v>
      </x:c>
      <x:c r="G3505" s="19" t="str">
        <x:v>其他/配置</x:v>
      </x:c>
      <x:c r="H3505" s="19" t="str">
        <x:v>D:/Codex/GRL研究/outputs/grid81/GRID81_report.md</x:v>
      </x:c>
    </x:row>
    <x:row r="3506" ht="36" customHeight="1">
      <x:c r="A3506" s="19" t="str">
        <x:v>GRID81</x:v>
      </x:c>
      <x:c r="B3506" s="19" t="str">
        <x:v>GRID81_report.md</x:v>
      </x:c>
      <x:c r="C3506" s="19" t="str">
        <x:v>3. 逐场景质量与时间</x:v>
      </x:c>
      <x:c r="D3506" s="19" t="str">
        <x:v>场景=2036-01-07_9；方法=RANDOM_GATE0</x:v>
      </x:c>
      <x:c r="E3506" s="19" t="str">
        <x:v>完成/步数</x:v>
      </x:c>
      <x:c r="F3506" s="19" t="str">
        <x:v>True/2017</x:v>
      </x:c>
      <x:c r="G3506" s="19" t="str">
        <x:v>质量/成本</x:v>
      </x:c>
      <x:c r="H3506" s="19" t="str">
        <x:v>D:/Codex/GRL研究/outputs/grid81/GRID81_report.md</x:v>
      </x:c>
    </x:row>
    <x:row r="3507" ht="36" customHeight="1">
      <x:c r="A3507" s="19" t="str">
        <x:v>GRID81</x:v>
      </x:c>
      <x:c r="B3507" s="19" t="str">
        <x:v>GRID81_report.md</x:v>
      </x:c>
      <x:c r="C3507" s="19" t="str">
        <x:v>3. 逐场景质量与时间</x:v>
      </x:c>
      <x:c r="D3507" s="19" t="str">
        <x:v>场景=2036-01-07_9；方法=RANDOM_GATE0</x:v>
      </x:c>
      <x:c r="E3507" s="19" t="str">
        <x:v>完整周成本相对FULL</x:v>
      </x:c>
      <x:c r="F3507" s="19" t="str">
        <x:v>+0.0866%</x:v>
      </x:c>
      <x:c r="G3507" s="19" t="str">
        <x:v>质量/成本</x:v>
      </x:c>
      <x:c r="H3507" s="19" t="str">
        <x:v>D:/Codex/GRL研究/outputs/grid81/GRID81_report.md</x:v>
      </x:c>
    </x:row>
    <x:row r="3508" ht="36" customHeight="1">
      <x:c r="A3508" s="19" t="str">
        <x:v>GRID81</x:v>
      </x:c>
      <x:c r="B3508" s="19" t="str">
        <x:v>GRID81_report.md</x:v>
      </x:c>
      <x:c r="C3508" s="19" t="str">
        <x:v>3. 逐场景质量与时间</x:v>
      </x:c>
      <x:c r="D3508" s="19" t="str">
        <x:v>场景=2036-01-07_9；方法=RANDOM_GATE0</x:v>
      </x:c>
      <x:c r="E3508" s="19" t="str">
        <x:v>查询</x:v>
      </x:c>
      <x:c r="F3508" s="19" t="str">
        <x:v>1432</x:v>
      </x:c>
      <x:c r="G3508" s="19" t="str">
        <x:v>速度/计算</x:v>
      </x:c>
      <x:c r="H3508" s="19" t="str">
        <x:v>D:/Codex/GRL研究/outputs/grid81/GRID81_report.md</x:v>
      </x:c>
    </x:row>
    <x:row r="3509" ht="36" customHeight="1">
      <x:c r="A3509" s="19" t="str">
        <x:v>GRID81</x:v>
      </x:c>
      <x:c r="B3509" s="19" t="str">
        <x:v>GRID81_report.md</x:v>
      </x:c>
      <x:c r="C3509" s="19" t="str">
        <x:v>3. 逐场景质量与时间</x:v>
      </x:c>
      <x:c r="D3509" s="19" t="str">
        <x:v>场景=2036-01-07_9；方法=RANDOM_GATE0</x:v>
      </x:c>
      <x:c r="E3509" s="19" t="str">
        <x:v>控制秒，两次范围</x:v>
      </x:c>
      <x:c r="F3509" s="19" t="str">
        <x:v>82.741 [81.285, 84.197]</x:v>
      </x:c>
      <x:c r="G3509" s="19" t="str">
        <x:v>速度/计算</x:v>
      </x:c>
      <x:c r="H3509" s="19" t="str">
        <x:v>D:/Codex/GRL研究/outputs/grid81/GRID81_report.md</x:v>
      </x:c>
    </x:row>
    <x:row r="3510" ht="36" customHeight="1">
      <x:c r="A3510" s="19" t="str">
        <x:v>GRID81</x:v>
      </x:c>
      <x:c r="B3510" s="19" t="str">
        <x:v>GRID81_report.md</x:v>
      </x:c>
      <x:c r="C3510" s="19" t="str">
        <x:v>3. 逐场景质量与时间</x:v>
      </x:c>
      <x:c r="D3510" s="19" t="str">
        <x:v>场景=2036-01-07_9；方法=RANDOM_GATE1</x:v>
      </x:c>
      <x:c r="E3510" s="19" t="str">
        <x:v>方法</x:v>
      </x:c>
      <x:c r="F3510" s="19" t="str">
        <x:v>RANDOM_GATE1</x:v>
      </x:c>
      <x:c r="G3510" s="19" t="str">
        <x:v>其他/配置</x:v>
      </x:c>
      <x:c r="H3510" s="19" t="str">
        <x:v>D:/Codex/GRL研究/outputs/grid81/GRID81_report.md</x:v>
      </x:c>
    </x:row>
    <x:row r="3511" ht="36" customHeight="1">
      <x:c r="A3511" s="19" t="str">
        <x:v>GRID81</x:v>
      </x:c>
      <x:c r="B3511" s="19" t="str">
        <x:v>GRID81_report.md</x:v>
      </x:c>
      <x:c r="C3511" s="19" t="str">
        <x:v>3. 逐场景质量与时间</x:v>
      </x:c>
      <x:c r="D3511" s="19" t="str">
        <x:v>场景=2036-01-07_9；方法=RANDOM_GATE1</x:v>
      </x:c>
      <x:c r="E3511" s="19" t="str">
        <x:v>完成/步数</x:v>
      </x:c>
      <x:c r="F3511" s="19" t="str">
        <x:v>True/2017</x:v>
      </x:c>
      <x:c r="G3511" s="19" t="str">
        <x:v>质量/成本</x:v>
      </x:c>
      <x:c r="H3511" s="19" t="str">
        <x:v>D:/Codex/GRL研究/outputs/grid81/GRID81_report.md</x:v>
      </x:c>
    </x:row>
    <x:row r="3512" ht="36" customHeight="1">
      <x:c r="A3512" s="19" t="str">
        <x:v>GRID81</x:v>
      </x:c>
      <x:c r="B3512" s="19" t="str">
        <x:v>GRID81_report.md</x:v>
      </x:c>
      <x:c r="C3512" s="19" t="str">
        <x:v>3. 逐场景质量与时间</x:v>
      </x:c>
      <x:c r="D3512" s="19" t="str">
        <x:v>场景=2036-01-07_9；方法=RANDOM_GATE1</x:v>
      </x:c>
      <x:c r="E3512" s="19" t="str">
        <x:v>完整周成本相对FULL</x:v>
      </x:c>
      <x:c r="F3512" s="19" t="str">
        <x:v>+0.0866%</x:v>
      </x:c>
      <x:c r="G3512" s="19" t="str">
        <x:v>质量/成本</x:v>
      </x:c>
      <x:c r="H3512" s="19" t="str">
        <x:v>D:/Codex/GRL研究/outputs/grid81/GRID81_report.md</x:v>
      </x:c>
    </x:row>
    <x:row r="3513" ht="36" customHeight="1">
      <x:c r="A3513" s="19" t="str">
        <x:v>GRID81</x:v>
      </x:c>
      <x:c r="B3513" s="19" t="str">
        <x:v>GRID81_report.md</x:v>
      </x:c>
      <x:c r="C3513" s="19" t="str">
        <x:v>3. 逐场景质量与时间</x:v>
      </x:c>
      <x:c r="D3513" s="19" t="str">
        <x:v>场景=2036-01-07_9；方法=RANDOM_GATE1</x:v>
      </x:c>
      <x:c r="E3513" s="19" t="str">
        <x:v>查询</x:v>
      </x:c>
      <x:c r="F3513" s="19" t="str">
        <x:v>1432</x:v>
      </x:c>
      <x:c r="G3513" s="19" t="str">
        <x:v>速度/计算</x:v>
      </x:c>
      <x:c r="H3513" s="19" t="str">
        <x:v>D:/Codex/GRL研究/outputs/grid81/GRID81_report.md</x:v>
      </x:c>
    </x:row>
    <x:row r="3514" ht="36" customHeight="1">
      <x:c r="A3514" s="19" t="str">
        <x:v>GRID81</x:v>
      </x:c>
      <x:c r="B3514" s="19" t="str">
        <x:v>GRID81_report.md</x:v>
      </x:c>
      <x:c r="C3514" s="19" t="str">
        <x:v>3. 逐场景质量与时间</x:v>
      </x:c>
      <x:c r="D3514" s="19" t="str">
        <x:v>场景=2036-01-07_9；方法=RANDOM_GATE1</x:v>
      </x:c>
      <x:c r="E3514" s="19" t="str">
        <x:v>控制秒，两次范围</x:v>
      </x:c>
      <x:c r="F3514" s="19" t="str">
        <x:v>82.303 [81.040, 83.566]</x:v>
      </x:c>
      <x:c r="G3514" s="19" t="str">
        <x:v>速度/计算</x:v>
      </x:c>
      <x:c r="H3514" s="19" t="str">
        <x:v>D:/Codex/GRL研究/outputs/grid81/GRID81_report.md</x:v>
      </x:c>
    </x:row>
    <x:row r="3515" ht="36" customHeight="1">
      <x:c r="A3515" s="19" t="str">
        <x:v>GRID81</x:v>
      </x:c>
      <x:c r="B3515" s="19" t="str">
        <x:v>GRID81_report.md</x:v>
      </x:c>
      <x:c r="C3515" s="19" t="str">
        <x:v>3. 逐场景质量与时间</x:v>
      </x:c>
      <x:c r="D3515" s="19" t="str">
        <x:v>场景=2036-03-03_9；方法=FULL</x:v>
      </x:c>
      <x:c r="E3515" s="19" t="str">
        <x:v>方法</x:v>
      </x:c>
      <x:c r="F3515" s="19" t="str">
        <x:v>FULL</x:v>
      </x:c>
      <x:c r="G3515" s="19" t="str">
        <x:v>其他/配置</x:v>
      </x:c>
      <x:c r="H3515" s="19" t="str">
        <x:v>D:/Codex/GRL研究/outputs/grid81/GRID81_report.md</x:v>
      </x:c>
    </x:row>
    <x:row r="3516" ht="36" customHeight="1">
      <x:c r="A3516" s="19" t="str">
        <x:v>GRID81</x:v>
      </x:c>
      <x:c r="B3516" s="19" t="str">
        <x:v>GRID81_report.md</x:v>
      </x:c>
      <x:c r="C3516" s="19" t="str">
        <x:v>3. 逐场景质量与时间</x:v>
      </x:c>
      <x:c r="D3516" s="19" t="str">
        <x:v>场景=2036-03-03_9；方法=FULL</x:v>
      </x:c>
      <x:c r="E3516" s="19" t="str">
        <x:v>完成/步数</x:v>
      </x:c>
      <x:c r="F3516" s="19" t="str">
        <x:v>False/1720</x:v>
      </x:c>
      <x:c r="G3516" s="19" t="str">
        <x:v>质量/成本</x:v>
      </x:c>
      <x:c r="H3516" s="19" t="str">
        <x:v>D:/Codex/GRL研究/outputs/grid81/GRID81_report.md</x:v>
      </x:c>
    </x:row>
    <x:row r="3517" ht="36" customHeight="1">
      <x:c r="A3517" s="19" t="str">
        <x:v>GRID81</x:v>
      </x:c>
      <x:c r="B3517" s="19" t="str">
        <x:v>GRID81_report.md</x:v>
      </x:c>
      <x:c r="C3517" s="19" t="str">
        <x:v>3. 逐场景质量与时间</x:v>
      </x:c>
      <x:c r="D3517" s="19" t="str">
        <x:v>场景=2036-03-03_9；方法=FULL</x:v>
      </x:c>
      <x:c r="E3517" s="19" t="str">
        <x:v>完整周成本相对FULL</x:v>
      </x:c>
      <x:c r="F3517" s="19" t="str">
        <x:v>不同完成条件，不作成本比</x:v>
      </x:c>
      <x:c r="G3517" s="19" t="str">
        <x:v>质量/成本</x:v>
      </x:c>
      <x:c r="H3517" s="19" t="str">
        <x:v>D:/Codex/GRL研究/outputs/grid81/GRID81_report.md</x:v>
      </x:c>
    </x:row>
    <x:row r="3518" ht="36" customHeight="1">
      <x:c r="A3518" s="19" t="str">
        <x:v>GRID81</x:v>
      </x:c>
      <x:c r="B3518" s="19" t="str">
        <x:v>GRID81_report.md</x:v>
      </x:c>
      <x:c r="C3518" s="19" t="str">
        <x:v>3. 逐场景质量与时间</x:v>
      </x:c>
      <x:c r="D3518" s="19" t="str">
        <x:v>场景=2036-03-03_9；方法=FULL</x:v>
      </x:c>
      <x:c r="E3518" s="19" t="str">
        <x:v>查询</x:v>
      </x:c>
      <x:c r="F3518" s="19" t="str">
        <x:v>8173</x:v>
      </x:c>
      <x:c r="G3518" s="19" t="str">
        <x:v>速度/计算</x:v>
      </x:c>
      <x:c r="H3518" s="19" t="str">
        <x:v>D:/Codex/GRL研究/outputs/grid81/GRID81_report.md</x:v>
      </x:c>
    </x:row>
    <x:row r="3519" ht="36" customHeight="1">
      <x:c r="A3519" s="19" t="str">
        <x:v>GRID81</x:v>
      </x:c>
      <x:c r="B3519" s="19" t="str">
        <x:v>GRID81_report.md</x:v>
      </x:c>
      <x:c r="C3519" s="19" t="str">
        <x:v>3. 逐场景质量与时间</x:v>
      </x:c>
      <x:c r="D3519" s="19" t="str">
        <x:v>场景=2036-03-03_9；方法=FULL</x:v>
      </x:c>
      <x:c r="E3519" s="19" t="str">
        <x:v>控制秒，两次范围</x:v>
      </x:c>
      <x:c r="F3519" s="19" t="str">
        <x:v>81.032 [78.362, 83.701]</x:v>
      </x:c>
      <x:c r="G3519" s="19" t="str">
        <x:v>速度/计算</x:v>
      </x:c>
      <x:c r="H3519" s="19" t="str">
        <x:v>D:/Codex/GRL研究/outputs/grid81/GRID81_report.md</x:v>
      </x:c>
    </x:row>
    <x:row r="3520" ht="36" customHeight="1">
      <x:c r="A3520" s="19" t="str">
        <x:v>GRID81</x:v>
      </x:c>
      <x:c r="B3520" s="19" t="str">
        <x:v>GRID81_report.md</x:v>
      </x:c>
      <x:c r="C3520" s="19" t="str">
        <x:v>3. 逐场景质量与时间</x:v>
      </x:c>
      <x:c r="D3520" s="19" t="str">
        <x:v>场景=2036-03-03_9；方法=CONTEXT_GATE</x:v>
      </x:c>
      <x:c r="E3520" s="19" t="str">
        <x:v>方法</x:v>
      </x:c>
      <x:c r="F3520" s="19" t="str">
        <x:v>CONTEXT_GATE</x:v>
      </x:c>
      <x:c r="G3520" s="19" t="str">
        <x:v>其他/配置</x:v>
      </x:c>
      <x:c r="H3520" s="19" t="str">
        <x:v>D:/Codex/GRL研究/outputs/grid81/GRID81_report.md</x:v>
      </x:c>
    </x:row>
    <x:row r="3521" ht="36" customHeight="1">
      <x:c r="A3521" s="19" t="str">
        <x:v>GRID81</x:v>
      </x:c>
      <x:c r="B3521" s="19" t="str">
        <x:v>GRID81_report.md</x:v>
      </x:c>
      <x:c r="C3521" s="19" t="str">
        <x:v>3. 逐场景质量与时间</x:v>
      </x:c>
      <x:c r="D3521" s="19" t="str">
        <x:v>场景=2036-03-03_9；方法=CONTEXT_GATE</x:v>
      </x:c>
      <x:c r="E3521" s="19" t="str">
        <x:v>完成/步数</x:v>
      </x:c>
      <x:c r="F3521" s="19" t="str">
        <x:v>False/1720</x:v>
      </x:c>
      <x:c r="G3521" s="19" t="str">
        <x:v>质量/成本</x:v>
      </x:c>
      <x:c r="H3521" s="19" t="str">
        <x:v>D:/Codex/GRL研究/outputs/grid81/GRID81_report.md</x:v>
      </x:c>
    </x:row>
    <x:row r="3522" ht="36" customHeight="1">
      <x:c r="A3522" s="19" t="str">
        <x:v>GRID81</x:v>
      </x:c>
      <x:c r="B3522" s="19" t="str">
        <x:v>GRID81_report.md</x:v>
      </x:c>
      <x:c r="C3522" s="19" t="str">
        <x:v>3. 逐场景质量与时间</x:v>
      </x:c>
      <x:c r="D3522" s="19" t="str">
        <x:v>场景=2036-03-03_9；方法=CONTEXT_GATE</x:v>
      </x:c>
      <x:c r="E3522" s="19" t="str">
        <x:v>完整周成本相对FULL</x:v>
      </x:c>
      <x:c r="F3522" s="19" t="str">
        <x:v>不同完成条件，不作成本比</x:v>
      </x:c>
      <x:c r="G3522" s="19" t="str">
        <x:v>质量/成本</x:v>
      </x:c>
      <x:c r="H3522" s="19" t="str">
        <x:v>D:/Codex/GRL研究/outputs/grid81/GRID81_report.md</x:v>
      </x:c>
    </x:row>
    <x:row r="3523" ht="36" customHeight="1">
      <x:c r="A3523" s="19" t="str">
        <x:v>GRID81</x:v>
      </x:c>
      <x:c r="B3523" s="19" t="str">
        <x:v>GRID81_report.md</x:v>
      </x:c>
      <x:c r="C3523" s="19" t="str">
        <x:v>3. 逐场景质量与时间</x:v>
      </x:c>
      <x:c r="D3523" s="19" t="str">
        <x:v>场景=2036-03-03_9；方法=CONTEXT_GATE</x:v>
      </x:c>
      <x:c r="E3523" s="19" t="str">
        <x:v>查询</x:v>
      </x:c>
      <x:c r="F3523" s="19" t="str">
        <x:v>4981</x:v>
      </x:c>
      <x:c r="G3523" s="19" t="str">
        <x:v>速度/计算</x:v>
      </x:c>
      <x:c r="H3523" s="19" t="str">
        <x:v>D:/Codex/GRL研究/outputs/grid81/GRID81_report.md</x:v>
      </x:c>
    </x:row>
    <x:row r="3524" ht="36" customHeight="1">
      <x:c r="A3524" s="19" t="str">
        <x:v>GRID81</x:v>
      </x:c>
      <x:c r="B3524" s="19" t="str">
        <x:v>GRID81_report.md</x:v>
      </x:c>
      <x:c r="C3524" s="19" t="str">
        <x:v>3. 逐场景质量与时间</x:v>
      </x:c>
      <x:c r="D3524" s="19" t="str">
        <x:v>场景=2036-03-03_9；方法=CONTEXT_GATE</x:v>
      </x:c>
      <x:c r="E3524" s="19" t="str">
        <x:v>控制秒，两次范围</x:v>
      </x:c>
      <x:c r="F3524" s="19" t="str">
        <x:v>69.676 [69.473, 69.880]</x:v>
      </x:c>
      <x:c r="G3524" s="19" t="str">
        <x:v>速度/计算</x:v>
      </x:c>
      <x:c r="H3524" s="19" t="str">
        <x:v>D:/Codex/GRL研究/outputs/grid81/GRID81_report.md</x:v>
      </x:c>
    </x:row>
    <x:row r="3525" ht="36" customHeight="1">
      <x:c r="A3525" s="19" t="str">
        <x:v>GRID81</x:v>
      </x:c>
      <x:c r="B3525" s="19" t="str">
        <x:v>GRID81_report.md</x:v>
      </x:c>
      <x:c r="C3525" s="19" t="str">
        <x:v>3. 逐场景质量与时间</x:v>
      </x:c>
      <x:c r="D3525" s="19" t="str">
        <x:v>场景=2036-03-03_9；方法=FRAME_GUARD</x:v>
      </x:c>
      <x:c r="E3525" s="19" t="str">
        <x:v>方法</x:v>
      </x:c>
      <x:c r="F3525" s="19" t="str">
        <x:v>FRAME_GUARD</x:v>
      </x:c>
      <x:c r="G3525" s="19" t="str">
        <x:v>其他/配置</x:v>
      </x:c>
      <x:c r="H3525" s="19" t="str">
        <x:v>D:/Codex/GRL研究/outputs/grid81/GRID81_report.md</x:v>
      </x:c>
    </x:row>
    <x:row r="3526" ht="36" customHeight="1">
      <x:c r="A3526" s="19" t="str">
        <x:v>GRID81</x:v>
      </x:c>
      <x:c r="B3526" s="19" t="str">
        <x:v>GRID81_report.md</x:v>
      </x:c>
      <x:c r="C3526" s="19" t="str">
        <x:v>3. 逐场景质量与时间</x:v>
      </x:c>
      <x:c r="D3526" s="19" t="str">
        <x:v>场景=2036-03-03_9；方法=FRAME_GUARD</x:v>
      </x:c>
      <x:c r="E3526" s="19" t="str">
        <x:v>完成/步数</x:v>
      </x:c>
      <x:c r="F3526" s="19" t="str">
        <x:v>False/1720</x:v>
      </x:c>
      <x:c r="G3526" s="19" t="str">
        <x:v>质量/成本</x:v>
      </x:c>
      <x:c r="H3526" s="19" t="str">
        <x:v>D:/Codex/GRL研究/outputs/grid81/GRID81_report.md</x:v>
      </x:c>
    </x:row>
    <x:row r="3527" ht="36" customHeight="1">
      <x:c r="A3527" s="19" t="str">
        <x:v>GRID81</x:v>
      </x:c>
      <x:c r="B3527" s="19" t="str">
        <x:v>GRID81_report.md</x:v>
      </x:c>
      <x:c r="C3527" s="19" t="str">
        <x:v>3. 逐场景质量与时间</x:v>
      </x:c>
      <x:c r="D3527" s="19" t="str">
        <x:v>场景=2036-03-03_9；方法=FRAME_GUARD</x:v>
      </x:c>
      <x:c r="E3527" s="19" t="str">
        <x:v>完整周成本相对FULL</x:v>
      </x:c>
      <x:c r="F3527" s="19" t="str">
        <x:v>不同完成条件，不作成本比</x:v>
      </x:c>
      <x:c r="G3527" s="19" t="str">
        <x:v>质量/成本</x:v>
      </x:c>
      <x:c r="H3527" s="19" t="str">
        <x:v>D:/Codex/GRL研究/outputs/grid81/GRID81_report.md</x:v>
      </x:c>
    </x:row>
    <x:row r="3528" ht="36" customHeight="1">
      <x:c r="A3528" s="19" t="str">
        <x:v>GRID81</x:v>
      </x:c>
      <x:c r="B3528" s="19" t="str">
        <x:v>GRID81_report.md</x:v>
      </x:c>
      <x:c r="C3528" s="19" t="str">
        <x:v>3. 逐场景质量与时间</x:v>
      </x:c>
      <x:c r="D3528" s="19" t="str">
        <x:v>场景=2036-03-03_9；方法=FRAME_GUARD</x:v>
      </x:c>
      <x:c r="E3528" s="19" t="str">
        <x:v>查询</x:v>
      </x:c>
      <x:c r="F3528" s="19" t="str">
        <x:v>5109</x:v>
      </x:c>
      <x:c r="G3528" s="19" t="str">
        <x:v>速度/计算</x:v>
      </x:c>
      <x:c r="H3528" s="19" t="str">
        <x:v>D:/Codex/GRL研究/outputs/grid81/GRID81_report.md</x:v>
      </x:c>
    </x:row>
    <x:row r="3529" ht="36" customHeight="1">
      <x:c r="A3529" s="19" t="str">
        <x:v>GRID81</x:v>
      </x:c>
      <x:c r="B3529" s="19" t="str">
        <x:v>GRID81_report.md</x:v>
      </x:c>
      <x:c r="C3529" s="19" t="str">
        <x:v>3. 逐场景质量与时间</x:v>
      </x:c>
      <x:c r="D3529" s="19" t="str">
        <x:v>场景=2036-03-03_9；方法=FRAME_GUARD</x:v>
      </x:c>
      <x:c r="E3529" s="19" t="str">
        <x:v>控制秒，两次范围</x:v>
      </x:c>
      <x:c r="F3529" s="19" t="str">
        <x:v>69.663 [69.131, 70.195]</x:v>
      </x:c>
      <x:c r="G3529" s="19" t="str">
        <x:v>速度/计算</x:v>
      </x:c>
      <x:c r="H3529" s="19" t="str">
        <x:v>D:/Codex/GRL研究/outputs/grid81/GRID81_report.md</x:v>
      </x:c>
    </x:row>
    <x:row r="3530" ht="36" customHeight="1">
      <x:c r="A3530" s="19" t="str">
        <x:v>GRID81</x:v>
      </x:c>
      <x:c r="B3530" s="19" t="str">
        <x:v>GRID81_report.md</x:v>
      </x:c>
      <x:c r="C3530" s="19" t="str">
        <x:v>3. 逐场景质量与时间</x:v>
      </x:c>
      <x:c r="D3530" s="19" t="str">
        <x:v>场景=2036-03-03_9；方法=RANDOM_GATE0</x:v>
      </x:c>
      <x:c r="E3530" s="19" t="str">
        <x:v>方法</x:v>
      </x:c>
      <x:c r="F3530" s="19" t="str">
        <x:v>RANDOM_GATE0</x:v>
      </x:c>
      <x:c r="G3530" s="19" t="str">
        <x:v>其他/配置</x:v>
      </x:c>
      <x:c r="H3530" s="19" t="str">
        <x:v>D:/Codex/GRL研究/outputs/grid81/GRID81_report.md</x:v>
      </x:c>
    </x:row>
    <x:row r="3531" ht="36" customHeight="1">
      <x:c r="A3531" s="19" t="str">
        <x:v>GRID81</x:v>
      </x:c>
      <x:c r="B3531" s="19" t="str">
        <x:v>GRID81_report.md</x:v>
      </x:c>
      <x:c r="C3531" s="19" t="str">
        <x:v>3. 逐场景质量与时间</x:v>
      </x:c>
      <x:c r="D3531" s="19" t="str">
        <x:v>场景=2036-03-03_9；方法=RANDOM_GATE0</x:v>
      </x:c>
      <x:c r="E3531" s="19" t="str">
        <x:v>完成/步数</x:v>
      </x:c>
      <x:c r="F3531" s="19" t="str">
        <x:v>False/1720</x:v>
      </x:c>
      <x:c r="G3531" s="19" t="str">
        <x:v>质量/成本</x:v>
      </x:c>
      <x:c r="H3531" s="19" t="str">
        <x:v>D:/Codex/GRL研究/outputs/grid81/GRID81_report.md</x:v>
      </x:c>
    </x:row>
    <x:row r="3532" ht="36" customHeight="1">
      <x:c r="A3532" s="19" t="str">
        <x:v>GRID81</x:v>
      </x:c>
      <x:c r="B3532" s="19" t="str">
        <x:v>GRID81_report.md</x:v>
      </x:c>
      <x:c r="C3532" s="19" t="str">
        <x:v>3. 逐场景质量与时间</x:v>
      </x:c>
      <x:c r="D3532" s="19" t="str">
        <x:v>场景=2036-03-03_9；方法=RANDOM_GATE0</x:v>
      </x:c>
      <x:c r="E3532" s="19" t="str">
        <x:v>完整周成本相对FULL</x:v>
      </x:c>
      <x:c r="F3532" s="19" t="str">
        <x:v>不同完成条件，不作成本比</x:v>
      </x:c>
      <x:c r="G3532" s="19" t="str">
        <x:v>质量/成本</x:v>
      </x:c>
      <x:c r="H3532" s="19" t="str">
        <x:v>D:/Codex/GRL研究/outputs/grid81/GRID81_report.md</x:v>
      </x:c>
    </x:row>
    <x:row r="3533" ht="36" customHeight="1">
      <x:c r="A3533" s="19" t="str">
        <x:v>GRID81</x:v>
      </x:c>
      <x:c r="B3533" s="19" t="str">
        <x:v>GRID81_report.md</x:v>
      </x:c>
      <x:c r="C3533" s="19" t="str">
        <x:v>3. 逐场景质量与时间</x:v>
      </x:c>
      <x:c r="D3533" s="19" t="str">
        <x:v>场景=2036-03-03_9；方法=RANDOM_GATE0</x:v>
      </x:c>
      <x:c r="E3533" s="19" t="str">
        <x:v>查询</x:v>
      </x:c>
      <x:c r="F3533" s="19" t="str">
        <x:v>5109</x:v>
      </x:c>
      <x:c r="G3533" s="19" t="str">
        <x:v>速度/计算</x:v>
      </x:c>
      <x:c r="H3533" s="19" t="str">
        <x:v>D:/Codex/GRL研究/outputs/grid81/GRID81_report.md</x:v>
      </x:c>
    </x:row>
    <x:row r="3534" ht="36" customHeight="1">
      <x:c r="A3534" s="19" t="str">
        <x:v>GRID81</x:v>
      </x:c>
      <x:c r="B3534" s="19" t="str">
        <x:v>GRID81_report.md</x:v>
      </x:c>
      <x:c r="C3534" s="19" t="str">
        <x:v>3. 逐场景质量与时间</x:v>
      </x:c>
      <x:c r="D3534" s="19" t="str">
        <x:v>场景=2036-03-03_9；方法=RANDOM_GATE0</x:v>
      </x:c>
      <x:c r="E3534" s="19" t="str">
        <x:v>控制秒，两次范围</x:v>
      </x:c>
      <x:c r="F3534" s="19" t="str">
        <x:v>70.449 [69.887, 71.011]</x:v>
      </x:c>
      <x:c r="G3534" s="19" t="str">
        <x:v>速度/计算</x:v>
      </x:c>
      <x:c r="H3534" s="19" t="str">
        <x:v>D:/Codex/GRL研究/outputs/grid81/GRID81_report.md</x:v>
      </x:c>
    </x:row>
    <x:row r="3535" ht="36" customHeight="1">
      <x:c r="A3535" s="19" t="str">
        <x:v>GRID81</x:v>
      </x:c>
      <x:c r="B3535" s="19" t="str">
        <x:v>GRID81_report.md</x:v>
      </x:c>
      <x:c r="C3535" s="19" t="str">
        <x:v>3. 逐场景质量与时间</x:v>
      </x:c>
      <x:c r="D3535" s="19" t="str">
        <x:v>场景=2036-03-03_9；方法=RANDOM_GATE1</x:v>
      </x:c>
      <x:c r="E3535" s="19" t="str">
        <x:v>方法</x:v>
      </x:c>
      <x:c r="F3535" s="19" t="str">
        <x:v>RANDOM_GATE1</x:v>
      </x:c>
      <x:c r="G3535" s="19" t="str">
        <x:v>其他/配置</x:v>
      </x:c>
      <x:c r="H3535" s="19" t="str">
        <x:v>D:/Codex/GRL研究/outputs/grid81/GRID81_report.md</x:v>
      </x:c>
    </x:row>
    <x:row r="3536" ht="36" customHeight="1">
      <x:c r="A3536" s="19" t="str">
        <x:v>GRID81</x:v>
      </x:c>
      <x:c r="B3536" s="19" t="str">
        <x:v>GRID81_report.md</x:v>
      </x:c>
      <x:c r="C3536" s="19" t="str">
        <x:v>3. 逐场景质量与时间</x:v>
      </x:c>
      <x:c r="D3536" s="19" t="str">
        <x:v>场景=2036-03-03_9；方法=RANDOM_GATE1</x:v>
      </x:c>
      <x:c r="E3536" s="19" t="str">
        <x:v>完成/步数</x:v>
      </x:c>
      <x:c r="F3536" s="19" t="str">
        <x:v>False/1720</x:v>
      </x:c>
      <x:c r="G3536" s="19" t="str">
        <x:v>质量/成本</x:v>
      </x:c>
      <x:c r="H3536" s="19" t="str">
        <x:v>D:/Codex/GRL研究/outputs/grid81/GRID81_report.md</x:v>
      </x:c>
    </x:row>
    <x:row r="3537" ht="36" customHeight="1">
      <x:c r="A3537" s="19" t="str">
        <x:v>GRID81</x:v>
      </x:c>
      <x:c r="B3537" s="19" t="str">
        <x:v>GRID81_report.md</x:v>
      </x:c>
      <x:c r="C3537" s="19" t="str">
        <x:v>3. 逐场景质量与时间</x:v>
      </x:c>
      <x:c r="D3537" s="19" t="str">
        <x:v>场景=2036-03-03_9；方法=RANDOM_GATE1</x:v>
      </x:c>
      <x:c r="E3537" s="19" t="str">
        <x:v>完整周成本相对FULL</x:v>
      </x:c>
      <x:c r="F3537" s="19" t="str">
        <x:v>不同完成条件，不作成本比</x:v>
      </x:c>
      <x:c r="G3537" s="19" t="str">
        <x:v>质量/成本</x:v>
      </x:c>
      <x:c r="H3537" s="19" t="str">
        <x:v>D:/Codex/GRL研究/outputs/grid81/GRID81_report.md</x:v>
      </x:c>
    </x:row>
    <x:row r="3538" ht="36" customHeight="1">
      <x:c r="A3538" s="19" t="str">
        <x:v>GRID81</x:v>
      </x:c>
      <x:c r="B3538" s="19" t="str">
        <x:v>GRID81_report.md</x:v>
      </x:c>
      <x:c r="C3538" s="19" t="str">
        <x:v>3. 逐场景质量与时间</x:v>
      </x:c>
      <x:c r="D3538" s="19" t="str">
        <x:v>场景=2036-03-03_9；方法=RANDOM_GATE1</x:v>
      </x:c>
      <x:c r="E3538" s="19" t="str">
        <x:v>查询</x:v>
      </x:c>
      <x:c r="F3538" s="19" t="str">
        <x:v>5109</x:v>
      </x:c>
      <x:c r="G3538" s="19" t="str">
        <x:v>速度/计算</x:v>
      </x:c>
      <x:c r="H3538" s="19" t="str">
        <x:v>D:/Codex/GRL研究/outputs/grid81/GRID81_report.md</x:v>
      </x:c>
    </x:row>
    <x:row r="3539" ht="36" customHeight="1">
      <x:c r="A3539" s="19" t="str">
        <x:v>GRID81</x:v>
      </x:c>
      <x:c r="B3539" s="19" t="str">
        <x:v>GRID81_report.md</x:v>
      </x:c>
      <x:c r="C3539" s="19" t="str">
        <x:v>3. 逐场景质量与时间</x:v>
      </x:c>
      <x:c r="D3539" s="19" t="str">
        <x:v>场景=2036-03-03_9；方法=RANDOM_GATE1</x:v>
      </x:c>
      <x:c r="E3539" s="19" t="str">
        <x:v>控制秒，两次范围</x:v>
      </x:c>
      <x:c r="F3539" s="19" t="str">
        <x:v>69.293 [69.101, 69.485]</x:v>
      </x:c>
      <x:c r="G3539" s="19" t="str">
        <x:v>速度/计算</x:v>
      </x:c>
      <x:c r="H3539" s="19" t="str">
        <x:v>D:/Codex/GRL研究/outputs/grid81/GRID81_report.md</x:v>
      </x:c>
    </x:row>
    <x:row r="3540" ht="36" customHeight="1">
      <x:c r="A3540" s="19" t="str">
        <x:v>GRID81</x:v>
      </x:c>
      <x:c r="B3540" s="19" t="str">
        <x:v>GRID81_report.md</x:v>
      </x:c>
      <x:c r="C3540" s="19" t="str">
        <x:v>3. 逐场景质量与时间</x:v>
      </x:c>
      <x:c r="D3540" s="19" t="str">
        <x:v>场景=2036-05-05_9；方法=FULL</x:v>
      </x:c>
      <x:c r="E3540" s="19" t="str">
        <x:v>方法</x:v>
      </x:c>
      <x:c r="F3540" s="19" t="str">
        <x:v>FULL</x:v>
      </x:c>
      <x:c r="G3540" s="19" t="str">
        <x:v>其他/配置</x:v>
      </x:c>
      <x:c r="H3540" s="19" t="str">
        <x:v>D:/Codex/GRL研究/outputs/grid81/GRID81_report.md</x:v>
      </x:c>
    </x:row>
    <x:row r="3541" ht="36" customHeight="1">
      <x:c r="A3541" s="19" t="str">
        <x:v>GRID81</x:v>
      </x:c>
      <x:c r="B3541" s="19" t="str">
        <x:v>GRID81_report.md</x:v>
      </x:c>
      <x:c r="C3541" s="19" t="str">
        <x:v>3. 逐场景质量与时间</x:v>
      </x:c>
      <x:c r="D3541" s="19" t="str">
        <x:v>场景=2036-05-05_9；方法=FULL</x:v>
      </x:c>
      <x:c r="E3541" s="19" t="str">
        <x:v>完成/步数</x:v>
      </x:c>
      <x:c r="F3541" s="19" t="str">
        <x:v>True/2017</x:v>
      </x:c>
      <x:c r="G3541" s="19" t="str">
        <x:v>质量/成本</x:v>
      </x:c>
      <x:c r="H3541" s="19" t="str">
        <x:v>D:/Codex/GRL研究/outputs/grid81/GRID81_report.md</x:v>
      </x:c>
    </x:row>
    <x:row r="3542" ht="36" customHeight="1">
      <x:c r="A3542" s="19" t="str">
        <x:v>GRID81</x:v>
      </x:c>
      <x:c r="B3542" s="19" t="str">
        <x:v>GRID81_report.md</x:v>
      </x:c>
      <x:c r="C3542" s="19" t="str">
        <x:v>3. 逐场景质量与时间</x:v>
      </x:c>
      <x:c r="D3542" s="19" t="str">
        <x:v>场景=2036-05-05_9；方法=FULL</x:v>
      </x:c>
      <x:c r="E3542" s="19" t="str">
        <x:v>完整周成本相对FULL</x:v>
      </x:c>
      <x:c r="F3542" s="19" t="str">
        <x:v>+0.0000%</x:v>
      </x:c>
      <x:c r="G3542" s="19" t="str">
        <x:v>质量/成本</x:v>
      </x:c>
      <x:c r="H3542" s="19" t="str">
        <x:v>D:/Codex/GRL研究/outputs/grid81/GRID81_report.md</x:v>
      </x:c>
    </x:row>
    <x:row r="3543" ht="36" customHeight="1">
      <x:c r="A3543" s="19" t="str">
        <x:v>GRID81</x:v>
      </x:c>
      <x:c r="B3543" s="19" t="str">
        <x:v>GRID81_report.md</x:v>
      </x:c>
      <x:c r="C3543" s="19" t="str">
        <x:v>3. 逐场景质量与时间</x:v>
      </x:c>
      <x:c r="D3543" s="19" t="str">
        <x:v>场景=2036-05-05_9；方法=FULL</x:v>
      </x:c>
      <x:c r="E3543" s="19" t="str">
        <x:v>查询</x:v>
      </x:c>
      <x:c r="F3543" s="19" t="str">
        <x:v>2576</x:v>
      </x:c>
      <x:c r="G3543" s="19" t="str">
        <x:v>速度/计算</x:v>
      </x:c>
      <x:c r="H3543" s="19" t="str">
        <x:v>D:/Codex/GRL研究/outputs/grid81/GRID81_report.md</x:v>
      </x:c>
    </x:row>
    <x:row r="3544" ht="36" customHeight="1">
      <x:c r="A3544" s="19" t="str">
        <x:v>GRID81</x:v>
      </x:c>
      <x:c r="B3544" s="19" t="str">
        <x:v>GRID81_report.md</x:v>
      </x:c>
      <x:c r="C3544" s="19" t="str">
        <x:v>3. 逐场景质量与时间</x:v>
      </x:c>
      <x:c r="D3544" s="19" t="str">
        <x:v>场景=2036-05-05_9；方法=FULL</x:v>
      </x:c>
      <x:c r="E3544" s="19" t="str">
        <x:v>控制秒，两次范围</x:v>
      </x:c>
      <x:c r="F3544" s="19" t="str">
        <x:v>49.740 [47.909, 51.571]</x:v>
      </x:c>
      <x:c r="G3544" s="19" t="str">
        <x:v>速度/计算</x:v>
      </x:c>
      <x:c r="H3544" s="19" t="str">
        <x:v>D:/Codex/GRL研究/outputs/grid81/GRID81_report.md</x:v>
      </x:c>
    </x:row>
    <x:row r="3545" ht="36" customHeight="1">
      <x:c r="A3545" s="19" t="str">
        <x:v>GRID81</x:v>
      </x:c>
      <x:c r="B3545" s="19" t="str">
        <x:v>GRID81_report.md</x:v>
      </x:c>
      <x:c r="C3545" s="19" t="str">
        <x:v>3. 逐场景质量与时间</x:v>
      </x:c>
      <x:c r="D3545" s="19" t="str">
        <x:v>场景=2036-05-05_9；方法=CONTEXT_GATE</x:v>
      </x:c>
      <x:c r="E3545" s="19" t="str">
        <x:v>方法</x:v>
      </x:c>
      <x:c r="F3545" s="19" t="str">
        <x:v>CONTEXT_GATE</x:v>
      </x:c>
      <x:c r="G3545" s="19" t="str">
        <x:v>其他/配置</x:v>
      </x:c>
      <x:c r="H3545" s="19" t="str">
        <x:v>D:/Codex/GRL研究/outputs/grid81/GRID81_report.md</x:v>
      </x:c>
    </x:row>
    <x:row r="3546" ht="36" customHeight="1">
      <x:c r="A3546" s="19" t="str">
        <x:v>GRID81</x:v>
      </x:c>
      <x:c r="B3546" s="19" t="str">
        <x:v>GRID81_report.md</x:v>
      </x:c>
      <x:c r="C3546" s="19" t="str">
        <x:v>3. 逐场景质量与时间</x:v>
      </x:c>
      <x:c r="D3546" s="19" t="str">
        <x:v>场景=2036-05-05_9；方法=CONTEXT_GATE</x:v>
      </x:c>
      <x:c r="E3546" s="19" t="str">
        <x:v>完成/步数</x:v>
      </x:c>
      <x:c r="F3546" s="19" t="str">
        <x:v>True/2017</x:v>
      </x:c>
      <x:c r="G3546" s="19" t="str">
        <x:v>质量/成本</x:v>
      </x:c>
      <x:c r="H3546" s="19" t="str">
        <x:v>D:/Codex/GRL研究/outputs/grid81/GRID81_report.md</x:v>
      </x:c>
    </x:row>
    <x:row r="3547" ht="36" customHeight="1">
      <x:c r="A3547" s="19" t="str">
        <x:v>GRID81</x:v>
      </x:c>
      <x:c r="B3547" s="19" t="str">
        <x:v>GRID81_report.md</x:v>
      </x:c>
      <x:c r="C3547" s="19" t="str">
        <x:v>3. 逐场景质量与时间</x:v>
      </x:c>
      <x:c r="D3547" s="19" t="str">
        <x:v>场景=2036-05-05_9；方法=CONTEXT_GATE</x:v>
      </x:c>
      <x:c r="E3547" s="19" t="str">
        <x:v>完整周成本相对FULL</x:v>
      </x:c>
      <x:c r="F3547" s="19" t="str">
        <x:v>-2.6518%</x:v>
      </x:c>
      <x:c r="G3547" s="19" t="str">
        <x:v>质量/成本</x:v>
      </x:c>
      <x:c r="H3547" s="19" t="str">
        <x:v>D:/Codex/GRL研究/outputs/grid81/GRID81_report.md</x:v>
      </x:c>
    </x:row>
    <x:row r="3548" ht="36" customHeight="1">
      <x:c r="A3548" s="19" t="str">
        <x:v>GRID81</x:v>
      </x:c>
      <x:c r="B3548" s="19" t="str">
        <x:v>GRID81_report.md</x:v>
      </x:c>
      <x:c r="C3548" s="19" t="str">
        <x:v>3. 逐场景质量与时间</x:v>
      </x:c>
      <x:c r="D3548" s="19" t="str">
        <x:v>场景=2036-05-05_9；方法=CONTEXT_GATE</x:v>
      </x:c>
      <x:c r="E3548" s="19" t="str">
        <x:v>查询</x:v>
      </x:c>
      <x:c r="F3548" s="19" t="str">
        <x:v>454</x:v>
      </x:c>
      <x:c r="G3548" s="19" t="str">
        <x:v>速度/计算</x:v>
      </x:c>
      <x:c r="H3548" s="19" t="str">
        <x:v>D:/Codex/GRL研究/outputs/grid81/GRID81_report.md</x:v>
      </x:c>
    </x:row>
    <x:row r="3549" ht="36" customHeight="1">
      <x:c r="A3549" s="19" t="str">
        <x:v>GRID81</x:v>
      </x:c>
      <x:c r="B3549" s="19" t="str">
        <x:v>GRID81_report.md</x:v>
      </x:c>
      <x:c r="C3549" s="19" t="str">
        <x:v>3. 逐场景质量与时间</x:v>
      </x:c>
      <x:c r="D3549" s="19" t="str">
        <x:v>场景=2036-05-05_9；方法=CONTEXT_GATE</x:v>
      </x:c>
      <x:c r="E3549" s="19" t="str">
        <x:v>控制秒，两次范围</x:v>
      </x:c>
      <x:c r="F3549" s="19" t="str">
        <x:v>36.810 [35.787, 37.832]</x:v>
      </x:c>
      <x:c r="G3549" s="19" t="str">
        <x:v>速度/计算</x:v>
      </x:c>
      <x:c r="H3549" s="19" t="str">
        <x:v>D:/Codex/GRL研究/outputs/grid81/GRID81_report.md</x:v>
      </x:c>
    </x:row>
    <x:row r="3550" ht="36" customHeight="1">
      <x:c r="A3550" s="19" t="str">
        <x:v>GRID81</x:v>
      </x:c>
      <x:c r="B3550" s="19" t="str">
        <x:v>GRID81_report.md</x:v>
      </x:c>
      <x:c r="C3550" s="19" t="str">
        <x:v>3. 逐场景质量与时间</x:v>
      </x:c>
      <x:c r="D3550" s="19" t="str">
        <x:v>场景=2036-05-05_9；方法=FRAME_GUARD</x:v>
      </x:c>
      <x:c r="E3550" s="19" t="str">
        <x:v>方法</x:v>
      </x:c>
      <x:c r="F3550" s="19" t="str">
        <x:v>FRAME_GUARD</x:v>
      </x:c>
      <x:c r="G3550" s="19" t="str">
        <x:v>其他/配置</x:v>
      </x:c>
      <x:c r="H3550" s="19" t="str">
        <x:v>D:/Codex/GRL研究/outputs/grid81/GRID81_report.md</x:v>
      </x:c>
    </x:row>
    <x:row r="3551" ht="36" customHeight="1">
      <x:c r="A3551" s="19" t="str">
        <x:v>GRID81</x:v>
      </x:c>
      <x:c r="B3551" s="19" t="str">
        <x:v>GRID81_report.md</x:v>
      </x:c>
      <x:c r="C3551" s="19" t="str">
        <x:v>3. 逐场景质量与时间</x:v>
      </x:c>
      <x:c r="D3551" s="19" t="str">
        <x:v>场景=2036-05-05_9；方法=FRAME_GUARD</x:v>
      </x:c>
      <x:c r="E3551" s="19" t="str">
        <x:v>完成/步数</x:v>
      </x:c>
      <x:c r="F3551" s="19" t="str">
        <x:v>True/2017</x:v>
      </x:c>
      <x:c r="G3551" s="19" t="str">
        <x:v>质量/成本</x:v>
      </x:c>
      <x:c r="H3551" s="19" t="str">
        <x:v>D:/Codex/GRL研究/outputs/grid81/GRID81_report.md</x:v>
      </x:c>
    </x:row>
    <x:row r="3552" ht="36" customHeight="1">
      <x:c r="A3552" s="19" t="str">
        <x:v>GRID81</x:v>
      </x:c>
      <x:c r="B3552" s="19" t="str">
        <x:v>GRID81_report.md</x:v>
      </x:c>
      <x:c r="C3552" s="19" t="str">
        <x:v>3. 逐场景质量与时间</x:v>
      </x:c>
      <x:c r="D3552" s="19" t="str">
        <x:v>场景=2036-05-05_9；方法=FRAME_GUARD</x:v>
      </x:c>
      <x:c r="E3552" s="19" t="str">
        <x:v>完整周成本相对FULL</x:v>
      </x:c>
      <x:c r="F3552" s="19" t="str">
        <x:v>-2.6518%</x:v>
      </x:c>
      <x:c r="G3552" s="19" t="str">
        <x:v>质量/成本</x:v>
      </x:c>
      <x:c r="H3552" s="19" t="str">
        <x:v>D:/Codex/GRL研究/outputs/grid81/GRID81_report.md</x:v>
      </x:c>
    </x:row>
    <x:row r="3553" ht="36" customHeight="1">
      <x:c r="A3553" s="19" t="str">
        <x:v>GRID81</x:v>
      </x:c>
      <x:c r="B3553" s="19" t="str">
        <x:v>GRID81_report.md</x:v>
      </x:c>
      <x:c r="C3553" s="19" t="str">
        <x:v>3. 逐场景质量与时间</x:v>
      </x:c>
      <x:c r="D3553" s="19" t="str">
        <x:v>场景=2036-05-05_9；方法=FRAME_GUARD</x:v>
      </x:c>
      <x:c r="E3553" s="19" t="str">
        <x:v>查询</x:v>
      </x:c>
      <x:c r="F3553" s="19" t="str">
        <x:v>454</x:v>
      </x:c>
      <x:c r="G3553" s="19" t="str">
        <x:v>速度/计算</x:v>
      </x:c>
      <x:c r="H3553" s="19" t="str">
        <x:v>D:/Codex/GRL研究/outputs/grid81/GRID81_report.md</x:v>
      </x:c>
    </x:row>
    <x:row r="3554" ht="36" customHeight="1">
      <x:c r="A3554" s="19" t="str">
        <x:v>GRID81</x:v>
      </x:c>
      <x:c r="B3554" s="19" t="str">
        <x:v>GRID81_report.md</x:v>
      </x:c>
      <x:c r="C3554" s="19" t="str">
        <x:v>3. 逐场景质量与时间</x:v>
      </x:c>
      <x:c r="D3554" s="19" t="str">
        <x:v>场景=2036-05-05_9；方法=FRAME_GUARD</x:v>
      </x:c>
      <x:c r="E3554" s="19" t="str">
        <x:v>控制秒，两次范围</x:v>
      </x:c>
      <x:c r="F3554" s="19" t="str">
        <x:v>36.964 [35.848, 38.080]</x:v>
      </x:c>
      <x:c r="G3554" s="19" t="str">
        <x:v>速度/计算</x:v>
      </x:c>
      <x:c r="H3554" s="19" t="str">
        <x:v>D:/Codex/GRL研究/outputs/grid81/GRID81_report.md</x:v>
      </x:c>
    </x:row>
    <x:row r="3555" ht="36" customHeight="1">
      <x:c r="A3555" s="19" t="str">
        <x:v>GRID81</x:v>
      </x:c>
      <x:c r="B3555" s="19" t="str">
        <x:v>GRID81_report.md</x:v>
      </x:c>
      <x:c r="C3555" s="19" t="str">
        <x:v>3. 逐场景质量与时间</x:v>
      </x:c>
      <x:c r="D3555" s="19" t="str">
        <x:v>场景=2036-05-05_9；方法=RANDOM_GATE0</x:v>
      </x:c>
      <x:c r="E3555" s="19" t="str">
        <x:v>方法</x:v>
      </x:c>
      <x:c r="F3555" s="19" t="str">
        <x:v>RANDOM_GATE0</x:v>
      </x:c>
      <x:c r="G3555" s="19" t="str">
        <x:v>其他/配置</x:v>
      </x:c>
      <x:c r="H3555" s="19" t="str">
        <x:v>D:/Codex/GRL研究/outputs/grid81/GRID81_report.md</x:v>
      </x:c>
    </x:row>
    <x:row r="3556" ht="36" customHeight="1">
      <x:c r="A3556" s="19" t="str">
        <x:v>GRID81</x:v>
      </x:c>
      <x:c r="B3556" s="19" t="str">
        <x:v>GRID81_report.md</x:v>
      </x:c>
      <x:c r="C3556" s="19" t="str">
        <x:v>3. 逐场景质量与时间</x:v>
      </x:c>
      <x:c r="D3556" s="19" t="str">
        <x:v>场景=2036-05-05_9；方法=RANDOM_GATE0</x:v>
      </x:c>
      <x:c r="E3556" s="19" t="str">
        <x:v>完成/步数</x:v>
      </x:c>
      <x:c r="F3556" s="19" t="str">
        <x:v>True/2017</x:v>
      </x:c>
      <x:c r="G3556" s="19" t="str">
        <x:v>质量/成本</x:v>
      </x:c>
      <x:c r="H3556" s="19" t="str">
        <x:v>D:/Codex/GRL研究/outputs/grid81/GRID81_report.md</x:v>
      </x:c>
    </x:row>
    <x:row r="3557" ht="36" customHeight="1">
      <x:c r="A3557" s="19" t="str">
        <x:v>GRID81</x:v>
      </x:c>
      <x:c r="B3557" s="19" t="str">
        <x:v>GRID81_report.md</x:v>
      </x:c>
      <x:c r="C3557" s="19" t="str">
        <x:v>3. 逐场景质量与时间</x:v>
      </x:c>
      <x:c r="D3557" s="19" t="str">
        <x:v>场景=2036-05-05_9；方法=RANDOM_GATE0</x:v>
      </x:c>
      <x:c r="E3557" s="19" t="str">
        <x:v>完整周成本相对FULL</x:v>
      </x:c>
      <x:c r="F3557" s="19" t="str">
        <x:v>-2.6518%</x:v>
      </x:c>
      <x:c r="G3557" s="19" t="str">
        <x:v>质量/成本</x:v>
      </x:c>
      <x:c r="H3557" s="19" t="str">
        <x:v>D:/Codex/GRL研究/outputs/grid81/GRID81_report.md</x:v>
      </x:c>
    </x:row>
    <x:row r="3558" ht="36" customHeight="1">
      <x:c r="A3558" s="19" t="str">
        <x:v>GRID81</x:v>
      </x:c>
      <x:c r="B3558" s="19" t="str">
        <x:v>GRID81_report.md</x:v>
      </x:c>
      <x:c r="C3558" s="19" t="str">
        <x:v>3. 逐场景质量与时间</x:v>
      </x:c>
      <x:c r="D3558" s="19" t="str">
        <x:v>场景=2036-05-05_9；方法=RANDOM_GATE0</x:v>
      </x:c>
      <x:c r="E3558" s="19" t="str">
        <x:v>查询</x:v>
      </x:c>
      <x:c r="F3558" s="19" t="str">
        <x:v>454</x:v>
      </x:c>
      <x:c r="G3558" s="19" t="str">
        <x:v>速度/计算</x:v>
      </x:c>
      <x:c r="H3558" s="19" t="str">
        <x:v>D:/Codex/GRL研究/outputs/grid81/GRID81_report.md</x:v>
      </x:c>
    </x:row>
    <x:row r="3559" ht="36" customHeight="1">
      <x:c r="A3559" s="19" t="str">
        <x:v>GRID81</x:v>
      </x:c>
      <x:c r="B3559" s="19" t="str">
        <x:v>GRID81_report.md</x:v>
      </x:c>
      <x:c r="C3559" s="19" t="str">
        <x:v>3. 逐场景质量与时间</x:v>
      </x:c>
      <x:c r="D3559" s="19" t="str">
        <x:v>场景=2036-05-05_9；方法=RANDOM_GATE0</x:v>
      </x:c>
      <x:c r="E3559" s="19" t="str">
        <x:v>控制秒，两次范围</x:v>
      </x:c>
      <x:c r="F3559" s="19" t="str">
        <x:v>37.140 [35.756, 38.525]</x:v>
      </x:c>
      <x:c r="G3559" s="19" t="str">
        <x:v>速度/计算</x:v>
      </x:c>
      <x:c r="H3559" s="19" t="str">
        <x:v>D:/Codex/GRL研究/outputs/grid81/GRID81_report.md</x:v>
      </x:c>
    </x:row>
    <x:row r="3560" ht="36" customHeight="1">
      <x:c r="A3560" s="19" t="str">
        <x:v>GRID81</x:v>
      </x:c>
      <x:c r="B3560" s="19" t="str">
        <x:v>GRID81_report.md</x:v>
      </x:c>
      <x:c r="C3560" s="19" t="str">
        <x:v>3. 逐场景质量与时间</x:v>
      </x:c>
      <x:c r="D3560" s="19" t="str">
        <x:v>场景=2036-05-05_9；方法=RANDOM_GATE1</x:v>
      </x:c>
      <x:c r="E3560" s="19" t="str">
        <x:v>方法</x:v>
      </x:c>
      <x:c r="F3560" s="19" t="str">
        <x:v>RANDOM_GATE1</x:v>
      </x:c>
      <x:c r="G3560" s="19" t="str">
        <x:v>其他/配置</x:v>
      </x:c>
      <x:c r="H3560" s="19" t="str">
        <x:v>D:/Codex/GRL研究/outputs/grid81/GRID81_report.md</x:v>
      </x:c>
    </x:row>
    <x:row r="3561" ht="36" customHeight="1">
      <x:c r="A3561" s="19" t="str">
        <x:v>GRID81</x:v>
      </x:c>
      <x:c r="B3561" s="19" t="str">
        <x:v>GRID81_report.md</x:v>
      </x:c>
      <x:c r="C3561" s="19" t="str">
        <x:v>3. 逐场景质量与时间</x:v>
      </x:c>
      <x:c r="D3561" s="19" t="str">
        <x:v>场景=2036-05-05_9；方法=RANDOM_GATE1</x:v>
      </x:c>
      <x:c r="E3561" s="19" t="str">
        <x:v>完成/步数</x:v>
      </x:c>
      <x:c r="F3561" s="19" t="str">
        <x:v>True/2017</x:v>
      </x:c>
      <x:c r="G3561" s="19" t="str">
        <x:v>质量/成本</x:v>
      </x:c>
      <x:c r="H3561" s="19" t="str">
        <x:v>D:/Codex/GRL研究/outputs/grid81/GRID81_report.md</x:v>
      </x:c>
    </x:row>
    <x:row r="3562" ht="36" customHeight="1">
      <x:c r="A3562" s="19" t="str">
        <x:v>GRID81</x:v>
      </x:c>
      <x:c r="B3562" s="19" t="str">
        <x:v>GRID81_report.md</x:v>
      </x:c>
      <x:c r="C3562" s="19" t="str">
        <x:v>3. 逐场景质量与时间</x:v>
      </x:c>
      <x:c r="D3562" s="19" t="str">
        <x:v>场景=2036-05-05_9；方法=RANDOM_GATE1</x:v>
      </x:c>
      <x:c r="E3562" s="19" t="str">
        <x:v>完整周成本相对FULL</x:v>
      </x:c>
      <x:c r="F3562" s="19" t="str">
        <x:v>-2.6518%</x:v>
      </x:c>
      <x:c r="G3562" s="19" t="str">
        <x:v>质量/成本</x:v>
      </x:c>
      <x:c r="H3562" s="19" t="str">
        <x:v>D:/Codex/GRL研究/outputs/grid81/GRID81_report.md</x:v>
      </x:c>
    </x:row>
    <x:row r="3563" ht="36" customHeight="1">
      <x:c r="A3563" s="19" t="str">
        <x:v>GRID81</x:v>
      </x:c>
      <x:c r="B3563" s="19" t="str">
        <x:v>GRID81_report.md</x:v>
      </x:c>
      <x:c r="C3563" s="19" t="str">
        <x:v>3. 逐场景质量与时间</x:v>
      </x:c>
      <x:c r="D3563" s="19" t="str">
        <x:v>场景=2036-05-05_9；方法=RANDOM_GATE1</x:v>
      </x:c>
      <x:c r="E3563" s="19" t="str">
        <x:v>查询</x:v>
      </x:c>
      <x:c r="F3563" s="19" t="str">
        <x:v>454</x:v>
      </x:c>
      <x:c r="G3563" s="19" t="str">
        <x:v>速度/计算</x:v>
      </x:c>
      <x:c r="H3563" s="19" t="str">
        <x:v>D:/Codex/GRL研究/outputs/grid81/GRID81_report.md</x:v>
      </x:c>
    </x:row>
    <x:row r="3564" ht="36" customHeight="1">
      <x:c r="A3564" s="19" t="str">
        <x:v>GRID81</x:v>
      </x:c>
      <x:c r="B3564" s="19" t="str">
        <x:v>GRID81_report.md</x:v>
      </x:c>
      <x:c r="C3564" s="19" t="str">
        <x:v>3. 逐场景质量与时间</x:v>
      </x:c>
      <x:c r="D3564" s="19" t="str">
        <x:v>场景=2036-05-05_9；方法=RANDOM_GATE1</x:v>
      </x:c>
      <x:c r="E3564" s="19" t="str">
        <x:v>控制秒，两次范围</x:v>
      </x:c>
      <x:c r="F3564" s="19" t="str">
        <x:v>37.203 [35.830, 38.576]</x:v>
      </x:c>
      <x:c r="G3564" s="19" t="str">
        <x:v>速度/计算</x:v>
      </x:c>
      <x:c r="H3564" s="19" t="str">
        <x:v>D:/Codex/GRL研究/outputs/grid81/GRID81_report.md</x:v>
      </x:c>
    </x:row>
    <x:row r="3565" ht="36" customHeight="1">
      <x:c r="A3565" s="19" t="str">
        <x:v>GRID81</x:v>
      </x:c>
      <x:c r="B3565" s="19" t="str">
        <x:v>GRID81_report.md</x:v>
      </x:c>
      <x:c r="C3565" s="19" t="str">
        <x:v>3. 逐场景质量与时间</x:v>
      </x:c>
      <x:c r="D3565" s="19" t="str">
        <x:v>场景=2036-07-07_9；方法=FULL</x:v>
      </x:c>
      <x:c r="E3565" s="19" t="str">
        <x:v>方法</x:v>
      </x:c>
      <x:c r="F3565" s="19" t="str">
        <x:v>FULL</x:v>
      </x:c>
      <x:c r="G3565" s="19" t="str">
        <x:v>其他/配置</x:v>
      </x:c>
      <x:c r="H3565" s="19" t="str">
        <x:v>D:/Codex/GRL研究/outputs/grid81/GRID81_report.md</x:v>
      </x:c>
    </x:row>
    <x:row r="3566" ht="36" customHeight="1">
      <x:c r="A3566" s="19" t="str">
        <x:v>GRID81</x:v>
      </x:c>
      <x:c r="B3566" s="19" t="str">
        <x:v>GRID81_report.md</x:v>
      </x:c>
      <x:c r="C3566" s="19" t="str">
        <x:v>3. 逐场景质量与时间</x:v>
      </x:c>
      <x:c r="D3566" s="19" t="str">
        <x:v>场景=2036-07-07_9；方法=FULL</x:v>
      </x:c>
      <x:c r="E3566" s="19" t="str">
        <x:v>完成/步数</x:v>
      </x:c>
      <x:c r="F3566" s="19" t="str">
        <x:v>True/2017</x:v>
      </x:c>
      <x:c r="G3566" s="19" t="str">
        <x:v>质量/成本</x:v>
      </x:c>
      <x:c r="H3566" s="19" t="str">
        <x:v>D:/Codex/GRL研究/outputs/grid81/GRID81_report.md</x:v>
      </x:c>
    </x:row>
    <x:row r="3567" ht="36" customHeight="1">
      <x:c r="A3567" s="19" t="str">
        <x:v>GRID81</x:v>
      </x:c>
      <x:c r="B3567" s="19" t="str">
        <x:v>GRID81_report.md</x:v>
      </x:c>
      <x:c r="C3567" s="19" t="str">
        <x:v>3. 逐场景质量与时间</x:v>
      </x:c>
      <x:c r="D3567" s="19" t="str">
        <x:v>场景=2036-07-07_9；方法=FULL</x:v>
      </x:c>
      <x:c r="E3567" s="19" t="str">
        <x:v>完整周成本相对FULL</x:v>
      </x:c>
      <x:c r="F3567" s="19" t="str">
        <x:v>+0.0000%</x:v>
      </x:c>
      <x:c r="G3567" s="19" t="str">
        <x:v>质量/成本</x:v>
      </x:c>
      <x:c r="H3567" s="19" t="str">
        <x:v>D:/Codex/GRL研究/outputs/grid81/GRID81_report.md</x:v>
      </x:c>
    </x:row>
    <x:row r="3568" ht="36" customHeight="1">
      <x:c r="A3568" s="19" t="str">
        <x:v>GRID81</x:v>
      </x:c>
      <x:c r="B3568" s="19" t="str">
        <x:v>GRID81_report.md</x:v>
      </x:c>
      <x:c r="C3568" s="19" t="str">
        <x:v>3. 逐场景质量与时间</x:v>
      </x:c>
      <x:c r="D3568" s="19" t="str">
        <x:v>场景=2036-07-07_9；方法=FULL</x:v>
      </x:c>
      <x:c r="E3568" s="19" t="str">
        <x:v>查询</x:v>
      </x:c>
      <x:c r="F3568" s="19" t="str">
        <x:v>9022</x:v>
      </x:c>
      <x:c r="G3568" s="19" t="str">
        <x:v>速度/计算</x:v>
      </x:c>
      <x:c r="H3568" s="19" t="str">
        <x:v>D:/Codex/GRL研究/outputs/grid81/GRID81_report.md</x:v>
      </x:c>
    </x:row>
    <x:row r="3569" ht="36" customHeight="1">
      <x:c r="A3569" s="19" t="str">
        <x:v>GRID81</x:v>
      </x:c>
      <x:c r="B3569" s="19" t="str">
        <x:v>GRID81_report.md</x:v>
      </x:c>
      <x:c r="C3569" s="19" t="str">
        <x:v>3. 逐场景质量与时间</x:v>
      </x:c>
      <x:c r="D3569" s="19" t="str">
        <x:v>场景=2036-07-07_9；方法=FULL</x:v>
      </x:c>
      <x:c r="E3569" s="19" t="str">
        <x:v>控制秒，两次范围</x:v>
      </x:c>
      <x:c r="F3569" s="19" t="str">
        <x:v>63.469 [61.878, 65.059]</x:v>
      </x:c>
      <x:c r="G3569" s="19" t="str">
        <x:v>速度/计算</x:v>
      </x:c>
      <x:c r="H3569" s="19" t="str">
        <x:v>D:/Codex/GRL研究/outputs/grid81/GRID81_report.md</x:v>
      </x:c>
    </x:row>
    <x:row r="3570" ht="36" customHeight="1">
      <x:c r="A3570" s="19" t="str">
        <x:v>GRID81</x:v>
      </x:c>
      <x:c r="B3570" s="19" t="str">
        <x:v>GRID81_report.md</x:v>
      </x:c>
      <x:c r="C3570" s="19" t="str">
        <x:v>3. 逐场景质量与时间</x:v>
      </x:c>
      <x:c r="D3570" s="19" t="str">
        <x:v>场景=2036-07-07_9；方法=CONTEXT_GATE</x:v>
      </x:c>
      <x:c r="E3570" s="19" t="str">
        <x:v>方法</x:v>
      </x:c>
      <x:c r="F3570" s="19" t="str">
        <x:v>CONTEXT_GATE</x:v>
      </x:c>
      <x:c r="G3570" s="19" t="str">
        <x:v>其他/配置</x:v>
      </x:c>
      <x:c r="H3570" s="19" t="str">
        <x:v>D:/Codex/GRL研究/outputs/grid81/GRID81_report.md</x:v>
      </x:c>
    </x:row>
    <x:row r="3571" ht="36" customHeight="1">
      <x:c r="A3571" s="19" t="str">
        <x:v>GRID81</x:v>
      </x:c>
      <x:c r="B3571" s="19" t="str">
        <x:v>GRID81_report.md</x:v>
      </x:c>
      <x:c r="C3571" s="19" t="str">
        <x:v>3. 逐场景质量与时间</x:v>
      </x:c>
      <x:c r="D3571" s="19" t="str">
        <x:v>场景=2036-07-07_9；方法=CONTEXT_GATE</x:v>
      </x:c>
      <x:c r="E3571" s="19" t="str">
        <x:v>完成/步数</x:v>
      </x:c>
      <x:c r="F3571" s="19" t="str">
        <x:v>True/2017</x:v>
      </x:c>
      <x:c r="G3571" s="19" t="str">
        <x:v>质量/成本</x:v>
      </x:c>
      <x:c r="H3571" s="19" t="str">
        <x:v>D:/Codex/GRL研究/outputs/grid81/GRID81_report.md</x:v>
      </x:c>
    </x:row>
    <x:row r="3572" ht="36" customHeight="1">
      <x:c r="A3572" s="19" t="str">
        <x:v>GRID81</x:v>
      </x:c>
      <x:c r="B3572" s="19" t="str">
        <x:v>GRID81_report.md</x:v>
      </x:c>
      <x:c r="C3572" s="19" t="str">
        <x:v>3. 逐场景质量与时间</x:v>
      </x:c>
      <x:c r="D3572" s="19" t="str">
        <x:v>场景=2036-07-07_9；方法=CONTEXT_GATE</x:v>
      </x:c>
      <x:c r="E3572" s="19" t="str">
        <x:v>完整周成本相对FULL</x:v>
      </x:c>
      <x:c r="F3572" s="19" t="str">
        <x:v>-0.7282%</x:v>
      </x:c>
      <x:c r="G3572" s="19" t="str">
        <x:v>质量/成本</x:v>
      </x:c>
      <x:c r="H3572" s="19" t="str">
        <x:v>D:/Codex/GRL研究/outputs/grid81/GRID81_report.md</x:v>
      </x:c>
    </x:row>
    <x:row r="3573" ht="36" customHeight="1">
      <x:c r="A3573" s="19" t="str">
        <x:v>GRID81</x:v>
      </x:c>
      <x:c r="B3573" s="19" t="str">
        <x:v>GRID81_report.md</x:v>
      </x:c>
      <x:c r="C3573" s="19" t="str">
        <x:v>3. 逐场景质量与时间</x:v>
      </x:c>
      <x:c r="D3573" s="19" t="str">
        <x:v>场景=2036-07-07_9；方法=CONTEXT_GATE</x:v>
      </x:c>
      <x:c r="E3573" s="19" t="str">
        <x:v>查询</x:v>
      </x:c>
      <x:c r="F3573" s="19" t="str">
        <x:v>3121</x:v>
      </x:c>
      <x:c r="G3573" s="19" t="str">
        <x:v>速度/计算</x:v>
      </x:c>
      <x:c r="H3573" s="19" t="str">
        <x:v>D:/Codex/GRL研究/outputs/grid81/GRID81_report.md</x:v>
      </x:c>
    </x:row>
    <x:row r="3574" ht="36" customHeight="1">
      <x:c r="A3574" s="19" t="str">
        <x:v>GRID81</x:v>
      </x:c>
      <x:c r="B3574" s="19" t="str">
        <x:v>GRID81_report.md</x:v>
      </x:c>
      <x:c r="C3574" s="19" t="str">
        <x:v>3. 逐场景质量与时间</x:v>
      </x:c>
      <x:c r="D3574" s="19" t="str">
        <x:v>场景=2036-07-07_9；方法=CONTEXT_GATE</x:v>
      </x:c>
      <x:c r="E3574" s="19" t="str">
        <x:v>控制秒，两次范围</x:v>
      </x:c>
      <x:c r="F3574" s="19" t="str">
        <x:v>46.112 [46.106, 46.117]</x:v>
      </x:c>
      <x:c r="G3574" s="19" t="str">
        <x:v>速度/计算</x:v>
      </x:c>
      <x:c r="H3574" s="19" t="str">
        <x:v>D:/Codex/GRL研究/outputs/grid81/GRID81_report.md</x:v>
      </x:c>
    </x:row>
    <x:row r="3575" ht="36" customHeight="1">
      <x:c r="A3575" s="19" t="str">
        <x:v>GRID81</x:v>
      </x:c>
      <x:c r="B3575" s="19" t="str">
        <x:v>GRID81_report.md</x:v>
      </x:c>
      <x:c r="C3575" s="19" t="str">
        <x:v>3. 逐场景质量与时间</x:v>
      </x:c>
      <x:c r="D3575" s="19" t="str">
        <x:v>场景=2036-07-07_9；方法=FRAME_GUARD</x:v>
      </x:c>
      <x:c r="E3575" s="19" t="str">
        <x:v>方法</x:v>
      </x:c>
      <x:c r="F3575" s="19" t="str">
        <x:v>FRAME_GUARD</x:v>
      </x:c>
      <x:c r="G3575" s="19" t="str">
        <x:v>其他/配置</x:v>
      </x:c>
      <x:c r="H3575" s="19" t="str">
        <x:v>D:/Codex/GRL研究/outputs/grid81/GRID81_report.md</x:v>
      </x:c>
    </x:row>
    <x:row r="3576" ht="36" customHeight="1">
      <x:c r="A3576" s="19" t="str">
        <x:v>GRID81</x:v>
      </x:c>
      <x:c r="B3576" s="19" t="str">
        <x:v>GRID81_report.md</x:v>
      </x:c>
      <x:c r="C3576" s="19" t="str">
        <x:v>3. 逐场景质量与时间</x:v>
      </x:c>
      <x:c r="D3576" s="19" t="str">
        <x:v>场景=2036-07-07_9；方法=FRAME_GUARD</x:v>
      </x:c>
      <x:c r="E3576" s="19" t="str">
        <x:v>完成/步数</x:v>
      </x:c>
      <x:c r="F3576" s="19" t="str">
        <x:v>True/2017</x:v>
      </x:c>
      <x:c r="G3576" s="19" t="str">
        <x:v>质量/成本</x:v>
      </x:c>
      <x:c r="H3576" s="19" t="str">
        <x:v>D:/Codex/GRL研究/outputs/grid81/GRID81_report.md</x:v>
      </x:c>
    </x:row>
    <x:row r="3577" ht="36" customHeight="1">
      <x:c r="A3577" s="19" t="str">
        <x:v>GRID81</x:v>
      </x:c>
      <x:c r="B3577" s="19" t="str">
        <x:v>GRID81_report.md</x:v>
      </x:c>
      <x:c r="C3577" s="19" t="str">
        <x:v>3. 逐场景质量与时间</x:v>
      </x:c>
      <x:c r="D3577" s="19" t="str">
        <x:v>场景=2036-07-07_9；方法=FRAME_GUARD</x:v>
      </x:c>
      <x:c r="E3577" s="19" t="str">
        <x:v>完整周成本相对FULL</x:v>
      </x:c>
      <x:c r="F3577" s="19" t="str">
        <x:v>-1.0881%</x:v>
      </x:c>
      <x:c r="G3577" s="19" t="str">
        <x:v>质量/成本</x:v>
      </x:c>
      <x:c r="H3577" s="19" t="str">
        <x:v>D:/Codex/GRL研究/outputs/grid81/GRID81_report.md</x:v>
      </x:c>
    </x:row>
    <x:row r="3578" ht="36" customHeight="1">
      <x:c r="A3578" s="19" t="str">
        <x:v>GRID81</x:v>
      </x:c>
      <x:c r="B3578" s="19" t="str">
        <x:v>GRID81_report.md</x:v>
      </x:c>
      <x:c r="C3578" s="19" t="str">
        <x:v>3. 逐场景质量与时间</x:v>
      </x:c>
      <x:c r="D3578" s="19" t="str">
        <x:v>场景=2036-07-07_9；方法=FRAME_GUARD</x:v>
      </x:c>
      <x:c r="E3578" s="19" t="str">
        <x:v>查询</x:v>
      </x:c>
      <x:c r="F3578" s="19" t="str">
        <x:v>3470</x:v>
      </x:c>
      <x:c r="G3578" s="19" t="str">
        <x:v>速度/计算</x:v>
      </x:c>
      <x:c r="H3578" s="19" t="str">
        <x:v>D:/Codex/GRL研究/outputs/grid81/GRID81_report.md</x:v>
      </x:c>
    </x:row>
    <x:row r="3579" ht="36" customHeight="1">
      <x:c r="A3579" s="19" t="str">
        <x:v>GRID81</x:v>
      </x:c>
      <x:c r="B3579" s="19" t="str">
        <x:v>GRID81_report.md</x:v>
      </x:c>
      <x:c r="C3579" s="19" t="str">
        <x:v>3. 逐场景质量与时间</x:v>
      </x:c>
      <x:c r="D3579" s="19" t="str">
        <x:v>场景=2036-07-07_9；方法=FRAME_GUARD</x:v>
      </x:c>
      <x:c r="E3579" s="19" t="str">
        <x:v>控制秒，两次范围</x:v>
      </x:c>
      <x:c r="F3579" s="19" t="str">
        <x:v>45.137 [43.912, 46.363]</x:v>
      </x:c>
      <x:c r="G3579" s="19" t="str">
        <x:v>速度/计算</x:v>
      </x:c>
      <x:c r="H3579" s="19" t="str">
        <x:v>D:/Codex/GRL研究/outputs/grid81/GRID81_report.md</x:v>
      </x:c>
    </x:row>
    <x:row r="3580" ht="36" customHeight="1">
      <x:c r="A3580" s="19" t="str">
        <x:v>GRID81</x:v>
      </x:c>
      <x:c r="B3580" s="19" t="str">
        <x:v>GRID81_report.md</x:v>
      </x:c>
      <x:c r="C3580" s="19" t="str">
        <x:v>3. 逐场景质量与时间</x:v>
      </x:c>
      <x:c r="D3580" s="19" t="str">
        <x:v>场景=2036-07-07_9；方法=RANDOM_GATE0</x:v>
      </x:c>
      <x:c r="E3580" s="19" t="str">
        <x:v>方法</x:v>
      </x:c>
      <x:c r="F3580" s="19" t="str">
        <x:v>RANDOM_GATE0</x:v>
      </x:c>
      <x:c r="G3580" s="19" t="str">
        <x:v>其他/配置</x:v>
      </x:c>
      <x:c r="H3580" s="19" t="str">
        <x:v>D:/Codex/GRL研究/outputs/grid81/GRID81_report.md</x:v>
      </x:c>
    </x:row>
    <x:row r="3581" ht="36" customHeight="1">
      <x:c r="A3581" s="19" t="str">
        <x:v>GRID81</x:v>
      </x:c>
      <x:c r="B3581" s="19" t="str">
        <x:v>GRID81_report.md</x:v>
      </x:c>
      <x:c r="C3581" s="19" t="str">
        <x:v>3. 逐场景质量与时间</x:v>
      </x:c>
      <x:c r="D3581" s="19" t="str">
        <x:v>场景=2036-07-07_9；方法=RANDOM_GATE0</x:v>
      </x:c>
      <x:c r="E3581" s="19" t="str">
        <x:v>完成/步数</x:v>
      </x:c>
      <x:c r="F3581" s="19" t="str">
        <x:v>True/2017</x:v>
      </x:c>
      <x:c r="G3581" s="19" t="str">
        <x:v>质量/成本</x:v>
      </x:c>
      <x:c r="H3581" s="19" t="str">
        <x:v>D:/Codex/GRL研究/outputs/grid81/GRID81_report.md</x:v>
      </x:c>
    </x:row>
    <x:row r="3582" ht="36" customHeight="1">
      <x:c r="A3582" s="19" t="str">
        <x:v>GRID81</x:v>
      </x:c>
      <x:c r="B3582" s="19" t="str">
        <x:v>GRID81_report.md</x:v>
      </x:c>
      <x:c r="C3582" s="19" t="str">
        <x:v>3. 逐场景质量与时间</x:v>
      </x:c>
      <x:c r="D3582" s="19" t="str">
        <x:v>场景=2036-07-07_9；方法=RANDOM_GATE0</x:v>
      </x:c>
      <x:c r="E3582" s="19" t="str">
        <x:v>完整周成本相对FULL</x:v>
      </x:c>
      <x:c r="F3582" s="19" t="str">
        <x:v>-1.0881%</x:v>
      </x:c>
      <x:c r="G3582" s="19" t="str">
        <x:v>质量/成本</x:v>
      </x:c>
      <x:c r="H3582" s="19" t="str">
        <x:v>D:/Codex/GRL研究/outputs/grid81/GRID81_report.md</x:v>
      </x:c>
    </x:row>
    <x:row r="3583" ht="36" customHeight="1">
      <x:c r="A3583" s="19" t="str">
        <x:v>GRID81</x:v>
      </x:c>
      <x:c r="B3583" s="19" t="str">
        <x:v>GRID81_report.md</x:v>
      </x:c>
      <x:c r="C3583" s="19" t="str">
        <x:v>3. 逐场景质量与时间</x:v>
      </x:c>
      <x:c r="D3583" s="19" t="str">
        <x:v>场景=2036-07-07_9；方法=RANDOM_GATE0</x:v>
      </x:c>
      <x:c r="E3583" s="19" t="str">
        <x:v>查询</x:v>
      </x:c>
      <x:c r="F3583" s="19" t="str">
        <x:v>3470</x:v>
      </x:c>
      <x:c r="G3583" s="19" t="str">
        <x:v>速度/计算</x:v>
      </x:c>
      <x:c r="H3583" s="19" t="str">
        <x:v>D:/Codex/GRL研究/outputs/grid81/GRID81_report.md</x:v>
      </x:c>
    </x:row>
    <x:row r="3584" ht="36" customHeight="1">
      <x:c r="A3584" s="19" t="str">
        <x:v>GRID81</x:v>
      </x:c>
      <x:c r="B3584" s="19" t="str">
        <x:v>GRID81_report.md</x:v>
      </x:c>
      <x:c r="C3584" s="19" t="str">
        <x:v>3. 逐场景质量与时间</x:v>
      </x:c>
      <x:c r="D3584" s="19" t="str">
        <x:v>场景=2036-07-07_9；方法=RANDOM_GATE0</x:v>
      </x:c>
      <x:c r="E3584" s="19" t="str">
        <x:v>控制秒，两次范围</x:v>
      </x:c>
      <x:c r="F3584" s="19" t="str">
        <x:v>45.555 [43.730, 47.380]</x:v>
      </x:c>
      <x:c r="G3584" s="19" t="str">
        <x:v>速度/计算</x:v>
      </x:c>
      <x:c r="H3584" s="19" t="str">
        <x:v>D:/Codex/GRL研究/outputs/grid81/GRID81_report.md</x:v>
      </x:c>
    </x:row>
    <x:row r="3585" ht="36" customHeight="1">
      <x:c r="A3585" s="19" t="str">
        <x:v>GRID81</x:v>
      </x:c>
      <x:c r="B3585" s="19" t="str">
        <x:v>GRID81_report.md</x:v>
      </x:c>
      <x:c r="C3585" s="19" t="str">
        <x:v>3. 逐场景质量与时间</x:v>
      </x:c>
      <x:c r="D3585" s="19" t="str">
        <x:v>场景=2036-07-07_9；方法=RANDOM_GATE1</x:v>
      </x:c>
      <x:c r="E3585" s="19" t="str">
        <x:v>方法</x:v>
      </x:c>
      <x:c r="F3585" s="19" t="str">
        <x:v>RANDOM_GATE1</x:v>
      </x:c>
      <x:c r="G3585" s="19" t="str">
        <x:v>其他/配置</x:v>
      </x:c>
      <x:c r="H3585" s="19" t="str">
        <x:v>D:/Codex/GRL研究/outputs/grid81/GRID81_report.md</x:v>
      </x:c>
    </x:row>
    <x:row r="3586" ht="36" customHeight="1">
      <x:c r="A3586" s="19" t="str">
        <x:v>GRID81</x:v>
      </x:c>
      <x:c r="B3586" s="19" t="str">
        <x:v>GRID81_report.md</x:v>
      </x:c>
      <x:c r="C3586" s="19" t="str">
        <x:v>3. 逐场景质量与时间</x:v>
      </x:c>
      <x:c r="D3586" s="19" t="str">
        <x:v>场景=2036-07-07_9；方法=RANDOM_GATE1</x:v>
      </x:c>
      <x:c r="E3586" s="19" t="str">
        <x:v>完成/步数</x:v>
      </x:c>
      <x:c r="F3586" s="19" t="str">
        <x:v>True/2017</x:v>
      </x:c>
      <x:c r="G3586" s="19" t="str">
        <x:v>质量/成本</x:v>
      </x:c>
      <x:c r="H3586" s="19" t="str">
        <x:v>D:/Codex/GRL研究/outputs/grid81/GRID81_report.md</x:v>
      </x:c>
    </x:row>
    <x:row r="3587" ht="36" customHeight="1">
      <x:c r="A3587" s="19" t="str">
        <x:v>GRID81</x:v>
      </x:c>
      <x:c r="B3587" s="19" t="str">
        <x:v>GRID81_report.md</x:v>
      </x:c>
      <x:c r="C3587" s="19" t="str">
        <x:v>3. 逐场景质量与时间</x:v>
      </x:c>
      <x:c r="D3587" s="19" t="str">
        <x:v>场景=2036-07-07_9；方法=RANDOM_GATE1</x:v>
      </x:c>
      <x:c r="E3587" s="19" t="str">
        <x:v>完整周成本相对FULL</x:v>
      </x:c>
      <x:c r="F3587" s="19" t="str">
        <x:v>-1.0881%</x:v>
      </x:c>
      <x:c r="G3587" s="19" t="str">
        <x:v>质量/成本</x:v>
      </x:c>
      <x:c r="H3587" s="19" t="str">
        <x:v>D:/Codex/GRL研究/outputs/grid81/GRID81_report.md</x:v>
      </x:c>
    </x:row>
    <x:row r="3588" ht="36" customHeight="1">
      <x:c r="A3588" s="19" t="str">
        <x:v>GRID81</x:v>
      </x:c>
      <x:c r="B3588" s="19" t="str">
        <x:v>GRID81_report.md</x:v>
      </x:c>
      <x:c r="C3588" s="19" t="str">
        <x:v>3. 逐场景质量与时间</x:v>
      </x:c>
      <x:c r="D3588" s="19" t="str">
        <x:v>场景=2036-07-07_9；方法=RANDOM_GATE1</x:v>
      </x:c>
      <x:c r="E3588" s="19" t="str">
        <x:v>查询</x:v>
      </x:c>
      <x:c r="F3588" s="19" t="str">
        <x:v>3470</x:v>
      </x:c>
      <x:c r="G3588" s="19" t="str">
        <x:v>速度/计算</x:v>
      </x:c>
      <x:c r="H3588" s="19" t="str">
        <x:v>D:/Codex/GRL研究/outputs/grid81/GRID81_report.md</x:v>
      </x:c>
    </x:row>
    <x:row r="3589" ht="36" customHeight="1">
      <x:c r="A3589" s="19" t="str">
        <x:v>GRID81</x:v>
      </x:c>
      <x:c r="B3589" s="19" t="str">
        <x:v>GRID81_report.md</x:v>
      </x:c>
      <x:c r="C3589" s="19" t="str">
        <x:v>3. 逐场景质量与时间</x:v>
      </x:c>
      <x:c r="D3589" s="19" t="str">
        <x:v>场景=2036-07-07_9；方法=RANDOM_GATE1</x:v>
      </x:c>
      <x:c r="E3589" s="19" t="str">
        <x:v>控制秒，两次范围</x:v>
      </x:c>
      <x:c r="F3589" s="19" t="str">
        <x:v>45.837 [43.516, 48.158]</x:v>
      </x:c>
      <x:c r="G3589" s="19" t="str">
        <x:v>速度/计算</x:v>
      </x:c>
      <x:c r="H3589" s="19" t="str">
        <x:v>D:/Codex/GRL研究/outputs/grid81/GRID81_report.md</x:v>
      </x:c>
    </x:row>
    <x:row r="3590" ht="36" customHeight="1">
      <x:c r="A3590" s="19" t="str">
        <x:v>GRID81</x:v>
      </x:c>
      <x:c r="B3590" s="19" t="str">
        <x:v>GRID81_report.md</x:v>
      </x:c>
      <x:c r="C3590" s="19" t="str">
        <x:v>3. 逐场景质量与时间</x:v>
      </x:c>
      <x:c r="D3590" s="19" t="str">
        <x:v>场景=2036-09-01_9；方法=FULL</x:v>
      </x:c>
      <x:c r="E3590" s="19" t="str">
        <x:v>方法</x:v>
      </x:c>
      <x:c r="F3590" s="19" t="str">
        <x:v>FULL</x:v>
      </x:c>
      <x:c r="G3590" s="19" t="str">
        <x:v>其他/配置</x:v>
      </x:c>
      <x:c r="H3590" s="19" t="str">
        <x:v>D:/Codex/GRL研究/outputs/grid81/GRID81_report.md</x:v>
      </x:c>
    </x:row>
    <x:row r="3591" ht="36" customHeight="1">
      <x:c r="A3591" s="19" t="str">
        <x:v>GRID81</x:v>
      </x:c>
      <x:c r="B3591" s="19" t="str">
        <x:v>GRID81_report.md</x:v>
      </x:c>
      <x:c r="C3591" s="19" t="str">
        <x:v>3. 逐场景质量与时间</x:v>
      </x:c>
      <x:c r="D3591" s="19" t="str">
        <x:v>场景=2036-09-01_9；方法=FULL</x:v>
      </x:c>
      <x:c r="E3591" s="19" t="str">
        <x:v>完成/步数</x:v>
      </x:c>
      <x:c r="F3591" s="19" t="str">
        <x:v>True/2017</x:v>
      </x:c>
      <x:c r="G3591" s="19" t="str">
        <x:v>质量/成本</x:v>
      </x:c>
      <x:c r="H3591" s="19" t="str">
        <x:v>D:/Codex/GRL研究/outputs/grid81/GRID81_report.md</x:v>
      </x:c>
    </x:row>
    <x:row r="3592" ht="36" customHeight="1">
      <x:c r="A3592" s="19" t="str">
        <x:v>GRID81</x:v>
      </x:c>
      <x:c r="B3592" s="19" t="str">
        <x:v>GRID81_report.md</x:v>
      </x:c>
      <x:c r="C3592" s="19" t="str">
        <x:v>3. 逐场景质量与时间</x:v>
      </x:c>
      <x:c r="D3592" s="19" t="str">
        <x:v>场景=2036-09-01_9；方法=FULL</x:v>
      </x:c>
      <x:c r="E3592" s="19" t="str">
        <x:v>完整周成本相对FULL</x:v>
      </x:c>
      <x:c r="F3592" s="19" t="str">
        <x:v>+0.0000%</x:v>
      </x:c>
      <x:c r="G3592" s="19" t="str">
        <x:v>质量/成本</x:v>
      </x:c>
      <x:c r="H3592" s="19" t="str">
        <x:v>D:/Codex/GRL研究/outputs/grid81/GRID81_report.md</x:v>
      </x:c>
    </x:row>
    <x:row r="3593" ht="36" customHeight="1">
      <x:c r="A3593" s="19" t="str">
        <x:v>GRID81</x:v>
      </x:c>
      <x:c r="B3593" s="19" t="str">
        <x:v>GRID81_report.md</x:v>
      </x:c>
      <x:c r="C3593" s="19" t="str">
        <x:v>3. 逐场景质量与时间</x:v>
      </x:c>
      <x:c r="D3593" s="19" t="str">
        <x:v>场景=2036-09-01_9；方法=FULL</x:v>
      </x:c>
      <x:c r="E3593" s="19" t="str">
        <x:v>查询</x:v>
      </x:c>
      <x:c r="F3593" s="19" t="str">
        <x:v>3582</x:v>
      </x:c>
      <x:c r="G3593" s="19" t="str">
        <x:v>速度/计算</x:v>
      </x:c>
      <x:c r="H3593" s="19" t="str">
        <x:v>D:/Codex/GRL研究/outputs/grid81/GRID81_report.md</x:v>
      </x:c>
    </x:row>
    <x:row r="3594" ht="36" customHeight="1">
      <x:c r="A3594" s="19" t="str">
        <x:v>GRID81</x:v>
      </x:c>
      <x:c r="B3594" s="19" t="str">
        <x:v>GRID81_report.md</x:v>
      </x:c>
      <x:c r="C3594" s="19" t="str">
        <x:v>3. 逐场景质量与时间</x:v>
      </x:c>
      <x:c r="D3594" s="19" t="str">
        <x:v>场景=2036-09-01_9；方法=FULL</x:v>
      </x:c>
      <x:c r="E3594" s="19" t="str">
        <x:v>控制秒，两次范围</x:v>
      </x:c>
      <x:c r="F3594" s="19" t="str">
        <x:v>44.573 [44.339, 44.807]</x:v>
      </x:c>
      <x:c r="G3594" s="19" t="str">
        <x:v>速度/计算</x:v>
      </x:c>
      <x:c r="H3594" s="19" t="str">
        <x:v>D:/Codex/GRL研究/outputs/grid81/GRID81_report.md</x:v>
      </x:c>
    </x:row>
    <x:row r="3595" ht="36" customHeight="1">
      <x:c r="A3595" s="19" t="str">
        <x:v>GRID81</x:v>
      </x:c>
      <x:c r="B3595" s="19" t="str">
        <x:v>GRID81_report.md</x:v>
      </x:c>
      <x:c r="C3595" s="19" t="str">
        <x:v>3. 逐场景质量与时间</x:v>
      </x:c>
      <x:c r="D3595" s="19" t="str">
        <x:v>场景=2036-09-01_9；方法=CONTEXT_GATE</x:v>
      </x:c>
      <x:c r="E3595" s="19" t="str">
        <x:v>方法</x:v>
      </x:c>
      <x:c r="F3595" s="19" t="str">
        <x:v>CONTEXT_GATE</x:v>
      </x:c>
      <x:c r="G3595" s="19" t="str">
        <x:v>其他/配置</x:v>
      </x:c>
      <x:c r="H3595" s="19" t="str">
        <x:v>D:/Codex/GRL研究/outputs/grid81/GRID81_report.md</x:v>
      </x:c>
    </x:row>
    <x:row r="3596" ht="36" customHeight="1">
      <x:c r="A3596" s="19" t="str">
        <x:v>GRID81</x:v>
      </x:c>
      <x:c r="B3596" s="19" t="str">
        <x:v>GRID81_report.md</x:v>
      </x:c>
      <x:c r="C3596" s="19" t="str">
        <x:v>3. 逐场景质量与时间</x:v>
      </x:c>
      <x:c r="D3596" s="19" t="str">
        <x:v>场景=2036-09-01_9；方法=CONTEXT_GATE</x:v>
      </x:c>
      <x:c r="E3596" s="19" t="str">
        <x:v>完成/步数</x:v>
      </x:c>
      <x:c r="F3596" s="19" t="str">
        <x:v>True/2017</x:v>
      </x:c>
      <x:c r="G3596" s="19" t="str">
        <x:v>质量/成本</x:v>
      </x:c>
      <x:c r="H3596" s="19" t="str">
        <x:v>D:/Codex/GRL研究/outputs/grid81/GRID81_report.md</x:v>
      </x:c>
    </x:row>
    <x:row r="3597" ht="36" customHeight="1">
      <x:c r="A3597" s="19" t="str">
        <x:v>GRID81</x:v>
      </x:c>
      <x:c r="B3597" s="19" t="str">
        <x:v>GRID81_report.md</x:v>
      </x:c>
      <x:c r="C3597" s="19" t="str">
        <x:v>3. 逐场景质量与时间</x:v>
      </x:c>
      <x:c r="D3597" s="19" t="str">
        <x:v>场景=2036-09-01_9；方法=CONTEXT_GATE</x:v>
      </x:c>
      <x:c r="E3597" s="19" t="str">
        <x:v>完整周成本相对FULL</x:v>
      </x:c>
      <x:c r="F3597" s="19" t="str">
        <x:v>-0.0234%</x:v>
      </x:c>
      <x:c r="G3597" s="19" t="str">
        <x:v>质量/成本</x:v>
      </x:c>
      <x:c r="H3597" s="19" t="str">
        <x:v>D:/Codex/GRL研究/outputs/grid81/GRID81_report.md</x:v>
      </x:c>
    </x:row>
    <x:row r="3598" ht="36" customHeight="1">
      <x:c r="A3598" s="19" t="str">
        <x:v>GRID81</x:v>
      </x:c>
      <x:c r="B3598" s="19" t="str">
        <x:v>GRID81_report.md</x:v>
      </x:c>
      <x:c r="C3598" s="19" t="str">
        <x:v>3. 逐场景质量与时间</x:v>
      </x:c>
      <x:c r="D3598" s="19" t="str">
        <x:v>场景=2036-09-01_9；方法=CONTEXT_GATE</x:v>
      </x:c>
      <x:c r="E3598" s="19" t="str">
        <x:v>查询</x:v>
      </x:c>
      <x:c r="F3598" s="19" t="str">
        <x:v>933</x:v>
      </x:c>
      <x:c r="G3598" s="19" t="str">
        <x:v>速度/计算</x:v>
      </x:c>
      <x:c r="H3598" s="19" t="str">
        <x:v>D:/Codex/GRL研究/outputs/grid81/GRID81_report.md</x:v>
      </x:c>
    </x:row>
    <x:row r="3599" ht="36" customHeight="1">
      <x:c r="A3599" s="19" t="str">
        <x:v>GRID81</x:v>
      </x:c>
      <x:c r="B3599" s="19" t="str">
        <x:v>GRID81_report.md</x:v>
      </x:c>
      <x:c r="C3599" s="19" t="str">
        <x:v>3. 逐场景质量与时间</x:v>
      </x:c>
      <x:c r="D3599" s="19" t="str">
        <x:v>场景=2036-09-01_9；方法=CONTEXT_GATE</x:v>
      </x:c>
      <x:c r="E3599" s="19" t="str">
        <x:v>控制秒，两次范围</x:v>
      </x:c>
      <x:c r="F3599" s="19" t="str">
        <x:v>38.733 [38.237, 39.228]</x:v>
      </x:c>
      <x:c r="G3599" s="19" t="str">
        <x:v>速度/计算</x:v>
      </x:c>
      <x:c r="H3599" s="19" t="str">
        <x:v>D:/Codex/GRL研究/outputs/grid81/GRID81_report.md</x:v>
      </x:c>
    </x:row>
    <x:row r="3600" ht="36" customHeight="1">
      <x:c r="A3600" s="19" t="str">
        <x:v>GRID81</x:v>
      </x:c>
      <x:c r="B3600" s="19" t="str">
        <x:v>GRID81_report.md</x:v>
      </x:c>
      <x:c r="C3600" s="19" t="str">
        <x:v>3. 逐场景质量与时间</x:v>
      </x:c>
      <x:c r="D3600" s="19" t="str">
        <x:v>场景=2036-09-01_9；方法=FRAME_GUARD</x:v>
      </x:c>
      <x:c r="E3600" s="19" t="str">
        <x:v>方法</x:v>
      </x:c>
      <x:c r="F3600" s="19" t="str">
        <x:v>FRAME_GUARD</x:v>
      </x:c>
      <x:c r="G3600" s="19" t="str">
        <x:v>其他/配置</x:v>
      </x:c>
      <x:c r="H3600" s="19" t="str">
        <x:v>D:/Codex/GRL研究/outputs/grid81/GRID81_report.md</x:v>
      </x:c>
    </x:row>
    <x:row r="3601" ht="36" customHeight="1">
      <x:c r="A3601" s="19" t="str">
        <x:v>GRID81</x:v>
      </x:c>
      <x:c r="B3601" s="19" t="str">
        <x:v>GRID81_report.md</x:v>
      </x:c>
      <x:c r="C3601" s="19" t="str">
        <x:v>3. 逐场景质量与时间</x:v>
      </x:c>
      <x:c r="D3601" s="19" t="str">
        <x:v>场景=2036-09-01_9；方法=FRAME_GUARD</x:v>
      </x:c>
      <x:c r="E3601" s="19" t="str">
        <x:v>完成/步数</x:v>
      </x:c>
      <x:c r="F3601" s="19" t="str">
        <x:v>True/2017</x:v>
      </x:c>
      <x:c r="G3601" s="19" t="str">
        <x:v>质量/成本</x:v>
      </x:c>
      <x:c r="H3601" s="19" t="str">
        <x:v>D:/Codex/GRL研究/outputs/grid81/GRID81_report.md</x:v>
      </x:c>
    </x:row>
    <x:row r="3602" ht="36" customHeight="1">
      <x:c r="A3602" s="19" t="str">
        <x:v>GRID81</x:v>
      </x:c>
      <x:c r="B3602" s="19" t="str">
        <x:v>GRID81_report.md</x:v>
      </x:c>
      <x:c r="C3602" s="19" t="str">
        <x:v>3. 逐场景质量与时间</x:v>
      </x:c>
      <x:c r="D3602" s="19" t="str">
        <x:v>场景=2036-09-01_9；方法=FRAME_GUARD</x:v>
      </x:c>
      <x:c r="E3602" s="19" t="str">
        <x:v>完整周成本相对FULL</x:v>
      </x:c>
      <x:c r="F3602" s="19" t="str">
        <x:v>-0.0234%</x:v>
      </x:c>
      <x:c r="G3602" s="19" t="str">
        <x:v>质量/成本</x:v>
      </x:c>
      <x:c r="H3602" s="19" t="str">
        <x:v>D:/Codex/GRL研究/outputs/grid81/GRID81_report.md</x:v>
      </x:c>
    </x:row>
    <x:row r="3603" ht="36" customHeight="1">
      <x:c r="A3603" s="19" t="str">
        <x:v>GRID81</x:v>
      </x:c>
      <x:c r="B3603" s="19" t="str">
        <x:v>GRID81_report.md</x:v>
      </x:c>
      <x:c r="C3603" s="19" t="str">
        <x:v>3. 逐场景质量与时间</x:v>
      </x:c>
      <x:c r="D3603" s="19" t="str">
        <x:v>场景=2036-09-01_9；方法=FRAME_GUARD</x:v>
      </x:c>
      <x:c r="E3603" s="19" t="str">
        <x:v>查询</x:v>
      </x:c>
      <x:c r="F3603" s="19" t="str">
        <x:v>1061</x:v>
      </x:c>
      <x:c r="G3603" s="19" t="str">
        <x:v>速度/计算</x:v>
      </x:c>
      <x:c r="H3603" s="19" t="str">
        <x:v>D:/Codex/GRL研究/outputs/grid81/GRID81_report.md</x:v>
      </x:c>
    </x:row>
    <x:row r="3604" ht="36" customHeight="1">
      <x:c r="A3604" s="19" t="str">
        <x:v>GRID81</x:v>
      </x:c>
      <x:c r="B3604" s="19" t="str">
        <x:v>GRID81_report.md</x:v>
      </x:c>
      <x:c r="C3604" s="19" t="str">
        <x:v>3. 逐场景质量与时间</x:v>
      </x:c>
      <x:c r="D3604" s="19" t="str">
        <x:v>场景=2036-09-01_9；方法=FRAME_GUARD</x:v>
      </x:c>
      <x:c r="E3604" s="19" t="str">
        <x:v>控制秒，两次范围</x:v>
      </x:c>
      <x:c r="F3604" s="19" t="str">
        <x:v>38.741 [38.322, 39.161]</x:v>
      </x:c>
      <x:c r="G3604" s="19" t="str">
        <x:v>速度/计算</x:v>
      </x:c>
      <x:c r="H3604" s="19" t="str">
        <x:v>D:/Codex/GRL研究/outputs/grid81/GRID81_report.md</x:v>
      </x:c>
    </x:row>
    <x:row r="3605" ht="36" customHeight="1">
      <x:c r="A3605" s="19" t="str">
        <x:v>GRID81</x:v>
      </x:c>
      <x:c r="B3605" s="19" t="str">
        <x:v>GRID81_report.md</x:v>
      </x:c>
      <x:c r="C3605" s="19" t="str">
        <x:v>3. 逐场景质量与时间</x:v>
      </x:c>
      <x:c r="D3605" s="19" t="str">
        <x:v>场景=2036-09-01_9；方法=RANDOM_GATE0</x:v>
      </x:c>
      <x:c r="E3605" s="19" t="str">
        <x:v>方法</x:v>
      </x:c>
      <x:c r="F3605" s="19" t="str">
        <x:v>RANDOM_GATE0</x:v>
      </x:c>
      <x:c r="G3605" s="19" t="str">
        <x:v>其他/配置</x:v>
      </x:c>
      <x:c r="H3605" s="19" t="str">
        <x:v>D:/Codex/GRL研究/outputs/grid81/GRID81_report.md</x:v>
      </x:c>
    </x:row>
    <x:row r="3606" ht="36" customHeight="1">
      <x:c r="A3606" s="19" t="str">
        <x:v>GRID81</x:v>
      </x:c>
      <x:c r="B3606" s="19" t="str">
        <x:v>GRID81_report.md</x:v>
      </x:c>
      <x:c r="C3606" s="19" t="str">
        <x:v>3. 逐场景质量与时间</x:v>
      </x:c>
      <x:c r="D3606" s="19" t="str">
        <x:v>场景=2036-09-01_9；方法=RANDOM_GATE0</x:v>
      </x:c>
      <x:c r="E3606" s="19" t="str">
        <x:v>完成/步数</x:v>
      </x:c>
      <x:c r="F3606" s="19" t="str">
        <x:v>True/2017</x:v>
      </x:c>
      <x:c r="G3606" s="19" t="str">
        <x:v>质量/成本</x:v>
      </x:c>
      <x:c r="H3606" s="19" t="str">
        <x:v>D:/Codex/GRL研究/outputs/grid81/GRID81_report.md</x:v>
      </x:c>
    </x:row>
    <x:row r="3607" ht="36" customHeight="1">
      <x:c r="A3607" s="19" t="str">
        <x:v>GRID81</x:v>
      </x:c>
      <x:c r="B3607" s="19" t="str">
        <x:v>GRID81_report.md</x:v>
      </x:c>
      <x:c r="C3607" s="19" t="str">
        <x:v>3. 逐场景质量与时间</x:v>
      </x:c>
      <x:c r="D3607" s="19" t="str">
        <x:v>场景=2036-09-01_9；方法=RANDOM_GATE0</x:v>
      </x:c>
      <x:c r="E3607" s="19" t="str">
        <x:v>完整周成本相对FULL</x:v>
      </x:c>
      <x:c r="F3607" s="19" t="str">
        <x:v>-0.0234%</x:v>
      </x:c>
      <x:c r="G3607" s="19" t="str">
        <x:v>质量/成本</x:v>
      </x:c>
      <x:c r="H3607" s="19" t="str">
        <x:v>D:/Codex/GRL研究/outputs/grid81/GRID81_report.md</x:v>
      </x:c>
    </x:row>
    <x:row r="3608" ht="36" customHeight="1">
      <x:c r="A3608" s="19" t="str">
        <x:v>GRID81</x:v>
      </x:c>
      <x:c r="B3608" s="19" t="str">
        <x:v>GRID81_report.md</x:v>
      </x:c>
      <x:c r="C3608" s="19" t="str">
        <x:v>3. 逐场景质量与时间</x:v>
      </x:c>
      <x:c r="D3608" s="19" t="str">
        <x:v>场景=2036-09-01_9；方法=RANDOM_GATE0</x:v>
      </x:c>
      <x:c r="E3608" s="19" t="str">
        <x:v>查询</x:v>
      </x:c>
      <x:c r="F3608" s="19" t="str">
        <x:v>933</x:v>
      </x:c>
      <x:c r="G3608" s="19" t="str">
        <x:v>速度/计算</x:v>
      </x:c>
      <x:c r="H3608" s="19" t="str">
        <x:v>D:/Codex/GRL研究/outputs/grid81/GRID81_report.md</x:v>
      </x:c>
    </x:row>
    <x:row r="3609" ht="36" customHeight="1">
      <x:c r="A3609" s="19" t="str">
        <x:v>GRID81</x:v>
      </x:c>
      <x:c r="B3609" s="19" t="str">
        <x:v>GRID81_report.md</x:v>
      </x:c>
      <x:c r="C3609" s="19" t="str">
        <x:v>3. 逐场景质量与时间</x:v>
      </x:c>
      <x:c r="D3609" s="19" t="str">
        <x:v>场景=2036-09-01_9；方法=RANDOM_GATE0</x:v>
      </x:c>
      <x:c r="E3609" s="19" t="str">
        <x:v>控制秒，两次范围</x:v>
      </x:c>
      <x:c r="F3609" s="19" t="str">
        <x:v>38.299 [38.163, 38.435]</x:v>
      </x:c>
      <x:c r="G3609" s="19" t="str">
        <x:v>速度/计算</x:v>
      </x:c>
      <x:c r="H3609" s="19" t="str">
        <x:v>D:/Codex/GRL研究/outputs/grid81/GRID81_report.md</x:v>
      </x:c>
    </x:row>
    <x:row r="3610" ht="36" customHeight="1">
      <x:c r="A3610" s="19" t="str">
        <x:v>GRID81</x:v>
      </x:c>
      <x:c r="B3610" s="19" t="str">
        <x:v>GRID81_report.md</x:v>
      </x:c>
      <x:c r="C3610" s="19" t="str">
        <x:v>3. 逐场景质量与时间</x:v>
      </x:c>
      <x:c r="D3610" s="19" t="str">
        <x:v>场景=2036-09-01_9；方法=RANDOM_GATE1</x:v>
      </x:c>
      <x:c r="E3610" s="19" t="str">
        <x:v>方法</x:v>
      </x:c>
      <x:c r="F3610" s="19" t="str">
        <x:v>RANDOM_GATE1</x:v>
      </x:c>
      <x:c r="G3610" s="19" t="str">
        <x:v>其他/配置</x:v>
      </x:c>
      <x:c r="H3610" s="19" t="str">
        <x:v>D:/Codex/GRL研究/outputs/grid81/GRID81_report.md</x:v>
      </x:c>
    </x:row>
    <x:row r="3611" ht="36" customHeight="1">
      <x:c r="A3611" s="19" t="str">
        <x:v>GRID81</x:v>
      </x:c>
      <x:c r="B3611" s="19" t="str">
        <x:v>GRID81_report.md</x:v>
      </x:c>
      <x:c r="C3611" s="19" t="str">
        <x:v>3. 逐场景质量与时间</x:v>
      </x:c>
      <x:c r="D3611" s="19" t="str">
        <x:v>场景=2036-09-01_9；方法=RANDOM_GATE1</x:v>
      </x:c>
      <x:c r="E3611" s="19" t="str">
        <x:v>完成/步数</x:v>
      </x:c>
      <x:c r="F3611" s="19" t="str">
        <x:v>True/2017</x:v>
      </x:c>
      <x:c r="G3611" s="19" t="str">
        <x:v>质量/成本</x:v>
      </x:c>
      <x:c r="H3611" s="19" t="str">
        <x:v>D:/Codex/GRL研究/outputs/grid81/GRID81_report.md</x:v>
      </x:c>
    </x:row>
    <x:row r="3612" ht="36" customHeight="1">
      <x:c r="A3612" s="19" t="str">
        <x:v>GRID81</x:v>
      </x:c>
      <x:c r="B3612" s="19" t="str">
        <x:v>GRID81_report.md</x:v>
      </x:c>
      <x:c r="C3612" s="19" t="str">
        <x:v>3. 逐场景质量与时间</x:v>
      </x:c>
      <x:c r="D3612" s="19" t="str">
        <x:v>场景=2036-09-01_9；方法=RANDOM_GATE1</x:v>
      </x:c>
      <x:c r="E3612" s="19" t="str">
        <x:v>完整周成本相对FULL</x:v>
      </x:c>
      <x:c r="F3612" s="19" t="str">
        <x:v>-0.0234%</x:v>
      </x:c>
      <x:c r="G3612" s="19" t="str">
        <x:v>质量/成本</x:v>
      </x:c>
      <x:c r="H3612" s="19" t="str">
        <x:v>D:/Codex/GRL研究/outputs/grid81/GRID81_report.md</x:v>
      </x:c>
    </x:row>
    <x:row r="3613" ht="36" customHeight="1">
      <x:c r="A3613" s="19" t="str">
        <x:v>GRID81</x:v>
      </x:c>
      <x:c r="B3613" s="19" t="str">
        <x:v>GRID81_report.md</x:v>
      </x:c>
      <x:c r="C3613" s="19" t="str">
        <x:v>3. 逐场景质量与时间</x:v>
      </x:c>
      <x:c r="D3613" s="19" t="str">
        <x:v>场景=2036-09-01_9；方法=RANDOM_GATE1</x:v>
      </x:c>
      <x:c r="E3613" s="19" t="str">
        <x:v>查询</x:v>
      </x:c>
      <x:c r="F3613" s="19" t="str">
        <x:v>933</x:v>
      </x:c>
      <x:c r="G3613" s="19" t="str">
        <x:v>速度/计算</x:v>
      </x:c>
      <x:c r="H3613" s="19" t="str">
        <x:v>D:/Codex/GRL研究/outputs/grid81/GRID81_report.md</x:v>
      </x:c>
    </x:row>
    <x:row r="3614" ht="36" customHeight="1">
      <x:c r="A3614" s="19" t="str">
        <x:v>GRID81</x:v>
      </x:c>
      <x:c r="B3614" s="19" t="str">
        <x:v>GRID81_report.md</x:v>
      </x:c>
      <x:c r="C3614" s="19" t="str">
        <x:v>3. 逐场景质量与时间</x:v>
      </x:c>
      <x:c r="D3614" s="19" t="str">
        <x:v>场景=2036-09-01_9；方法=RANDOM_GATE1</x:v>
      </x:c>
      <x:c r="E3614" s="19" t="str">
        <x:v>控制秒，两次范围</x:v>
      </x:c>
      <x:c r="F3614" s="19" t="str">
        <x:v>38.722 [38.515, 38.929]</x:v>
      </x:c>
      <x:c r="G3614" s="19" t="str">
        <x:v>速度/计算</x:v>
      </x:c>
      <x:c r="H3614" s="19" t="str">
        <x:v>D:/Codex/GRL研究/outputs/grid81/GRID81_report.md</x:v>
      </x:c>
    </x:row>
    <x:row r="3615" ht="36" customHeight="1">
      <x:c r="A3615" s="19" t="str">
        <x:v>GRID81</x:v>
      </x:c>
      <x:c r="B3615" s="19" t="str">
        <x:v>GRID81_report.md</x:v>
      </x:c>
      <x:c r="C3615" s="19" t="str">
        <x:v>3. 逐场景质量与时间</x:v>
      </x:c>
      <x:c r="D3615" s="19" t="str">
        <x:v>场景=2036-11-03_9；方法=FULL</x:v>
      </x:c>
      <x:c r="E3615" s="19" t="str">
        <x:v>方法</x:v>
      </x:c>
      <x:c r="F3615" s="19" t="str">
        <x:v>FULL</x:v>
      </x:c>
      <x:c r="G3615" s="19" t="str">
        <x:v>其他/配置</x:v>
      </x:c>
      <x:c r="H3615" s="19" t="str">
        <x:v>D:/Codex/GRL研究/outputs/grid81/GRID81_report.md</x:v>
      </x:c>
    </x:row>
    <x:row r="3616" ht="36" customHeight="1">
      <x:c r="A3616" s="19" t="str">
        <x:v>GRID81</x:v>
      </x:c>
      <x:c r="B3616" s="19" t="str">
        <x:v>GRID81_report.md</x:v>
      </x:c>
      <x:c r="C3616" s="19" t="str">
        <x:v>3. 逐场景质量与时间</x:v>
      </x:c>
      <x:c r="D3616" s="19" t="str">
        <x:v>场景=2036-11-03_9；方法=FULL</x:v>
      </x:c>
      <x:c r="E3616" s="19" t="str">
        <x:v>完成/步数</x:v>
      </x:c>
      <x:c r="F3616" s="19" t="str">
        <x:v>False/519</x:v>
      </x:c>
      <x:c r="G3616" s="19" t="str">
        <x:v>质量/成本</x:v>
      </x:c>
      <x:c r="H3616" s="19" t="str">
        <x:v>D:/Codex/GRL研究/outputs/grid81/GRID81_report.md</x:v>
      </x:c>
    </x:row>
    <x:row r="3617" ht="36" customHeight="1">
      <x:c r="A3617" s="19" t="str">
        <x:v>GRID81</x:v>
      </x:c>
      <x:c r="B3617" s="19" t="str">
        <x:v>GRID81_report.md</x:v>
      </x:c>
      <x:c r="C3617" s="19" t="str">
        <x:v>3. 逐场景质量与时间</x:v>
      </x:c>
      <x:c r="D3617" s="19" t="str">
        <x:v>场景=2036-11-03_9；方法=FULL</x:v>
      </x:c>
      <x:c r="E3617" s="19" t="str">
        <x:v>完整周成本相对FULL</x:v>
      </x:c>
      <x:c r="F3617" s="19" t="str">
        <x:v>不同完成条件，不作成本比</x:v>
      </x:c>
      <x:c r="G3617" s="19" t="str">
        <x:v>质量/成本</x:v>
      </x:c>
      <x:c r="H3617" s="19" t="str">
        <x:v>D:/Codex/GRL研究/outputs/grid81/GRID81_report.md</x:v>
      </x:c>
    </x:row>
    <x:row r="3618" ht="36" customHeight="1">
      <x:c r="A3618" s="19" t="str">
        <x:v>GRID81</x:v>
      </x:c>
      <x:c r="B3618" s="19" t="str">
        <x:v>GRID81_report.md</x:v>
      </x:c>
      <x:c r="C3618" s="19" t="str">
        <x:v>3. 逐场景质量与时间</x:v>
      </x:c>
      <x:c r="D3618" s="19" t="str">
        <x:v>场景=2036-11-03_9；方法=FULL</x:v>
      </x:c>
      <x:c r="E3618" s="19" t="str">
        <x:v>查询</x:v>
      </x:c>
      <x:c r="F3618" s="19" t="str">
        <x:v>0</x:v>
      </x:c>
      <x:c r="G3618" s="19" t="str">
        <x:v>速度/计算</x:v>
      </x:c>
      <x:c r="H3618" s="19" t="str">
        <x:v>D:/Codex/GRL研究/outputs/grid81/GRID81_report.md</x:v>
      </x:c>
    </x:row>
    <x:row r="3619" ht="36" customHeight="1">
      <x:c r="A3619" s="19" t="str">
        <x:v>GRID81</x:v>
      </x:c>
      <x:c r="B3619" s="19" t="str">
        <x:v>GRID81_report.md</x:v>
      </x:c>
      <x:c r="C3619" s="19" t="str">
        <x:v>3. 逐场景质量与时间</x:v>
      </x:c>
      <x:c r="D3619" s="19" t="str">
        <x:v>场景=2036-11-03_9；方法=FULL</x:v>
      </x:c>
      <x:c r="E3619" s="19" t="str">
        <x:v>控制秒，两次范围</x:v>
      </x:c>
      <x:c r="F3619" s="19" t="str">
        <x:v>14.581 [14.536, 14.625]</x:v>
      </x:c>
      <x:c r="G3619" s="19" t="str">
        <x:v>速度/计算</x:v>
      </x:c>
      <x:c r="H3619" s="19" t="str">
        <x:v>D:/Codex/GRL研究/outputs/grid81/GRID81_report.md</x:v>
      </x:c>
    </x:row>
    <x:row r="3620" ht="36" customHeight="1">
      <x:c r="A3620" s="19" t="str">
        <x:v>GRID81</x:v>
      </x:c>
      <x:c r="B3620" s="19" t="str">
        <x:v>GRID81_report.md</x:v>
      </x:c>
      <x:c r="C3620" s="19" t="str">
        <x:v>3. 逐场景质量与时间</x:v>
      </x:c>
      <x:c r="D3620" s="19" t="str">
        <x:v>场景=2036-11-03_9；方法=CONTEXT_GATE</x:v>
      </x:c>
      <x:c r="E3620" s="19" t="str">
        <x:v>方法</x:v>
      </x:c>
      <x:c r="F3620" s="19" t="str">
        <x:v>CONTEXT_GATE</x:v>
      </x:c>
      <x:c r="G3620" s="19" t="str">
        <x:v>其他/配置</x:v>
      </x:c>
      <x:c r="H3620" s="19" t="str">
        <x:v>D:/Codex/GRL研究/outputs/grid81/GRID81_report.md</x:v>
      </x:c>
    </x:row>
    <x:row r="3621" ht="36" customHeight="1">
      <x:c r="A3621" s="19" t="str">
        <x:v>GRID81</x:v>
      </x:c>
      <x:c r="B3621" s="19" t="str">
        <x:v>GRID81_report.md</x:v>
      </x:c>
      <x:c r="C3621" s="19" t="str">
        <x:v>3. 逐场景质量与时间</x:v>
      </x:c>
      <x:c r="D3621" s="19" t="str">
        <x:v>场景=2036-11-03_9；方法=CONTEXT_GATE</x:v>
      </x:c>
      <x:c r="E3621" s="19" t="str">
        <x:v>完成/步数</x:v>
      </x:c>
      <x:c r="F3621" s="19" t="str">
        <x:v>False/519</x:v>
      </x:c>
      <x:c r="G3621" s="19" t="str">
        <x:v>质量/成本</x:v>
      </x:c>
      <x:c r="H3621" s="19" t="str">
        <x:v>D:/Codex/GRL研究/outputs/grid81/GRID81_report.md</x:v>
      </x:c>
    </x:row>
    <x:row r="3622" ht="36" customHeight="1">
      <x:c r="A3622" s="19" t="str">
        <x:v>GRID81</x:v>
      </x:c>
      <x:c r="B3622" s="19" t="str">
        <x:v>GRID81_report.md</x:v>
      </x:c>
      <x:c r="C3622" s="19" t="str">
        <x:v>3. 逐场景质量与时间</x:v>
      </x:c>
      <x:c r="D3622" s="19" t="str">
        <x:v>场景=2036-11-03_9；方法=CONTEXT_GATE</x:v>
      </x:c>
      <x:c r="E3622" s="19" t="str">
        <x:v>完整周成本相对FULL</x:v>
      </x:c>
      <x:c r="F3622" s="19" t="str">
        <x:v>不同完成条件，不作成本比</x:v>
      </x:c>
      <x:c r="G3622" s="19" t="str">
        <x:v>质量/成本</x:v>
      </x:c>
      <x:c r="H3622" s="19" t="str">
        <x:v>D:/Codex/GRL研究/outputs/grid81/GRID81_report.md</x:v>
      </x:c>
    </x:row>
    <x:row r="3623" ht="36" customHeight="1">
      <x:c r="A3623" s="19" t="str">
        <x:v>GRID81</x:v>
      </x:c>
      <x:c r="B3623" s="19" t="str">
        <x:v>GRID81_report.md</x:v>
      </x:c>
      <x:c r="C3623" s="19" t="str">
        <x:v>3. 逐场景质量与时间</x:v>
      </x:c>
      <x:c r="D3623" s="19" t="str">
        <x:v>场景=2036-11-03_9；方法=CONTEXT_GATE</x:v>
      </x:c>
      <x:c r="E3623" s="19" t="str">
        <x:v>查询</x:v>
      </x:c>
      <x:c r="F3623" s="19" t="str">
        <x:v>0</x:v>
      </x:c>
      <x:c r="G3623" s="19" t="str">
        <x:v>速度/计算</x:v>
      </x:c>
      <x:c r="H3623" s="19" t="str">
        <x:v>D:/Codex/GRL研究/outputs/grid81/GRID81_report.md</x:v>
      </x:c>
    </x:row>
    <x:row r="3624" ht="36" customHeight="1">
      <x:c r="A3624" s="19" t="str">
        <x:v>GRID81</x:v>
      </x:c>
      <x:c r="B3624" s="19" t="str">
        <x:v>GRID81_report.md</x:v>
      </x:c>
      <x:c r="C3624" s="19" t="str">
        <x:v>3. 逐场景质量与时间</x:v>
      </x:c>
      <x:c r="D3624" s="19" t="str">
        <x:v>场景=2036-11-03_9；方法=CONTEXT_GATE</x:v>
      </x:c>
      <x:c r="E3624" s="19" t="str">
        <x:v>控制秒，两次范围</x:v>
      </x:c>
      <x:c r="F3624" s="19" t="str">
        <x:v>14.584 [14.558, 14.611]</x:v>
      </x:c>
      <x:c r="G3624" s="19" t="str">
        <x:v>速度/计算</x:v>
      </x:c>
      <x:c r="H3624" s="19" t="str">
        <x:v>D:/Codex/GRL研究/outputs/grid81/GRID81_report.md</x:v>
      </x:c>
    </x:row>
    <x:row r="3625" ht="36" customHeight="1">
      <x:c r="A3625" s="19" t="str">
        <x:v>GRID81</x:v>
      </x:c>
      <x:c r="B3625" s="19" t="str">
        <x:v>GRID81_report.md</x:v>
      </x:c>
      <x:c r="C3625" s="19" t="str">
        <x:v>3. 逐场景质量与时间</x:v>
      </x:c>
      <x:c r="D3625" s="19" t="str">
        <x:v>场景=2036-11-03_9；方法=FRAME_GUARD</x:v>
      </x:c>
      <x:c r="E3625" s="19" t="str">
        <x:v>方法</x:v>
      </x:c>
      <x:c r="F3625" s="19" t="str">
        <x:v>FRAME_GUARD</x:v>
      </x:c>
      <x:c r="G3625" s="19" t="str">
        <x:v>其他/配置</x:v>
      </x:c>
      <x:c r="H3625" s="19" t="str">
        <x:v>D:/Codex/GRL研究/outputs/grid81/GRID81_report.md</x:v>
      </x:c>
    </x:row>
    <x:row r="3626" ht="36" customHeight="1">
      <x:c r="A3626" s="19" t="str">
        <x:v>GRID81</x:v>
      </x:c>
      <x:c r="B3626" s="19" t="str">
        <x:v>GRID81_report.md</x:v>
      </x:c>
      <x:c r="C3626" s="19" t="str">
        <x:v>3. 逐场景质量与时间</x:v>
      </x:c>
      <x:c r="D3626" s="19" t="str">
        <x:v>场景=2036-11-03_9；方法=FRAME_GUARD</x:v>
      </x:c>
      <x:c r="E3626" s="19" t="str">
        <x:v>完成/步数</x:v>
      </x:c>
      <x:c r="F3626" s="19" t="str">
        <x:v>False/519</x:v>
      </x:c>
      <x:c r="G3626" s="19" t="str">
        <x:v>质量/成本</x:v>
      </x:c>
      <x:c r="H3626" s="19" t="str">
        <x:v>D:/Codex/GRL研究/outputs/grid81/GRID81_report.md</x:v>
      </x:c>
    </x:row>
    <x:row r="3627" ht="36" customHeight="1">
      <x:c r="A3627" s="19" t="str">
        <x:v>GRID81</x:v>
      </x:c>
      <x:c r="B3627" s="19" t="str">
        <x:v>GRID81_report.md</x:v>
      </x:c>
      <x:c r="C3627" s="19" t="str">
        <x:v>3. 逐场景质量与时间</x:v>
      </x:c>
      <x:c r="D3627" s="19" t="str">
        <x:v>场景=2036-11-03_9；方法=FRAME_GUARD</x:v>
      </x:c>
      <x:c r="E3627" s="19" t="str">
        <x:v>完整周成本相对FULL</x:v>
      </x:c>
      <x:c r="F3627" s="19" t="str">
        <x:v>不同完成条件，不作成本比</x:v>
      </x:c>
      <x:c r="G3627" s="19" t="str">
        <x:v>质量/成本</x:v>
      </x:c>
      <x:c r="H3627" s="19" t="str">
        <x:v>D:/Codex/GRL研究/outputs/grid81/GRID81_report.md</x:v>
      </x:c>
    </x:row>
    <x:row r="3628" ht="36" customHeight="1">
      <x:c r="A3628" s="19" t="str">
        <x:v>GRID81</x:v>
      </x:c>
      <x:c r="B3628" s="19" t="str">
        <x:v>GRID81_report.md</x:v>
      </x:c>
      <x:c r="C3628" s="19" t="str">
        <x:v>3. 逐场景质量与时间</x:v>
      </x:c>
      <x:c r="D3628" s="19" t="str">
        <x:v>场景=2036-11-03_9；方法=FRAME_GUARD</x:v>
      </x:c>
      <x:c r="E3628" s="19" t="str">
        <x:v>查询</x:v>
      </x:c>
      <x:c r="F3628" s="19" t="str">
        <x:v>0</x:v>
      </x:c>
      <x:c r="G3628" s="19" t="str">
        <x:v>速度/计算</x:v>
      </x:c>
      <x:c r="H3628" s="19" t="str">
        <x:v>D:/Codex/GRL研究/outputs/grid81/GRID81_report.md</x:v>
      </x:c>
    </x:row>
    <x:row r="3629" ht="36" customHeight="1">
      <x:c r="A3629" s="19" t="str">
        <x:v>GRID81</x:v>
      </x:c>
      <x:c r="B3629" s="19" t="str">
        <x:v>GRID81_report.md</x:v>
      </x:c>
      <x:c r="C3629" s="19" t="str">
        <x:v>3. 逐场景质量与时间</x:v>
      </x:c>
      <x:c r="D3629" s="19" t="str">
        <x:v>场景=2036-11-03_9；方法=FRAME_GUARD</x:v>
      </x:c>
      <x:c r="E3629" s="19" t="str">
        <x:v>控制秒，两次范围</x:v>
      </x:c>
      <x:c r="F3629" s="19" t="str">
        <x:v>14.663 [14.540, 14.787]</x:v>
      </x:c>
      <x:c r="G3629" s="19" t="str">
        <x:v>速度/计算</x:v>
      </x:c>
      <x:c r="H3629" s="19" t="str">
        <x:v>D:/Codex/GRL研究/outputs/grid81/GRID81_report.md</x:v>
      </x:c>
    </x:row>
    <x:row r="3630" ht="36" customHeight="1">
      <x:c r="A3630" s="19" t="str">
        <x:v>GRID81</x:v>
      </x:c>
      <x:c r="B3630" s="19" t="str">
        <x:v>GRID81_report.md</x:v>
      </x:c>
      <x:c r="C3630" s="19" t="str">
        <x:v>3. 逐场景质量与时间</x:v>
      </x:c>
      <x:c r="D3630" s="19" t="str">
        <x:v>场景=2036-11-03_9；方法=RANDOM_GATE0</x:v>
      </x:c>
      <x:c r="E3630" s="19" t="str">
        <x:v>方法</x:v>
      </x:c>
      <x:c r="F3630" s="19" t="str">
        <x:v>RANDOM_GATE0</x:v>
      </x:c>
      <x:c r="G3630" s="19" t="str">
        <x:v>其他/配置</x:v>
      </x:c>
      <x:c r="H3630" s="19" t="str">
        <x:v>D:/Codex/GRL研究/outputs/grid81/GRID81_report.md</x:v>
      </x:c>
    </x:row>
    <x:row r="3631" ht="36" customHeight="1">
      <x:c r="A3631" s="19" t="str">
        <x:v>GRID81</x:v>
      </x:c>
      <x:c r="B3631" s="19" t="str">
        <x:v>GRID81_report.md</x:v>
      </x:c>
      <x:c r="C3631" s="19" t="str">
        <x:v>3. 逐场景质量与时间</x:v>
      </x:c>
      <x:c r="D3631" s="19" t="str">
        <x:v>场景=2036-11-03_9；方法=RANDOM_GATE0</x:v>
      </x:c>
      <x:c r="E3631" s="19" t="str">
        <x:v>完成/步数</x:v>
      </x:c>
      <x:c r="F3631" s="19" t="str">
        <x:v>False/519</x:v>
      </x:c>
      <x:c r="G3631" s="19" t="str">
        <x:v>质量/成本</x:v>
      </x:c>
      <x:c r="H3631" s="19" t="str">
        <x:v>D:/Codex/GRL研究/outputs/grid81/GRID81_report.md</x:v>
      </x:c>
    </x:row>
    <x:row r="3632" ht="36" customHeight="1">
      <x:c r="A3632" s="19" t="str">
        <x:v>GRID81</x:v>
      </x:c>
      <x:c r="B3632" s="19" t="str">
        <x:v>GRID81_report.md</x:v>
      </x:c>
      <x:c r="C3632" s="19" t="str">
        <x:v>3. 逐场景质量与时间</x:v>
      </x:c>
      <x:c r="D3632" s="19" t="str">
        <x:v>场景=2036-11-03_9；方法=RANDOM_GATE0</x:v>
      </x:c>
      <x:c r="E3632" s="19" t="str">
        <x:v>完整周成本相对FULL</x:v>
      </x:c>
      <x:c r="F3632" s="19" t="str">
        <x:v>不同完成条件，不作成本比</x:v>
      </x:c>
      <x:c r="G3632" s="19" t="str">
        <x:v>质量/成本</x:v>
      </x:c>
      <x:c r="H3632" s="19" t="str">
        <x:v>D:/Codex/GRL研究/outputs/grid81/GRID81_report.md</x:v>
      </x:c>
    </x:row>
    <x:row r="3633" ht="36" customHeight="1">
      <x:c r="A3633" s="19" t="str">
        <x:v>GRID81</x:v>
      </x:c>
      <x:c r="B3633" s="19" t="str">
        <x:v>GRID81_report.md</x:v>
      </x:c>
      <x:c r="C3633" s="19" t="str">
        <x:v>3. 逐场景质量与时间</x:v>
      </x:c>
      <x:c r="D3633" s="19" t="str">
        <x:v>场景=2036-11-03_9；方法=RANDOM_GATE0</x:v>
      </x:c>
      <x:c r="E3633" s="19" t="str">
        <x:v>查询</x:v>
      </x:c>
      <x:c r="F3633" s="19" t="str">
        <x:v>0</x:v>
      </x:c>
      <x:c r="G3633" s="19" t="str">
        <x:v>速度/计算</x:v>
      </x:c>
      <x:c r="H3633" s="19" t="str">
        <x:v>D:/Codex/GRL研究/outputs/grid81/GRID81_report.md</x:v>
      </x:c>
    </x:row>
    <x:row r="3634" ht="36" customHeight="1">
      <x:c r="A3634" s="19" t="str">
        <x:v>GRID81</x:v>
      </x:c>
      <x:c r="B3634" s="19" t="str">
        <x:v>GRID81_report.md</x:v>
      </x:c>
      <x:c r="C3634" s="19" t="str">
        <x:v>3. 逐场景质量与时间</x:v>
      </x:c>
      <x:c r="D3634" s="19" t="str">
        <x:v>场景=2036-11-03_9；方法=RANDOM_GATE0</x:v>
      </x:c>
      <x:c r="E3634" s="19" t="str">
        <x:v>控制秒，两次范围</x:v>
      </x:c>
      <x:c r="F3634" s="19" t="str">
        <x:v>14.768 [14.642, 14.894]</x:v>
      </x:c>
      <x:c r="G3634" s="19" t="str">
        <x:v>速度/计算</x:v>
      </x:c>
      <x:c r="H3634" s="19" t="str">
        <x:v>D:/Codex/GRL研究/outputs/grid81/GRID81_report.md</x:v>
      </x:c>
    </x:row>
    <x:row r="3635" ht="36" customHeight="1">
      <x:c r="A3635" s="19" t="str">
        <x:v>GRID81</x:v>
      </x:c>
      <x:c r="B3635" s="19" t="str">
        <x:v>GRID81_report.md</x:v>
      </x:c>
      <x:c r="C3635" s="19" t="str">
        <x:v>3. 逐场景质量与时间</x:v>
      </x:c>
      <x:c r="D3635" s="19" t="str">
        <x:v>场景=2036-11-03_9；方法=RANDOM_GATE1</x:v>
      </x:c>
      <x:c r="E3635" s="19" t="str">
        <x:v>方法</x:v>
      </x:c>
      <x:c r="F3635" s="19" t="str">
        <x:v>RANDOM_GATE1</x:v>
      </x:c>
      <x:c r="G3635" s="19" t="str">
        <x:v>其他/配置</x:v>
      </x:c>
      <x:c r="H3635" s="19" t="str">
        <x:v>D:/Codex/GRL研究/outputs/grid81/GRID81_report.md</x:v>
      </x:c>
    </x:row>
    <x:row r="3636" ht="36" customHeight="1">
      <x:c r="A3636" s="19" t="str">
        <x:v>GRID81</x:v>
      </x:c>
      <x:c r="B3636" s="19" t="str">
        <x:v>GRID81_report.md</x:v>
      </x:c>
      <x:c r="C3636" s="19" t="str">
        <x:v>3. 逐场景质量与时间</x:v>
      </x:c>
      <x:c r="D3636" s="19" t="str">
        <x:v>场景=2036-11-03_9；方法=RANDOM_GATE1</x:v>
      </x:c>
      <x:c r="E3636" s="19" t="str">
        <x:v>完成/步数</x:v>
      </x:c>
      <x:c r="F3636" s="19" t="str">
        <x:v>False/519</x:v>
      </x:c>
      <x:c r="G3636" s="19" t="str">
        <x:v>质量/成本</x:v>
      </x:c>
      <x:c r="H3636" s="19" t="str">
        <x:v>D:/Codex/GRL研究/outputs/grid81/GRID81_report.md</x:v>
      </x:c>
    </x:row>
    <x:row r="3637" ht="36" customHeight="1">
      <x:c r="A3637" s="19" t="str">
        <x:v>GRID81</x:v>
      </x:c>
      <x:c r="B3637" s="19" t="str">
        <x:v>GRID81_report.md</x:v>
      </x:c>
      <x:c r="C3637" s="19" t="str">
        <x:v>3. 逐场景质量与时间</x:v>
      </x:c>
      <x:c r="D3637" s="19" t="str">
        <x:v>场景=2036-11-03_9；方法=RANDOM_GATE1</x:v>
      </x:c>
      <x:c r="E3637" s="19" t="str">
        <x:v>完整周成本相对FULL</x:v>
      </x:c>
      <x:c r="F3637" s="19" t="str">
        <x:v>不同完成条件，不作成本比</x:v>
      </x:c>
      <x:c r="G3637" s="19" t="str">
        <x:v>质量/成本</x:v>
      </x:c>
      <x:c r="H3637" s="19" t="str">
        <x:v>D:/Codex/GRL研究/outputs/grid81/GRID81_report.md</x:v>
      </x:c>
    </x:row>
    <x:row r="3638" ht="36" customHeight="1">
      <x:c r="A3638" s="19" t="str">
        <x:v>GRID81</x:v>
      </x:c>
      <x:c r="B3638" s="19" t="str">
        <x:v>GRID81_report.md</x:v>
      </x:c>
      <x:c r="C3638" s="19" t="str">
        <x:v>3. 逐场景质量与时间</x:v>
      </x:c>
      <x:c r="D3638" s="19" t="str">
        <x:v>场景=2036-11-03_9；方法=RANDOM_GATE1</x:v>
      </x:c>
      <x:c r="E3638" s="19" t="str">
        <x:v>查询</x:v>
      </x:c>
      <x:c r="F3638" s="19" t="str">
        <x:v>0</x:v>
      </x:c>
      <x:c r="G3638" s="19" t="str">
        <x:v>速度/计算</x:v>
      </x:c>
      <x:c r="H3638" s="19" t="str">
        <x:v>D:/Codex/GRL研究/outputs/grid81/GRID81_report.md</x:v>
      </x:c>
    </x:row>
    <x:row r="3639" ht="36" customHeight="1">
      <x:c r="A3639" s="19" t="str">
        <x:v>GRID81</x:v>
      </x:c>
      <x:c r="B3639" s="19" t="str">
        <x:v>GRID81_report.md</x:v>
      </x:c>
      <x:c r="C3639" s="19" t="str">
        <x:v>3. 逐场景质量与时间</x:v>
      </x:c>
      <x:c r="D3639" s="19" t="str">
        <x:v>场景=2036-11-03_9；方法=RANDOM_GATE1</x:v>
      </x:c>
      <x:c r="E3639" s="19" t="str">
        <x:v>控制秒，两次范围</x:v>
      </x:c>
      <x:c r="F3639" s="19" t="str">
        <x:v>14.877 [14.799, 14.956]</x:v>
      </x:c>
      <x:c r="G3639" s="19" t="str">
        <x:v>速度/计算</x:v>
      </x:c>
      <x:c r="H3639" s="19" t="str">
        <x:v>D:/Codex/GRL研究/outputs/grid81/GRID81_report.md</x:v>
      </x:c>
    </x:row>
    <x:row r="3640" ht="36" customHeight="1">
      <x:c r="A3640" s="19" t="str">
        <x:v>GRID82</x:v>
      </x:c>
      <x:c r="B3640" s="19" t="str">
        <x:v>GRID82_report.md</x:v>
      </x:c>
      <x:c r="C3640" s="19" t="str">
        <x:v>1. GRID82：最终固定核查版与会议方法适配的同批比较</x:v>
      </x:c>
      <x:c r="D3640" s="19" t="str">
        <x:v>方法=FRAME_GUARD；质量通过=6/6</x:v>
      </x:c>
      <x:c r="E3640" s="19" t="str">
        <x:v>质量通过</x:v>
      </x:c>
      <x:c r="F3640" s="19" t="str">
        <x:v>6/6</x:v>
      </x:c>
      <x:c r="G3640" s="19" t="str">
        <x:v>质量/成本</x:v>
      </x:c>
      <x:c r="H3640" s="19" t="str">
        <x:v>D:/Codex/GRL研究/outputs/grid82/GRID82_report.md</x:v>
      </x:c>
    </x:row>
    <x:row r="3641" ht="36" customHeight="1">
      <x:c r="A3641" s="19" t="str">
        <x:v>GRID82</x:v>
      </x:c>
      <x:c r="B3641" s="19" t="str">
        <x:v>GRID82_report.md</x:v>
      </x:c>
      <x:c r="C3641" s="19" t="str">
        <x:v>1. GRID82：最终固定核查版与会议方法适配的同批比较</x:v>
      </x:c>
      <x:c r="D3641" s="19" t="str">
        <x:v>方法=FRAME_GUARD；质量通过=6/6</x:v>
      </x:c>
      <x:c r="E3641" s="19" t="str">
        <x:v>完成整周</x:v>
      </x:c>
      <x:c r="F3641" s="19" t="str">
        <x:v>4/6</x:v>
      </x:c>
      <x:c r="G3641" s="19" t="str">
        <x:v>质量/成本</x:v>
      </x:c>
      <x:c r="H3641" s="19" t="str">
        <x:v>D:/Codex/GRL研究/outputs/grid82/GRID82_report.md</x:v>
      </x:c>
    </x:row>
    <x:row r="3642" ht="36" customHeight="1">
      <x:c r="A3642" s="19" t="str">
        <x:v>GRID82</x:v>
      </x:c>
      <x:c r="B3642" s="19" t="str">
        <x:v>GRID82_report.md</x:v>
      </x:c>
      <x:c r="C3642" s="19" t="str">
        <x:v>1. GRID82：最终固定核查版与会议方法适配的同批比较</x:v>
      </x:c>
      <x:c r="D3642" s="19" t="str">
        <x:v>方法=FRAME_GUARD；质量通过=6/6</x:v>
      </x:c>
      <x:c r="E3642" s="19" t="str">
        <x:v>搜索查询合计¹</x:v>
      </x:c>
      <x:c r="F3642" s="19" t="str">
        <x:v>11526</x:v>
      </x:c>
      <x:c r="G3642" s="19" t="str">
        <x:v>速度/计算</x:v>
      </x:c>
      <x:c r="H3642" s="19" t="str">
        <x:v>D:/Codex/GRL研究/outputs/grid82/GRID82_report.md</x:v>
      </x:c>
    </x:row>
    <x:row r="3643" ht="36" customHeight="1">
      <x:c r="A3643" s="19" t="str">
        <x:v>GRID82</x:v>
      </x:c>
      <x:c r="B3643" s="19" t="str">
        <x:v>GRID82_report.md</x:v>
      </x:c>
      <x:c r="C3643" s="19" t="str">
        <x:v>1. GRID82：最终固定核查版与会议方法适配的同批比较</x:v>
      </x:c>
      <x:c r="D3643" s="19" t="str">
        <x:v>方法=FRAME_GUARD；质量通过=6/6</x:v>
      </x:c>
      <x:c r="E3643" s="19" t="str">
        <x:v>控制秒/场景²</x:v>
      </x:c>
      <x:c r="F3643" s="19" t="str">
        <x:v>47.033</x:v>
      </x:c>
      <x:c r="G3643" s="19" t="str">
        <x:v>速度/计算</x:v>
      </x:c>
      <x:c r="H3643" s="19" t="str">
        <x:v>D:/Codex/GRL研究/outputs/grid82/GRID82_report.md</x:v>
      </x:c>
    </x:row>
    <x:row r="3644" ht="36" customHeight="1">
      <x:c r="A3644" s="19" t="str">
        <x:v>GRID82</x:v>
      </x:c>
      <x:c r="B3644" s="19" t="str">
        <x:v>GRID82_report.md</x:v>
      </x:c>
      <x:c r="C3644" s="19" t="str">
        <x:v>1. GRID82：最终固定核查版与会议方法适配的同批比较</x:v>
      </x:c>
      <x:c r="D3644" s="19" t="str">
        <x:v>方法=FRAME_GUARD；质量通过=6/6</x:v>
      </x:c>
      <x:c r="E3644" s="19" t="str">
        <x:v>最大完整周成本增幅</x:v>
      </x:c>
      <x:c r="F3644" s="19" t="str">
        <x:v>+0.0866%</x:v>
      </x:c>
      <x:c r="G3644" s="19" t="str">
        <x:v>质量/成本</x:v>
      </x:c>
      <x:c r="H3644" s="19" t="str">
        <x:v>D:/Codex/GRL研究/outputs/grid82/GRID82_report.md</x:v>
      </x:c>
    </x:row>
    <x:row r="3645" ht="36" customHeight="1">
      <x:c r="A3645" s="19" t="str">
        <x:v>GRID82</x:v>
      </x:c>
      <x:c r="B3645" s="19" t="str">
        <x:v>GRID82_report.md</x:v>
      </x:c>
      <x:c r="C3645" s="19" t="str">
        <x:v>1. GRID82：最终固定核查版与会议方法适配的同批比较</x:v>
      </x:c>
      <x:c r="D3645" s="19" t="str">
        <x:v>方法=META_CONTEXT0；质量通过=6/6</x:v>
      </x:c>
      <x:c r="E3645" s="19" t="str">
        <x:v>质量通过</x:v>
      </x:c>
      <x:c r="F3645" s="19" t="str">
        <x:v>6/6</x:v>
      </x:c>
      <x:c r="G3645" s="19" t="str">
        <x:v>质量/成本</x:v>
      </x:c>
      <x:c r="H3645" s="19" t="str">
        <x:v>D:/Codex/GRL研究/outputs/grid82/GRID82_report.md</x:v>
      </x:c>
    </x:row>
    <x:row r="3646" ht="36" customHeight="1">
      <x:c r="A3646" s="19" t="str">
        <x:v>GRID82</x:v>
      </x:c>
      <x:c r="B3646" s="19" t="str">
        <x:v>GRID82_report.md</x:v>
      </x:c>
      <x:c r="C3646" s="19" t="str">
        <x:v>1. GRID82：最终固定核查版与会议方法适配的同批比较</x:v>
      </x:c>
      <x:c r="D3646" s="19" t="str">
        <x:v>方法=META_CONTEXT0；质量通过=6/6</x:v>
      </x:c>
      <x:c r="E3646" s="19" t="str">
        <x:v>完成整周</x:v>
      </x:c>
      <x:c r="F3646" s="19" t="str">
        <x:v>4/6</x:v>
      </x:c>
      <x:c r="G3646" s="19" t="str">
        <x:v>质量/成本</x:v>
      </x:c>
      <x:c r="H3646" s="19" t="str">
        <x:v>D:/Codex/GRL研究/outputs/grid82/GRID82_report.md</x:v>
      </x:c>
    </x:row>
    <x:row r="3647" ht="36" customHeight="1">
      <x:c r="A3647" s="19" t="str">
        <x:v>GRID82</x:v>
      </x:c>
      <x:c r="B3647" s="19" t="str">
        <x:v>GRID82_report.md</x:v>
      </x:c>
      <x:c r="C3647" s="19" t="str">
        <x:v>1. GRID82：最终固定核查版与会议方法适配的同批比较</x:v>
      </x:c>
      <x:c r="D3647" s="19" t="str">
        <x:v>方法=META_CONTEXT0；质量通过=6/6</x:v>
      </x:c>
      <x:c r="E3647" s="19" t="str">
        <x:v>搜索查询合计¹</x:v>
      </x:c>
      <x:c r="F3647" s="19" t="str">
        <x:v>16473</x:v>
      </x:c>
      <x:c r="G3647" s="19" t="str">
        <x:v>速度/计算</x:v>
      </x:c>
      <x:c r="H3647" s="19" t="str">
        <x:v>D:/Codex/GRL研究/outputs/grid82/GRID82_report.md</x:v>
      </x:c>
    </x:row>
    <x:row r="3648" ht="36" customHeight="1">
      <x:c r="A3648" s="19" t="str">
        <x:v>GRID82</x:v>
      </x:c>
      <x:c r="B3648" s="19" t="str">
        <x:v>GRID82_report.md</x:v>
      </x:c>
      <x:c r="C3648" s="19" t="str">
        <x:v>1. GRID82：最终固定核查版与会议方法适配的同批比较</x:v>
      </x:c>
      <x:c r="D3648" s="19" t="str">
        <x:v>方法=META_CONTEXT0；质量通过=6/6</x:v>
      </x:c>
      <x:c r="E3648" s="19" t="str">
        <x:v>控制秒/场景²</x:v>
      </x:c>
      <x:c r="F3648" s="19" t="str">
        <x:v>50.219</x:v>
      </x:c>
      <x:c r="G3648" s="19" t="str">
        <x:v>速度/计算</x:v>
      </x:c>
      <x:c r="H3648" s="19" t="str">
        <x:v>D:/Codex/GRL研究/outputs/grid82/GRID82_report.md</x:v>
      </x:c>
    </x:row>
    <x:row r="3649" ht="36" customHeight="1">
      <x:c r="A3649" s="19" t="str">
        <x:v>GRID82</x:v>
      </x:c>
      <x:c r="B3649" s="19" t="str">
        <x:v>GRID82_report.md</x:v>
      </x:c>
      <x:c r="C3649" s="19" t="str">
        <x:v>1. GRID82：最终固定核查版与会议方法适配的同批比较</x:v>
      </x:c>
      <x:c r="D3649" s="19" t="str">
        <x:v>方法=META_CONTEXT0；质量通过=6/6</x:v>
      </x:c>
      <x:c r="E3649" s="19" t="str">
        <x:v>最大完整周成本增幅</x:v>
      </x:c>
      <x:c r="F3649" s="19" t="str">
        <x:v>+0.3776%</x:v>
      </x:c>
      <x:c r="G3649" s="19" t="str">
        <x:v>质量/成本</x:v>
      </x:c>
      <x:c r="H3649" s="19" t="str">
        <x:v>D:/Codex/GRL研究/outputs/grid82/GRID82_report.md</x:v>
      </x:c>
    </x:row>
    <x:row r="3650" ht="36" customHeight="1">
      <x:c r="A3650" s="19" t="str">
        <x:v>GRID82</x:v>
      </x:c>
      <x:c r="B3650" s="19" t="str">
        <x:v>GRID82_report.md</x:v>
      </x:c>
      <x:c r="C3650" s="19" t="str">
        <x:v>1. GRID82：最终固定核查版与会议方法适配的同批比较</x:v>
      </x:c>
      <x:c r="D3650" s="19" t="str">
        <x:v>方法=META_CONTEXT1；质量通过=6/6</x:v>
      </x:c>
      <x:c r="E3650" s="19" t="str">
        <x:v>质量通过</x:v>
      </x:c>
      <x:c r="F3650" s="19" t="str">
        <x:v>6/6</x:v>
      </x:c>
      <x:c r="G3650" s="19" t="str">
        <x:v>质量/成本</x:v>
      </x:c>
      <x:c r="H3650" s="19" t="str">
        <x:v>D:/Codex/GRL研究/outputs/grid82/GRID82_report.md</x:v>
      </x:c>
    </x:row>
    <x:row r="3651" ht="36" customHeight="1">
      <x:c r="A3651" s="19" t="str">
        <x:v>GRID82</x:v>
      </x:c>
      <x:c r="B3651" s="19" t="str">
        <x:v>GRID82_report.md</x:v>
      </x:c>
      <x:c r="C3651" s="19" t="str">
        <x:v>1. GRID82：最终固定核查版与会议方法适配的同批比较</x:v>
      </x:c>
      <x:c r="D3651" s="19" t="str">
        <x:v>方法=META_CONTEXT1；质量通过=6/6</x:v>
      </x:c>
      <x:c r="E3651" s="19" t="str">
        <x:v>完成整周</x:v>
      </x:c>
      <x:c r="F3651" s="19" t="str">
        <x:v>4/6</x:v>
      </x:c>
      <x:c r="G3651" s="19" t="str">
        <x:v>质量/成本</x:v>
      </x:c>
      <x:c r="H3651" s="19" t="str">
        <x:v>D:/Codex/GRL研究/outputs/grid82/GRID82_report.md</x:v>
      </x:c>
    </x:row>
    <x:row r="3652" ht="36" customHeight="1">
      <x:c r="A3652" s="19" t="str">
        <x:v>GRID82</x:v>
      </x:c>
      <x:c r="B3652" s="19" t="str">
        <x:v>GRID82_report.md</x:v>
      </x:c>
      <x:c r="C3652" s="19" t="str">
        <x:v>1. GRID82：最终固定核查版与会议方法适配的同批比较</x:v>
      </x:c>
      <x:c r="D3652" s="19" t="str">
        <x:v>方法=META_CONTEXT1；质量通过=6/6</x:v>
      </x:c>
      <x:c r="E3652" s="19" t="str">
        <x:v>搜索查询合计¹</x:v>
      </x:c>
      <x:c r="F3652" s="19" t="str">
        <x:v>11526</x:v>
      </x:c>
      <x:c r="G3652" s="19" t="str">
        <x:v>速度/计算</x:v>
      </x:c>
      <x:c r="H3652" s="19" t="str">
        <x:v>D:/Codex/GRL研究/outputs/grid82/GRID82_report.md</x:v>
      </x:c>
    </x:row>
    <x:row r="3653" ht="36" customHeight="1">
      <x:c r="A3653" s="19" t="str">
        <x:v>GRID82</x:v>
      </x:c>
      <x:c r="B3653" s="19" t="str">
        <x:v>GRID82_report.md</x:v>
      </x:c>
      <x:c r="C3653" s="19" t="str">
        <x:v>1. GRID82：最终固定核查版与会议方法适配的同批比较</x:v>
      </x:c>
      <x:c r="D3653" s="19" t="str">
        <x:v>方法=META_CONTEXT1；质量通过=6/6</x:v>
      </x:c>
      <x:c r="E3653" s="19" t="str">
        <x:v>控制秒/场景²</x:v>
      </x:c>
      <x:c r="F3653" s="19" t="str">
        <x:v>47.035</x:v>
      </x:c>
      <x:c r="G3653" s="19" t="str">
        <x:v>速度/计算</x:v>
      </x:c>
      <x:c r="H3653" s="19" t="str">
        <x:v>D:/Codex/GRL研究/outputs/grid82/GRID82_report.md</x:v>
      </x:c>
    </x:row>
    <x:row r="3654" ht="36" customHeight="1">
      <x:c r="A3654" s="19" t="str">
        <x:v>GRID82</x:v>
      </x:c>
      <x:c r="B3654" s="19" t="str">
        <x:v>GRID82_report.md</x:v>
      </x:c>
      <x:c r="C3654" s="19" t="str">
        <x:v>1. GRID82：最终固定核查版与会议方法适配的同批比较</x:v>
      </x:c>
      <x:c r="D3654" s="19" t="str">
        <x:v>方法=META_CONTEXT1；质量通过=6/6</x:v>
      </x:c>
      <x:c r="E3654" s="19" t="str">
        <x:v>最大完整周成本增幅</x:v>
      </x:c>
      <x:c r="F3654" s="19" t="str">
        <x:v>+0.0866%</x:v>
      </x:c>
      <x:c r="G3654" s="19" t="str">
        <x:v>质量/成本</x:v>
      </x:c>
      <x:c r="H3654" s="19" t="str">
        <x:v>D:/Codex/GRL研究/outputs/grid82/GRID82_report.md</x:v>
      </x:c>
    </x:row>
    <x:row r="3655" ht="36" customHeight="1">
      <x:c r="A3655" s="19" t="str">
        <x:v>GRID82</x:v>
      </x:c>
      <x:c r="B3655" s="19" t="str">
        <x:v>GRID82_report.md</x:v>
      </x:c>
      <x:c r="C3655" s="19" t="str">
        <x:v>2. GRID82：最终固定核查版与会议方法适配的同批比较</x:v>
      </x:c>
      <x:c r="D3655" s="19" t="str">
        <x:v>固定核查版相对参照=META_CONTEXT0；控制时间宏平均减少=+6.435%</x:v>
      </x:c>
      <x:c r="E3655" s="19" t="str">
        <x:v>控制时间宏平均减少</x:v>
      </x:c>
      <x:c r="F3655" s="19" t="str">
        <x:v>+6.435%</x:v>
      </x:c>
      <x:c r="G3655" s="19" t="str">
        <x:v>速度/计算</x:v>
      </x:c>
      <x:c r="H3655" s="19" t="str">
        <x:v>D:/Codex/GRL研究/outputs/grid82/GRID82_report.md</x:v>
      </x:c>
    </x:row>
    <x:row r="3656" ht="36" customHeight="1">
      <x:c r="A3656" s="19" t="str">
        <x:v>GRID82</x:v>
      </x:c>
      <x:c r="B3656" s="19" t="str">
        <x:v>GRID82_report.md</x:v>
      </x:c>
      <x:c r="C3656" s="19" t="str">
        <x:v>2. GRID82：最终固定核查版与会议方法适配的同批比较</x:v>
      </x:c>
      <x:c r="D3656" s="19" t="str">
        <x:v>固定核查版相对参照=META_CONTEXT0；控制时间宏平均减少=+6.435%</x:v>
      </x:c>
      <x:c r="E3656" s="19" t="str">
        <x:v>汇总秒数减少</x:v>
      </x:c>
      <x:c r="F3656" s="19" t="str">
        <x:v>+6.344%</x:v>
      </x:c>
      <x:c r="G3656" s="19" t="str">
        <x:v>速度/计算</x:v>
      </x:c>
      <x:c r="H3656" s="19" t="str">
        <x:v>D:/Codex/GRL研究/outputs/grid82/GRID82_report.md</x:v>
      </x:c>
    </x:row>
    <x:row r="3657" ht="36" customHeight="1">
      <x:c r="A3657" s="19" t="str">
        <x:v>GRID82</x:v>
      </x:c>
      <x:c r="B3657" s="19" t="str">
        <x:v>GRID82_report.md</x:v>
      </x:c>
      <x:c r="C3657" s="19" t="str">
        <x:v>2. GRID82：最终固定核查版与会议方法适配的同批比较</x:v>
      </x:c>
      <x:c r="D3657" s="19" t="str">
        <x:v>固定核查版相对参照=META_CONTEXT0；控制时间宏平均减少=+6.435%</x:v>
      </x:c>
      <x:c r="E3657" s="19" t="str">
        <x:v>正向场景</x:v>
      </x:c>
      <x:c r="F3657" s="19" t="str">
        <x:v>5/6</x:v>
      </x:c>
      <x:c r="G3657" s="19" t="str">
        <x:v>其他/配置</x:v>
      </x:c>
      <x:c r="H3657" s="19" t="str">
        <x:v>D:/Codex/GRL研究/outputs/grid82/GRID82_report.md</x:v>
      </x:c>
    </x:row>
    <x:row r="3658" ht="36" customHeight="1">
      <x:c r="A3658" s="19" t="str">
        <x:v>GRID82</x:v>
      </x:c>
      <x:c r="B3658" s="19" t="str">
        <x:v>GRID82_report.md</x:v>
      </x:c>
      <x:c r="C3658" s="19" t="str">
        <x:v>2. GRID82：最终固定核查版与会议方法适配的同批比较</x:v>
      </x:c>
      <x:c r="D3658" s="19" t="str">
        <x:v>固定核查版相对参照=META_CONTEXT0；控制时间宏平均减少=+6.435%</x:v>
      </x:c>
      <x:c r="E3658" s="19" t="str">
        <x:v>两次重复分别</x:v>
      </x:c>
      <x:c r="F3658" s="19" t="str">
        <x:v>+6.329% / +6.539%</x:v>
      </x:c>
      <x:c r="G3658" s="19" t="str">
        <x:v>其他/配置</x:v>
      </x:c>
      <x:c r="H3658" s="19" t="str">
        <x:v>D:/Codex/GRL研究/outputs/grid82/GRID82_report.md</x:v>
      </x:c>
    </x:row>
    <x:row r="3659" ht="36" customHeight="1">
      <x:c r="A3659" s="19" t="str">
        <x:v>GRID82</x:v>
      </x:c>
      <x:c r="B3659" s="19" t="str">
        <x:v>GRID82_report.md</x:v>
      </x:c>
      <x:c r="C3659" s="19" t="str">
        <x:v>2. GRID82：最终固定核查版与会议方法适配的同批比较</x:v>
      </x:c>
      <x:c r="D3659" s="19" t="str">
        <x:v>固定核查版相对参照=META_CONTEXT0；控制时间宏平均减少=+6.435%</x:v>
      </x:c>
      <x:c r="E3659" s="19" t="str">
        <x:v>查询宏平均减少³</x:v>
      </x:c>
      <x:c r="F3659" s="19" t="str">
        <x:v>+38.475%</x:v>
      </x:c>
      <x:c r="G3659" s="19" t="str">
        <x:v>速度/计算</x:v>
      </x:c>
      <x:c r="H3659" s="19" t="str">
        <x:v>D:/Codex/GRL研究/outputs/grid82/GRID82_report.md</x:v>
      </x:c>
    </x:row>
    <x:row r="3660" ht="36" customHeight="1">
      <x:c r="A3660" s="19" t="str">
        <x:v>GRID82</x:v>
      </x:c>
      <x:c r="B3660" s="19" t="str">
        <x:v>GRID82_report.md</x:v>
      </x:c>
      <x:c r="C3660" s="19" t="str">
        <x:v>2. GRID82：最终固定核查版与会议方法适配的同批比较</x:v>
      </x:c>
      <x:c r="D3660" s="19" t="str">
        <x:v>固定核查版相对参照=META_CONTEXT0；控制时间宏平均减少=+6.435%</x:v>
      </x:c>
      <x:c r="E3660" s="19" t="str">
        <x:v>同质量提速判据</x:v>
      </x:c>
      <x:c r="F3660" s="19" t="str">
        <x:v>SUPPORTED_EQUAL_QUALITY_SPEED</x:v>
      </x:c>
      <x:c r="G3660" s="19" t="str">
        <x:v>质量/成本</x:v>
      </x:c>
      <x:c r="H3660" s="19" t="str">
        <x:v>D:/Codex/GRL研究/outputs/grid82/GRID82_report.md</x:v>
      </x:c>
    </x:row>
    <x:row r="3661" ht="36" customHeight="1">
      <x:c r="A3661" s="19" t="str">
        <x:v>GRID82</x:v>
      </x:c>
      <x:c r="B3661" s="19" t="str">
        <x:v>GRID82_report.md</x:v>
      </x:c>
      <x:c r="C3661" s="19" t="str">
        <x:v>2. GRID82：最终固定核查版与会议方法适配的同批比较</x:v>
      </x:c>
      <x:c r="D3661" s="19" t="str">
        <x:v>固定核查版相对参照=META_CONTEXT1；控制时间宏平均减少=+0.017%</x:v>
      </x:c>
      <x:c r="E3661" s="19" t="str">
        <x:v>控制时间宏平均减少</x:v>
      </x:c>
      <x:c r="F3661" s="19" t="str">
        <x:v>+0.017%</x:v>
      </x:c>
      <x:c r="G3661" s="19" t="str">
        <x:v>速度/计算</x:v>
      </x:c>
      <x:c r="H3661" s="19" t="str">
        <x:v>D:/Codex/GRL研究/outputs/grid82/GRID82_report.md</x:v>
      </x:c>
    </x:row>
    <x:row r="3662" ht="36" customHeight="1">
      <x:c r="A3662" s="19" t="str">
        <x:v>GRID82</x:v>
      </x:c>
      <x:c r="B3662" s="19" t="str">
        <x:v>GRID82_report.md</x:v>
      </x:c>
      <x:c r="C3662" s="19" t="str">
        <x:v>2. GRID82：最终固定核查版与会议方法适配的同批比较</x:v>
      </x:c>
      <x:c r="D3662" s="19" t="str">
        <x:v>固定核查版相对参照=META_CONTEXT1；控制时间宏平均减少=+0.017%</x:v>
      </x:c>
      <x:c r="E3662" s="19" t="str">
        <x:v>汇总秒数减少</x:v>
      </x:c>
      <x:c r="F3662" s="19" t="str">
        <x:v>+0.004%</x:v>
      </x:c>
      <x:c r="G3662" s="19" t="str">
        <x:v>速度/计算</x:v>
      </x:c>
      <x:c r="H3662" s="19" t="str">
        <x:v>D:/Codex/GRL研究/outputs/grid82/GRID82_report.md</x:v>
      </x:c>
    </x:row>
    <x:row r="3663" ht="36" customHeight="1">
      <x:c r="A3663" s="19" t="str">
        <x:v>GRID82</x:v>
      </x:c>
      <x:c r="B3663" s="19" t="str">
        <x:v>GRID82_report.md</x:v>
      </x:c>
      <x:c r="C3663" s="19" t="str">
        <x:v>2. GRID82：最终固定核查版与会议方法适配的同批比较</x:v>
      </x:c>
      <x:c r="D3663" s="19" t="str">
        <x:v>固定核查版相对参照=META_CONTEXT1；控制时间宏平均减少=+0.017%</x:v>
      </x:c>
      <x:c r="E3663" s="19" t="str">
        <x:v>正向场景</x:v>
      </x:c>
      <x:c r="F3663" s="19" t="str">
        <x:v>3/6</x:v>
      </x:c>
      <x:c r="G3663" s="19" t="str">
        <x:v>其他/配置</x:v>
      </x:c>
      <x:c r="H3663" s="19" t="str">
        <x:v>D:/Codex/GRL研究/outputs/grid82/GRID82_report.md</x:v>
      </x:c>
    </x:row>
    <x:row r="3664" ht="36" customHeight="1">
      <x:c r="A3664" s="19" t="str">
        <x:v>GRID82</x:v>
      </x:c>
      <x:c r="B3664" s="19" t="str">
        <x:v>GRID82_report.md</x:v>
      </x:c>
      <x:c r="C3664" s="19" t="str">
        <x:v>2. GRID82：最终固定核查版与会议方法适配的同批比较</x:v>
      </x:c>
      <x:c r="D3664" s="19" t="str">
        <x:v>固定核查版相对参照=META_CONTEXT1；控制时间宏平均减少=+0.017%</x:v>
      </x:c>
      <x:c r="E3664" s="19" t="str">
        <x:v>两次重复分别</x:v>
      </x:c>
      <x:c r="F3664" s="19" t="str">
        <x:v>-0.115% / +0.142%</x:v>
      </x:c>
      <x:c r="G3664" s="19" t="str">
        <x:v>其他/配置</x:v>
      </x:c>
      <x:c r="H3664" s="19" t="str">
        <x:v>D:/Codex/GRL研究/outputs/grid82/GRID82_report.md</x:v>
      </x:c>
    </x:row>
    <x:row r="3665" ht="36" customHeight="1">
      <x:c r="A3665" s="19" t="str">
        <x:v>GRID82</x:v>
      </x:c>
      <x:c r="B3665" s="19" t="str">
        <x:v>GRID82_report.md</x:v>
      </x:c>
      <x:c r="C3665" s="19" t="str">
        <x:v>2. GRID82：最终固定核查版与会议方法适配的同批比较</x:v>
      </x:c>
      <x:c r="D3665" s="19" t="str">
        <x:v>固定核查版相对参照=META_CONTEXT1；控制时间宏平均减少=+0.017%</x:v>
      </x:c>
      <x:c r="E3665" s="19" t="str">
        <x:v>查询宏平均减少³</x:v>
      </x:c>
      <x:c r="F3665" s="19" t="str">
        <x:v>+0.000%</x:v>
      </x:c>
      <x:c r="G3665" s="19" t="str">
        <x:v>速度/计算</x:v>
      </x:c>
      <x:c r="H3665" s="19" t="str">
        <x:v>D:/Codex/GRL研究/outputs/grid82/GRID82_report.md</x:v>
      </x:c>
    </x:row>
    <x:row r="3666" ht="36" customHeight="1">
      <x:c r="A3666" s="19" t="str">
        <x:v>GRID82</x:v>
      </x:c>
      <x:c r="B3666" s="19" t="str">
        <x:v>GRID82_report.md</x:v>
      </x:c>
      <x:c r="C3666" s="19" t="str">
        <x:v>2. GRID82：最终固定核查版与会议方法适配的同批比较</x:v>
      </x:c>
      <x:c r="D3666" s="19" t="str">
        <x:v>固定核查版相对参照=META_CONTEXT1；控制时间宏平均减少=+0.017%</x:v>
      </x:c>
      <x:c r="E3666" s="19" t="str">
        <x:v>同质量提速判据</x:v>
      </x:c>
      <x:c r="F3666" s="19" t="str">
        <x:v>BOTH_PASS_TIMING_MIXED_OR_SMALL</x:v>
      </x:c>
      <x:c r="G3666" s="19" t="str">
        <x:v>质量/成本</x:v>
      </x:c>
      <x:c r="H3666" s="19" t="str">
        <x:v>D:/Codex/GRL研究/outputs/grid82/GRID82_report.md</x:v>
      </x:c>
    </x:row>
    <x:row r="3667" ht="36" customHeight="1">
      <x:c r="A3667" s="19" t="str">
        <x:v>GRID82</x:v>
      </x:c>
      <x:c r="B3667" s="19" t="str">
        <x:v>GRID82_report.md</x:v>
      </x:c>
      <x:c r="C3667" s="19" t="str">
        <x:v>3. 逐场景完整结果</x:v>
      </x:c>
      <x:c r="D3667" s="19" t="str">
        <x:v>场景=2036-01-07_9；方法=FRAME_GUARD</x:v>
      </x:c>
      <x:c r="E3667" s="19" t="str">
        <x:v>方法</x:v>
      </x:c>
      <x:c r="F3667" s="19" t="str">
        <x:v>FRAME_GUARD</x:v>
      </x:c>
      <x:c r="G3667" s="19" t="str">
        <x:v>其他/配置</x:v>
      </x:c>
      <x:c r="H3667" s="19" t="str">
        <x:v>D:/Codex/GRL研究/outputs/grid82/GRID82_report.md</x:v>
      </x:c>
    </x:row>
    <x:row r="3668" ht="36" customHeight="1">
      <x:c r="A3668" s="19" t="str">
        <x:v>GRID82</x:v>
      </x:c>
      <x:c r="B3668" s="19" t="str">
        <x:v>GRID82_report.md</x:v>
      </x:c>
      <x:c r="C3668" s="19" t="str">
        <x:v>3. 逐场景完整结果</x:v>
      </x:c>
      <x:c r="D3668" s="19" t="str">
        <x:v>场景=2036-01-07_9；方法=FRAME_GUARD</x:v>
      </x:c>
      <x:c r="E3668" s="19" t="str">
        <x:v>完成/步数</x:v>
      </x:c>
      <x:c r="F3668" s="19" t="str">
        <x:v>True/2017</x:v>
      </x:c>
      <x:c r="G3668" s="19" t="str">
        <x:v>质量/成本</x:v>
      </x:c>
      <x:c r="H3668" s="19" t="str">
        <x:v>D:/Codex/GRL研究/outputs/grid82/GRID82_report.md</x:v>
      </x:c>
    </x:row>
    <x:row r="3669" ht="36" customHeight="1">
      <x:c r="A3669" s="19" t="str">
        <x:v>GRID82</x:v>
      </x:c>
      <x:c r="B3669" s="19" t="str">
        <x:v>GRID82_report.md</x:v>
      </x:c>
      <x:c r="C3669" s="19" t="str">
        <x:v>3. 逐场景完整结果</x:v>
      </x:c>
      <x:c r="D3669" s="19" t="str">
        <x:v>场景=2036-01-07_9；方法=FRAME_GUARD</x:v>
      </x:c>
      <x:c r="E3669" s="19" t="str">
        <x:v>完整周成本相对FULL</x:v>
      </x:c>
      <x:c r="F3669" s="19" t="str">
        <x:v>+0.0866%</x:v>
      </x:c>
      <x:c r="G3669" s="19" t="str">
        <x:v>质量/成本</x:v>
      </x:c>
      <x:c r="H3669" s="19" t="str">
        <x:v>D:/Codex/GRL研究/outputs/grid82/GRID82_report.md</x:v>
      </x:c>
    </x:row>
    <x:row r="3670" ht="36" customHeight="1">
      <x:c r="A3670" s="19" t="str">
        <x:v>GRID82</x:v>
      </x:c>
      <x:c r="B3670" s="19" t="str">
        <x:v>GRID82_report.md</x:v>
      </x:c>
      <x:c r="C3670" s="19" t="str">
        <x:v>3. 逐场景完整结果</x:v>
      </x:c>
      <x:c r="D3670" s="19" t="str">
        <x:v>场景=2036-01-07_9；方法=FRAME_GUARD</x:v>
      </x:c>
      <x:c r="E3670" s="19" t="str">
        <x:v>质量通过</x:v>
      </x:c>
      <x:c r="F3670" s="19" t="str">
        <x:v>True</x:v>
      </x:c>
      <x:c r="G3670" s="19" t="str">
        <x:v>质量/成本</x:v>
      </x:c>
      <x:c r="H3670" s="19" t="str">
        <x:v>D:/Codex/GRL研究/outputs/grid82/GRID82_report.md</x:v>
      </x:c>
    </x:row>
    <x:row r="3671" ht="36" customHeight="1">
      <x:c r="A3671" s="19" t="str">
        <x:v>GRID82</x:v>
      </x:c>
      <x:c r="B3671" s="19" t="str">
        <x:v>GRID82_report.md</x:v>
      </x:c>
      <x:c r="C3671" s="19" t="str">
        <x:v>3. 逐场景完整结果</x:v>
      </x:c>
      <x:c r="D3671" s="19" t="str">
        <x:v>场景=2036-01-07_9；方法=FRAME_GUARD</x:v>
      </x:c>
      <x:c r="E3671" s="19" t="str">
        <x:v>搜索查询</x:v>
      </x:c>
      <x:c r="F3671" s="19" t="str">
        <x:v>1432</x:v>
      </x:c>
      <x:c r="G3671" s="19" t="str">
        <x:v>速度/计算</x:v>
      </x:c>
      <x:c r="H3671" s="19" t="str">
        <x:v>D:/Codex/GRL研究/outputs/grid82/GRID82_report.md</x:v>
      </x:c>
    </x:row>
    <x:row r="3672" ht="36" customHeight="1">
      <x:c r="A3672" s="19" t="str">
        <x:v>GRID82</x:v>
      </x:c>
      <x:c r="B3672" s="19" t="str">
        <x:v>GRID82_report.md</x:v>
      </x:c>
      <x:c r="C3672" s="19" t="str">
        <x:v>3. 逐场景完整结果</x:v>
      </x:c>
      <x:c r="D3672" s="19" t="str">
        <x:v>场景=2036-01-07_9；方法=FRAME_GUARD</x:v>
      </x:c>
      <x:c r="E3672" s="19" t="str">
        <x:v>控制秒：均值[最小,最大]</x:v>
      </x:c>
      <x:c r="F3672" s="19" t="str">
        <x:v>81.072[80.587,81.557]</x:v>
      </x:c>
      <x:c r="G3672" s="19" t="str">
        <x:v>速度/计算</x:v>
      </x:c>
      <x:c r="H3672" s="19" t="str">
        <x:v>D:/Codex/GRL研究/outputs/grid82/GRID82_report.md</x:v>
      </x:c>
    </x:row>
    <x:row r="3673" ht="36" customHeight="1">
      <x:c r="A3673" s="19" t="str">
        <x:v>GRID82</x:v>
      </x:c>
      <x:c r="B3673" s="19" t="str">
        <x:v>GRID82_report.md</x:v>
      </x:c>
      <x:c r="C3673" s="19" t="str">
        <x:v>3. 逐场景完整结果</x:v>
      </x:c>
      <x:c r="D3673" s="19" t="str">
        <x:v>场景=2036-01-07_9；方法=META_CONTEXT0</x:v>
      </x:c>
      <x:c r="E3673" s="19" t="str">
        <x:v>方法</x:v>
      </x:c>
      <x:c r="F3673" s="19" t="str">
        <x:v>META_CONTEXT0</x:v>
      </x:c>
      <x:c r="G3673" s="19" t="str">
        <x:v>其他/配置</x:v>
      </x:c>
      <x:c r="H3673" s="19" t="str">
        <x:v>D:/Codex/GRL研究/outputs/grid82/GRID82_report.md</x:v>
      </x:c>
    </x:row>
    <x:row r="3674" ht="36" customHeight="1">
      <x:c r="A3674" s="19" t="str">
        <x:v>GRID82</x:v>
      </x:c>
      <x:c r="B3674" s="19" t="str">
        <x:v>GRID82_report.md</x:v>
      </x:c>
      <x:c r="C3674" s="19" t="str">
        <x:v>3. 逐场景完整结果</x:v>
      </x:c>
      <x:c r="D3674" s="19" t="str">
        <x:v>场景=2036-01-07_9；方法=META_CONTEXT0</x:v>
      </x:c>
      <x:c r="E3674" s="19" t="str">
        <x:v>完成/步数</x:v>
      </x:c>
      <x:c r="F3674" s="19" t="str">
        <x:v>True/2017</x:v>
      </x:c>
      <x:c r="G3674" s="19" t="str">
        <x:v>质量/成本</x:v>
      </x:c>
      <x:c r="H3674" s="19" t="str">
        <x:v>D:/Codex/GRL研究/outputs/grid82/GRID82_report.md</x:v>
      </x:c>
    </x:row>
    <x:row r="3675" ht="36" customHeight="1">
      <x:c r="A3675" s="19" t="str">
        <x:v>GRID82</x:v>
      </x:c>
      <x:c r="B3675" s="19" t="str">
        <x:v>GRID82_report.md</x:v>
      </x:c>
      <x:c r="C3675" s="19" t="str">
        <x:v>3. 逐场景完整结果</x:v>
      </x:c>
      <x:c r="D3675" s="19" t="str">
        <x:v>场景=2036-01-07_9；方法=META_CONTEXT0</x:v>
      </x:c>
      <x:c r="E3675" s="19" t="str">
        <x:v>完整周成本相对FULL</x:v>
      </x:c>
      <x:c r="F3675" s="19" t="str">
        <x:v>+0.0866%</x:v>
      </x:c>
      <x:c r="G3675" s="19" t="str">
        <x:v>质量/成本</x:v>
      </x:c>
      <x:c r="H3675" s="19" t="str">
        <x:v>D:/Codex/GRL研究/outputs/grid82/GRID82_report.md</x:v>
      </x:c>
    </x:row>
    <x:row r="3676" ht="36" customHeight="1">
      <x:c r="A3676" s="19" t="str">
        <x:v>GRID82</x:v>
      </x:c>
      <x:c r="B3676" s="19" t="str">
        <x:v>GRID82_report.md</x:v>
      </x:c>
      <x:c r="C3676" s="19" t="str">
        <x:v>3. 逐场景完整结果</x:v>
      </x:c>
      <x:c r="D3676" s="19" t="str">
        <x:v>场景=2036-01-07_9；方法=META_CONTEXT0</x:v>
      </x:c>
      <x:c r="E3676" s="19" t="str">
        <x:v>质量通过</x:v>
      </x:c>
      <x:c r="F3676" s="19" t="str">
        <x:v>True</x:v>
      </x:c>
      <x:c r="G3676" s="19" t="str">
        <x:v>质量/成本</x:v>
      </x:c>
      <x:c r="H3676" s="19" t="str">
        <x:v>D:/Codex/GRL研究/outputs/grid82/GRID82_report.md</x:v>
      </x:c>
    </x:row>
    <x:row r="3677" ht="36" customHeight="1">
      <x:c r="A3677" s="19" t="str">
        <x:v>GRID82</x:v>
      </x:c>
      <x:c r="B3677" s="19" t="str">
        <x:v>GRID82_report.md</x:v>
      </x:c>
      <x:c r="C3677" s="19" t="str">
        <x:v>3. 逐场景完整结果</x:v>
      </x:c>
      <x:c r="D3677" s="19" t="str">
        <x:v>场景=2036-01-07_9；方法=META_CONTEXT0</x:v>
      </x:c>
      <x:c r="E3677" s="19" t="str">
        <x:v>搜索查询</x:v>
      </x:c>
      <x:c r="F3677" s="19" t="str">
        <x:v>2624</x:v>
      </x:c>
      <x:c r="G3677" s="19" t="str">
        <x:v>速度/计算</x:v>
      </x:c>
      <x:c r="H3677" s="19" t="str">
        <x:v>D:/Codex/GRL研究/outputs/grid82/GRID82_report.md</x:v>
      </x:c>
    </x:row>
    <x:row r="3678" ht="36" customHeight="1">
      <x:c r="A3678" s="19" t="str">
        <x:v>GRID82</x:v>
      </x:c>
      <x:c r="B3678" s="19" t="str">
        <x:v>GRID82_report.md</x:v>
      </x:c>
      <x:c r="C3678" s="19" t="str">
        <x:v>3. 逐场景完整结果</x:v>
      </x:c>
      <x:c r="D3678" s="19" t="str">
        <x:v>场景=2036-01-07_9；方法=META_CONTEXT0</x:v>
      </x:c>
      <x:c r="E3678" s="19" t="str">
        <x:v>控制秒：均值[最小,最大]</x:v>
      </x:c>
      <x:c r="F3678" s="19" t="str">
        <x:v>83.349[83.289,83.410]</x:v>
      </x:c>
      <x:c r="G3678" s="19" t="str">
        <x:v>速度/计算</x:v>
      </x:c>
      <x:c r="H3678" s="19" t="str">
        <x:v>D:/Codex/GRL研究/outputs/grid82/GRID82_report.md</x:v>
      </x:c>
    </x:row>
    <x:row r="3679" ht="36" customHeight="1">
      <x:c r="A3679" s="19" t="str">
        <x:v>GRID82</x:v>
      </x:c>
      <x:c r="B3679" s="19" t="str">
        <x:v>GRID82_report.md</x:v>
      </x:c>
      <x:c r="C3679" s="19" t="str">
        <x:v>3. 逐场景完整结果</x:v>
      </x:c>
      <x:c r="D3679" s="19" t="str">
        <x:v>场景=2036-01-07_9；方法=META_CONTEXT1</x:v>
      </x:c>
      <x:c r="E3679" s="19" t="str">
        <x:v>方法</x:v>
      </x:c>
      <x:c r="F3679" s="19" t="str">
        <x:v>META_CONTEXT1</x:v>
      </x:c>
      <x:c r="G3679" s="19" t="str">
        <x:v>其他/配置</x:v>
      </x:c>
      <x:c r="H3679" s="19" t="str">
        <x:v>D:/Codex/GRL研究/outputs/grid82/GRID82_report.md</x:v>
      </x:c>
    </x:row>
    <x:row r="3680" ht="36" customHeight="1">
      <x:c r="A3680" s="19" t="str">
        <x:v>GRID82</x:v>
      </x:c>
      <x:c r="B3680" s="19" t="str">
        <x:v>GRID82_report.md</x:v>
      </x:c>
      <x:c r="C3680" s="19" t="str">
        <x:v>3. 逐场景完整结果</x:v>
      </x:c>
      <x:c r="D3680" s="19" t="str">
        <x:v>场景=2036-01-07_9；方法=META_CONTEXT1</x:v>
      </x:c>
      <x:c r="E3680" s="19" t="str">
        <x:v>完成/步数</x:v>
      </x:c>
      <x:c r="F3680" s="19" t="str">
        <x:v>True/2017</x:v>
      </x:c>
      <x:c r="G3680" s="19" t="str">
        <x:v>质量/成本</x:v>
      </x:c>
      <x:c r="H3680" s="19" t="str">
        <x:v>D:/Codex/GRL研究/outputs/grid82/GRID82_report.md</x:v>
      </x:c>
    </x:row>
    <x:row r="3681" ht="36" customHeight="1">
      <x:c r="A3681" s="19" t="str">
        <x:v>GRID82</x:v>
      </x:c>
      <x:c r="B3681" s="19" t="str">
        <x:v>GRID82_report.md</x:v>
      </x:c>
      <x:c r="C3681" s="19" t="str">
        <x:v>3. 逐场景完整结果</x:v>
      </x:c>
      <x:c r="D3681" s="19" t="str">
        <x:v>场景=2036-01-07_9；方法=META_CONTEXT1</x:v>
      </x:c>
      <x:c r="E3681" s="19" t="str">
        <x:v>完整周成本相对FULL</x:v>
      </x:c>
      <x:c r="F3681" s="19" t="str">
        <x:v>+0.0866%</x:v>
      </x:c>
      <x:c r="G3681" s="19" t="str">
        <x:v>质量/成本</x:v>
      </x:c>
      <x:c r="H3681" s="19" t="str">
        <x:v>D:/Codex/GRL研究/outputs/grid82/GRID82_report.md</x:v>
      </x:c>
    </x:row>
    <x:row r="3682" ht="36" customHeight="1">
      <x:c r="A3682" s="19" t="str">
        <x:v>GRID82</x:v>
      </x:c>
      <x:c r="B3682" s="19" t="str">
        <x:v>GRID82_report.md</x:v>
      </x:c>
      <x:c r="C3682" s="19" t="str">
        <x:v>3. 逐场景完整结果</x:v>
      </x:c>
      <x:c r="D3682" s="19" t="str">
        <x:v>场景=2036-01-07_9；方法=META_CONTEXT1</x:v>
      </x:c>
      <x:c r="E3682" s="19" t="str">
        <x:v>质量通过</x:v>
      </x:c>
      <x:c r="F3682" s="19" t="str">
        <x:v>True</x:v>
      </x:c>
      <x:c r="G3682" s="19" t="str">
        <x:v>质量/成本</x:v>
      </x:c>
      <x:c r="H3682" s="19" t="str">
        <x:v>D:/Codex/GRL研究/outputs/grid82/GRID82_report.md</x:v>
      </x:c>
    </x:row>
    <x:row r="3683" ht="36" customHeight="1">
      <x:c r="A3683" s="19" t="str">
        <x:v>GRID82</x:v>
      </x:c>
      <x:c r="B3683" s="19" t="str">
        <x:v>GRID82_report.md</x:v>
      </x:c>
      <x:c r="C3683" s="19" t="str">
        <x:v>3. 逐场景完整结果</x:v>
      </x:c>
      <x:c r="D3683" s="19" t="str">
        <x:v>场景=2036-01-07_9；方法=META_CONTEXT1</x:v>
      </x:c>
      <x:c r="E3683" s="19" t="str">
        <x:v>搜索查询</x:v>
      </x:c>
      <x:c r="F3683" s="19" t="str">
        <x:v>1432</x:v>
      </x:c>
      <x:c r="G3683" s="19" t="str">
        <x:v>速度/计算</x:v>
      </x:c>
      <x:c r="H3683" s="19" t="str">
        <x:v>D:/Codex/GRL研究/outputs/grid82/GRID82_report.md</x:v>
      </x:c>
    </x:row>
    <x:row r="3684" ht="36" customHeight="1">
      <x:c r="A3684" s="19" t="str">
        <x:v>GRID82</x:v>
      </x:c>
      <x:c r="B3684" s="19" t="str">
        <x:v>GRID82_report.md</x:v>
      </x:c>
      <x:c r="C3684" s="19" t="str">
        <x:v>3. 逐场景完整结果</x:v>
      </x:c>
      <x:c r="D3684" s="19" t="str">
        <x:v>场景=2036-01-07_9；方法=META_CONTEXT1</x:v>
      </x:c>
      <x:c r="E3684" s="19" t="str">
        <x:v>控制秒：均值[最小,最大]</x:v>
      </x:c>
      <x:c r="F3684" s="19" t="str">
        <x:v>80.609[80.169,81.049]</x:v>
      </x:c>
      <x:c r="G3684" s="19" t="str">
        <x:v>速度/计算</x:v>
      </x:c>
      <x:c r="H3684" s="19" t="str">
        <x:v>D:/Codex/GRL研究/outputs/grid82/GRID82_report.md</x:v>
      </x:c>
    </x:row>
    <x:row r="3685" ht="36" customHeight="1">
      <x:c r="A3685" s="19" t="str">
        <x:v>GRID82</x:v>
      </x:c>
      <x:c r="B3685" s="19" t="str">
        <x:v>GRID82_report.md</x:v>
      </x:c>
      <x:c r="C3685" s="19" t="str">
        <x:v>3. 逐场景完整结果</x:v>
      </x:c>
      <x:c r="D3685" s="19" t="str">
        <x:v>场景=2036-03-03_9；方法=FRAME_GUARD</x:v>
      </x:c>
      <x:c r="E3685" s="19" t="str">
        <x:v>方法</x:v>
      </x:c>
      <x:c r="F3685" s="19" t="str">
        <x:v>FRAME_GUARD</x:v>
      </x:c>
      <x:c r="G3685" s="19" t="str">
        <x:v>其他/配置</x:v>
      </x:c>
      <x:c r="H3685" s="19" t="str">
        <x:v>D:/Codex/GRL研究/outputs/grid82/GRID82_report.md</x:v>
      </x:c>
    </x:row>
    <x:row r="3686" ht="36" customHeight="1">
      <x:c r="A3686" s="19" t="str">
        <x:v>GRID82</x:v>
      </x:c>
      <x:c r="B3686" s="19" t="str">
        <x:v>GRID82_report.md</x:v>
      </x:c>
      <x:c r="C3686" s="19" t="str">
        <x:v>3. 逐场景完整结果</x:v>
      </x:c>
      <x:c r="D3686" s="19" t="str">
        <x:v>场景=2036-03-03_9；方法=FRAME_GUARD</x:v>
      </x:c>
      <x:c r="E3686" s="19" t="str">
        <x:v>完成/步数</x:v>
      </x:c>
      <x:c r="F3686" s="19" t="str">
        <x:v>False/1720</x:v>
      </x:c>
      <x:c r="G3686" s="19" t="str">
        <x:v>质量/成本</x:v>
      </x:c>
      <x:c r="H3686" s="19" t="str">
        <x:v>D:/Codex/GRL研究/outputs/grid82/GRID82_report.md</x:v>
      </x:c>
    </x:row>
    <x:row r="3687" ht="36" customHeight="1">
      <x:c r="A3687" s="19" t="str">
        <x:v>GRID82</x:v>
      </x:c>
      <x:c r="B3687" s="19" t="str">
        <x:v>GRID82_report.md</x:v>
      </x:c>
      <x:c r="C3687" s="19" t="str">
        <x:v>3. 逐场景完整结果</x:v>
      </x:c>
      <x:c r="D3687" s="19" t="str">
        <x:v>场景=2036-03-03_9；方法=FRAME_GUARD</x:v>
      </x:c>
      <x:c r="E3687" s="19" t="str">
        <x:v>完整周成本相对FULL</x:v>
      </x:c>
      <x:c r="F3687" s="19" t="str">
        <x:v>未双方完成，不比较完整周成本</x:v>
      </x:c>
      <x:c r="G3687" s="19" t="str">
        <x:v>质量/成本</x:v>
      </x:c>
      <x:c r="H3687" s="19" t="str">
        <x:v>D:/Codex/GRL研究/outputs/grid82/GRID82_report.md</x:v>
      </x:c>
    </x:row>
    <x:row r="3688" ht="36" customHeight="1">
      <x:c r="A3688" s="19" t="str">
        <x:v>GRID82</x:v>
      </x:c>
      <x:c r="B3688" s="19" t="str">
        <x:v>GRID82_report.md</x:v>
      </x:c>
      <x:c r="C3688" s="19" t="str">
        <x:v>3. 逐场景完整结果</x:v>
      </x:c>
      <x:c r="D3688" s="19" t="str">
        <x:v>场景=2036-03-03_9；方法=FRAME_GUARD</x:v>
      </x:c>
      <x:c r="E3688" s="19" t="str">
        <x:v>质量通过</x:v>
      </x:c>
      <x:c r="F3688" s="19" t="str">
        <x:v>True</x:v>
      </x:c>
      <x:c r="G3688" s="19" t="str">
        <x:v>质量/成本</x:v>
      </x:c>
      <x:c r="H3688" s="19" t="str">
        <x:v>D:/Codex/GRL研究/outputs/grid82/GRID82_report.md</x:v>
      </x:c>
    </x:row>
    <x:row r="3689" ht="36" customHeight="1">
      <x:c r="A3689" s="19" t="str">
        <x:v>GRID82</x:v>
      </x:c>
      <x:c r="B3689" s="19" t="str">
        <x:v>GRID82_report.md</x:v>
      </x:c>
      <x:c r="C3689" s="19" t="str">
        <x:v>3. 逐场景完整结果</x:v>
      </x:c>
      <x:c r="D3689" s="19" t="str">
        <x:v>场景=2036-03-03_9；方法=FRAME_GUARD</x:v>
      </x:c>
      <x:c r="E3689" s="19" t="str">
        <x:v>搜索查询</x:v>
      </x:c>
      <x:c r="F3689" s="19" t="str">
        <x:v>5109</x:v>
      </x:c>
      <x:c r="G3689" s="19" t="str">
        <x:v>速度/计算</x:v>
      </x:c>
      <x:c r="H3689" s="19" t="str">
        <x:v>D:/Codex/GRL研究/outputs/grid82/GRID82_report.md</x:v>
      </x:c>
    </x:row>
    <x:row r="3690" ht="36" customHeight="1">
      <x:c r="A3690" s="19" t="str">
        <x:v>GRID82</x:v>
      </x:c>
      <x:c r="B3690" s="19" t="str">
        <x:v>GRID82_report.md</x:v>
      </x:c>
      <x:c r="C3690" s="19" t="str">
        <x:v>3. 逐场景完整结果</x:v>
      </x:c>
      <x:c r="D3690" s="19" t="str">
        <x:v>场景=2036-03-03_9；方法=FRAME_GUARD</x:v>
      </x:c>
      <x:c r="E3690" s="19" t="str">
        <x:v>控制秒：均值[最小,最大]</x:v>
      </x:c>
      <x:c r="F3690" s="19" t="str">
        <x:v>68.841[68.831,68.850]</x:v>
      </x:c>
      <x:c r="G3690" s="19" t="str">
        <x:v>速度/计算</x:v>
      </x:c>
      <x:c r="H3690" s="19" t="str">
        <x:v>D:/Codex/GRL研究/outputs/grid82/GRID82_report.md</x:v>
      </x:c>
    </x:row>
    <x:row r="3691" ht="36" customHeight="1">
      <x:c r="A3691" s="19" t="str">
        <x:v>GRID82</x:v>
      </x:c>
      <x:c r="B3691" s="19" t="str">
        <x:v>GRID82_report.md</x:v>
      </x:c>
      <x:c r="C3691" s="19" t="str">
        <x:v>3. 逐场景完整结果</x:v>
      </x:c>
      <x:c r="D3691" s="19" t="str">
        <x:v>场景=2036-03-03_9；方法=META_CONTEXT0</x:v>
      </x:c>
      <x:c r="E3691" s="19" t="str">
        <x:v>方法</x:v>
      </x:c>
      <x:c r="F3691" s="19" t="str">
        <x:v>META_CONTEXT0</x:v>
      </x:c>
      <x:c r="G3691" s="19" t="str">
        <x:v>其他/配置</x:v>
      </x:c>
      <x:c r="H3691" s="19" t="str">
        <x:v>D:/Codex/GRL研究/outputs/grid82/GRID82_report.md</x:v>
      </x:c>
    </x:row>
    <x:row r="3692" ht="36" customHeight="1">
      <x:c r="A3692" s="19" t="str">
        <x:v>GRID82</x:v>
      </x:c>
      <x:c r="B3692" s="19" t="str">
        <x:v>GRID82_report.md</x:v>
      </x:c>
      <x:c r="C3692" s="19" t="str">
        <x:v>3. 逐场景完整结果</x:v>
      </x:c>
      <x:c r="D3692" s="19" t="str">
        <x:v>场景=2036-03-03_9；方法=META_CONTEXT0</x:v>
      </x:c>
      <x:c r="E3692" s="19" t="str">
        <x:v>完成/步数</x:v>
      </x:c>
      <x:c r="F3692" s="19" t="str">
        <x:v>False/1720</x:v>
      </x:c>
      <x:c r="G3692" s="19" t="str">
        <x:v>质量/成本</x:v>
      </x:c>
      <x:c r="H3692" s="19" t="str">
        <x:v>D:/Codex/GRL研究/outputs/grid82/GRID82_report.md</x:v>
      </x:c>
    </x:row>
    <x:row r="3693" ht="36" customHeight="1">
      <x:c r="A3693" s="19" t="str">
        <x:v>GRID82</x:v>
      </x:c>
      <x:c r="B3693" s="19" t="str">
        <x:v>GRID82_report.md</x:v>
      </x:c>
      <x:c r="C3693" s="19" t="str">
        <x:v>3. 逐场景完整结果</x:v>
      </x:c>
      <x:c r="D3693" s="19" t="str">
        <x:v>场景=2036-03-03_9；方法=META_CONTEXT0</x:v>
      </x:c>
      <x:c r="E3693" s="19" t="str">
        <x:v>完整周成本相对FULL</x:v>
      </x:c>
      <x:c r="F3693" s="19" t="str">
        <x:v>未双方完成，不比较完整周成本</x:v>
      </x:c>
      <x:c r="G3693" s="19" t="str">
        <x:v>质量/成本</x:v>
      </x:c>
      <x:c r="H3693" s="19" t="str">
        <x:v>D:/Codex/GRL研究/outputs/grid82/GRID82_report.md</x:v>
      </x:c>
    </x:row>
    <x:row r="3694" ht="36" customHeight="1">
      <x:c r="A3694" s="19" t="str">
        <x:v>GRID82</x:v>
      </x:c>
      <x:c r="B3694" s="19" t="str">
        <x:v>GRID82_report.md</x:v>
      </x:c>
      <x:c r="C3694" s="19" t="str">
        <x:v>3. 逐场景完整结果</x:v>
      </x:c>
      <x:c r="D3694" s="19" t="str">
        <x:v>场景=2036-03-03_9；方法=META_CONTEXT0</x:v>
      </x:c>
      <x:c r="E3694" s="19" t="str">
        <x:v>质量通过</x:v>
      </x:c>
      <x:c r="F3694" s="19" t="str">
        <x:v>True</x:v>
      </x:c>
      <x:c r="G3694" s="19" t="str">
        <x:v>质量/成本</x:v>
      </x:c>
      <x:c r="H3694" s="19" t="str">
        <x:v>D:/Codex/GRL研究/outputs/grid82/GRID82_report.md</x:v>
      </x:c>
    </x:row>
    <x:row r="3695" ht="36" customHeight="1">
      <x:c r="A3695" s="19" t="str">
        <x:v>GRID82</x:v>
      </x:c>
      <x:c r="B3695" s="19" t="str">
        <x:v>GRID82_report.md</x:v>
      </x:c>
      <x:c r="C3695" s="19" t="str">
        <x:v>3. 逐场景完整结果</x:v>
      </x:c>
      <x:c r="D3695" s="19" t="str">
        <x:v>场景=2036-03-03_9；方法=META_CONTEXT0</x:v>
      </x:c>
      <x:c r="E3695" s="19" t="str">
        <x:v>搜索查询</x:v>
      </x:c>
      <x:c r="F3695" s="19" t="str">
        <x:v>5964</x:v>
      </x:c>
      <x:c r="G3695" s="19" t="str">
        <x:v>速度/计算</x:v>
      </x:c>
      <x:c r="H3695" s="19" t="str">
        <x:v>D:/Codex/GRL研究/outputs/grid82/GRID82_report.md</x:v>
      </x:c>
    </x:row>
    <x:row r="3696" ht="36" customHeight="1">
      <x:c r="A3696" s="19" t="str">
        <x:v>GRID82</x:v>
      </x:c>
      <x:c r="B3696" s="19" t="str">
        <x:v>GRID82_report.md</x:v>
      </x:c>
      <x:c r="C3696" s="19" t="str">
        <x:v>3. 逐场景完整结果</x:v>
      </x:c>
      <x:c r="D3696" s="19" t="str">
        <x:v>场景=2036-03-03_9；方法=META_CONTEXT0</x:v>
      </x:c>
      <x:c r="E3696" s="19" t="str">
        <x:v>控制秒：均值[最小,最大]</x:v>
      </x:c>
      <x:c r="F3696" s="19" t="str">
        <x:v>69.327[68.753,69.900]</x:v>
      </x:c>
      <x:c r="G3696" s="19" t="str">
        <x:v>速度/计算</x:v>
      </x:c>
      <x:c r="H3696" s="19" t="str">
        <x:v>D:/Codex/GRL研究/outputs/grid82/GRID82_report.md</x:v>
      </x:c>
    </x:row>
    <x:row r="3697" ht="36" customHeight="1">
      <x:c r="A3697" s="19" t="str">
        <x:v>GRID82</x:v>
      </x:c>
      <x:c r="B3697" s="19" t="str">
        <x:v>GRID82_report.md</x:v>
      </x:c>
      <x:c r="C3697" s="19" t="str">
        <x:v>3. 逐场景完整结果</x:v>
      </x:c>
      <x:c r="D3697" s="19" t="str">
        <x:v>场景=2036-03-03_9；方法=META_CONTEXT1</x:v>
      </x:c>
      <x:c r="E3697" s="19" t="str">
        <x:v>方法</x:v>
      </x:c>
      <x:c r="F3697" s="19" t="str">
        <x:v>META_CONTEXT1</x:v>
      </x:c>
      <x:c r="G3697" s="19" t="str">
        <x:v>其他/配置</x:v>
      </x:c>
      <x:c r="H3697" s="19" t="str">
        <x:v>D:/Codex/GRL研究/outputs/grid82/GRID82_report.md</x:v>
      </x:c>
    </x:row>
    <x:row r="3698" ht="36" customHeight="1">
      <x:c r="A3698" s="19" t="str">
        <x:v>GRID82</x:v>
      </x:c>
      <x:c r="B3698" s="19" t="str">
        <x:v>GRID82_report.md</x:v>
      </x:c>
      <x:c r="C3698" s="19" t="str">
        <x:v>3. 逐场景完整结果</x:v>
      </x:c>
      <x:c r="D3698" s="19" t="str">
        <x:v>场景=2036-03-03_9；方法=META_CONTEXT1</x:v>
      </x:c>
      <x:c r="E3698" s="19" t="str">
        <x:v>完成/步数</x:v>
      </x:c>
      <x:c r="F3698" s="19" t="str">
        <x:v>False/1720</x:v>
      </x:c>
      <x:c r="G3698" s="19" t="str">
        <x:v>质量/成本</x:v>
      </x:c>
      <x:c r="H3698" s="19" t="str">
        <x:v>D:/Codex/GRL研究/outputs/grid82/GRID82_report.md</x:v>
      </x:c>
    </x:row>
    <x:row r="3699" ht="36" customHeight="1">
      <x:c r="A3699" s="19" t="str">
        <x:v>GRID82</x:v>
      </x:c>
      <x:c r="B3699" s="19" t="str">
        <x:v>GRID82_report.md</x:v>
      </x:c>
      <x:c r="C3699" s="19" t="str">
        <x:v>3. 逐场景完整结果</x:v>
      </x:c>
      <x:c r="D3699" s="19" t="str">
        <x:v>场景=2036-03-03_9；方法=META_CONTEXT1</x:v>
      </x:c>
      <x:c r="E3699" s="19" t="str">
        <x:v>完整周成本相对FULL</x:v>
      </x:c>
      <x:c r="F3699" s="19" t="str">
        <x:v>未双方完成，不比较完整周成本</x:v>
      </x:c>
      <x:c r="G3699" s="19" t="str">
        <x:v>质量/成本</x:v>
      </x:c>
      <x:c r="H3699" s="19" t="str">
        <x:v>D:/Codex/GRL研究/outputs/grid82/GRID82_report.md</x:v>
      </x:c>
    </x:row>
    <x:row r="3700" ht="36" customHeight="1">
      <x:c r="A3700" s="19" t="str">
        <x:v>GRID82</x:v>
      </x:c>
      <x:c r="B3700" s="19" t="str">
        <x:v>GRID82_report.md</x:v>
      </x:c>
      <x:c r="C3700" s="19" t="str">
        <x:v>3. 逐场景完整结果</x:v>
      </x:c>
      <x:c r="D3700" s="19" t="str">
        <x:v>场景=2036-03-03_9；方法=META_CONTEXT1</x:v>
      </x:c>
      <x:c r="E3700" s="19" t="str">
        <x:v>质量通过</x:v>
      </x:c>
      <x:c r="F3700" s="19" t="str">
        <x:v>True</x:v>
      </x:c>
      <x:c r="G3700" s="19" t="str">
        <x:v>质量/成本</x:v>
      </x:c>
      <x:c r="H3700" s="19" t="str">
        <x:v>D:/Codex/GRL研究/outputs/grid82/GRID82_report.md</x:v>
      </x:c>
    </x:row>
    <x:row r="3701" ht="36" customHeight="1">
      <x:c r="A3701" s="19" t="str">
        <x:v>GRID82</x:v>
      </x:c>
      <x:c r="B3701" s="19" t="str">
        <x:v>GRID82_report.md</x:v>
      </x:c>
      <x:c r="C3701" s="19" t="str">
        <x:v>3. 逐场景完整结果</x:v>
      </x:c>
      <x:c r="D3701" s="19" t="str">
        <x:v>场景=2036-03-03_9；方法=META_CONTEXT1</x:v>
      </x:c>
      <x:c r="E3701" s="19" t="str">
        <x:v>搜索查询</x:v>
      </x:c>
      <x:c r="F3701" s="19" t="str">
        <x:v>5109</x:v>
      </x:c>
      <x:c r="G3701" s="19" t="str">
        <x:v>速度/计算</x:v>
      </x:c>
      <x:c r="H3701" s="19" t="str">
        <x:v>D:/Codex/GRL研究/outputs/grid82/GRID82_report.md</x:v>
      </x:c>
    </x:row>
    <x:row r="3702" ht="36" customHeight="1">
      <x:c r="A3702" s="19" t="str">
        <x:v>GRID82</x:v>
      </x:c>
      <x:c r="B3702" s="19" t="str">
        <x:v>GRID82_report.md</x:v>
      </x:c>
      <x:c r="C3702" s="19" t="str">
        <x:v>3. 逐场景完整结果</x:v>
      </x:c>
      <x:c r="D3702" s="19" t="str">
        <x:v>场景=2036-03-03_9；方法=META_CONTEXT1</x:v>
      </x:c>
      <x:c r="E3702" s="19" t="str">
        <x:v>控制秒：均值[最小,最大]</x:v>
      </x:c>
      <x:c r="F3702" s="19" t="str">
        <x:v>69.131[68.763,69.499]</x:v>
      </x:c>
      <x:c r="G3702" s="19" t="str">
        <x:v>速度/计算</x:v>
      </x:c>
      <x:c r="H3702" s="19" t="str">
        <x:v>D:/Codex/GRL研究/outputs/grid82/GRID82_report.md</x:v>
      </x:c>
    </x:row>
    <x:row r="3703" ht="36" customHeight="1">
      <x:c r="A3703" s="19" t="str">
        <x:v>GRID82</x:v>
      </x:c>
      <x:c r="B3703" s="19" t="str">
        <x:v>GRID82_report.md</x:v>
      </x:c>
      <x:c r="C3703" s="19" t="str">
        <x:v>3. 逐场景完整结果</x:v>
      </x:c>
      <x:c r="D3703" s="19" t="str">
        <x:v>场景=2036-05-05_9；方法=FRAME_GUARD</x:v>
      </x:c>
      <x:c r="E3703" s="19" t="str">
        <x:v>方法</x:v>
      </x:c>
      <x:c r="F3703" s="19" t="str">
        <x:v>FRAME_GUARD</x:v>
      </x:c>
      <x:c r="G3703" s="19" t="str">
        <x:v>其他/配置</x:v>
      </x:c>
      <x:c r="H3703" s="19" t="str">
        <x:v>D:/Codex/GRL研究/outputs/grid82/GRID82_report.md</x:v>
      </x:c>
    </x:row>
    <x:row r="3704" ht="36" customHeight="1">
      <x:c r="A3704" s="19" t="str">
        <x:v>GRID82</x:v>
      </x:c>
      <x:c r="B3704" s="19" t="str">
        <x:v>GRID82_report.md</x:v>
      </x:c>
      <x:c r="C3704" s="19" t="str">
        <x:v>3. 逐场景完整结果</x:v>
      </x:c>
      <x:c r="D3704" s="19" t="str">
        <x:v>场景=2036-05-05_9；方法=FRAME_GUARD</x:v>
      </x:c>
      <x:c r="E3704" s="19" t="str">
        <x:v>完成/步数</x:v>
      </x:c>
      <x:c r="F3704" s="19" t="str">
        <x:v>True/2017</x:v>
      </x:c>
      <x:c r="G3704" s="19" t="str">
        <x:v>质量/成本</x:v>
      </x:c>
      <x:c r="H3704" s="19" t="str">
        <x:v>D:/Codex/GRL研究/outputs/grid82/GRID82_report.md</x:v>
      </x:c>
    </x:row>
    <x:row r="3705" ht="36" customHeight="1">
      <x:c r="A3705" s="19" t="str">
        <x:v>GRID82</x:v>
      </x:c>
      <x:c r="B3705" s="19" t="str">
        <x:v>GRID82_report.md</x:v>
      </x:c>
      <x:c r="C3705" s="19" t="str">
        <x:v>3. 逐场景完整结果</x:v>
      </x:c>
      <x:c r="D3705" s="19" t="str">
        <x:v>场景=2036-05-05_9；方法=FRAME_GUARD</x:v>
      </x:c>
      <x:c r="E3705" s="19" t="str">
        <x:v>完整周成本相对FULL</x:v>
      </x:c>
      <x:c r="F3705" s="19" t="str">
        <x:v>-2.6518%</x:v>
      </x:c>
      <x:c r="G3705" s="19" t="str">
        <x:v>质量/成本</x:v>
      </x:c>
      <x:c r="H3705" s="19" t="str">
        <x:v>D:/Codex/GRL研究/outputs/grid82/GRID82_report.md</x:v>
      </x:c>
    </x:row>
    <x:row r="3706" ht="36" customHeight="1">
      <x:c r="A3706" s="19" t="str">
        <x:v>GRID82</x:v>
      </x:c>
      <x:c r="B3706" s="19" t="str">
        <x:v>GRID82_report.md</x:v>
      </x:c>
      <x:c r="C3706" s="19" t="str">
        <x:v>3. 逐场景完整结果</x:v>
      </x:c>
      <x:c r="D3706" s="19" t="str">
        <x:v>场景=2036-05-05_9；方法=FRAME_GUARD</x:v>
      </x:c>
      <x:c r="E3706" s="19" t="str">
        <x:v>质量通过</x:v>
      </x:c>
      <x:c r="F3706" s="19" t="str">
        <x:v>True</x:v>
      </x:c>
      <x:c r="G3706" s="19" t="str">
        <x:v>质量/成本</x:v>
      </x:c>
      <x:c r="H3706" s="19" t="str">
        <x:v>D:/Codex/GRL研究/outputs/grid82/GRID82_report.md</x:v>
      </x:c>
    </x:row>
    <x:row r="3707" ht="36" customHeight="1">
      <x:c r="A3707" s="19" t="str">
        <x:v>GRID82</x:v>
      </x:c>
      <x:c r="B3707" s="19" t="str">
        <x:v>GRID82_report.md</x:v>
      </x:c>
      <x:c r="C3707" s="19" t="str">
        <x:v>3. 逐场景完整结果</x:v>
      </x:c>
      <x:c r="D3707" s="19" t="str">
        <x:v>场景=2036-05-05_9；方法=FRAME_GUARD</x:v>
      </x:c>
      <x:c r="E3707" s="19" t="str">
        <x:v>搜索查询</x:v>
      </x:c>
      <x:c r="F3707" s="19" t="str">
        <x:v>454</x:v>
      </x:c>
      <x:c r="G3707" s="19" t="str">
        <x:v>速度/计算</x:v>
      </x:c>
      <x:c r="H3707" s="19" t="str">
        <x:v>D:/Codex/GRL研究/outputs/grid82/GRID82_report.md</x:v>
      </x:c>
    </x:row>
    <x:row r="3708" ht="36" customHeight="1">
      <x:c r="A3708" s="19" t="str">
        <x:v>GRID82</x:v>
      </x:c>
      <x:c r="B3708" s="19" t="str">
        <x:v>GRID82_report.md</x:v>
      </x:c>
      <x:c r="C3708" s="19" t="str">
        <x:v>3. 逐场景完整结果</x:v>
      </x:c>
      <x:c r="D3708" s="19" t="str">
        <x:v>场景=2036-05-05_9；方法=FRAME_GUARD</x:v>
      </x:c>
      <x:c r="E3708" s="19" t="str">
        <x:v>控制秒：均值[最小,最大]</x:v>
      </x:c>
      <x:c r="F3708" s="19" t="str">
        <x:v>35.705[35.704,35.706]</x:v>
      </x:c>
      <x:c r="G3708" s="19" t="str">
        <x:v>速度/计算</x:v>
      </x:c>
      <x:c r="H3708" s="19" t="str">
        <x:v>D:/Codex/GRL研究/outputs/grid82/GRID82_report.md</x:v>
      </x:c>
    </x:row>
    <x:row r="3709" ht="36" customHeight="1">
      <x:c r="A3709" s="19" t="str">
        <x:v>GRID82</x:v>
      </x:c>
      <x:c r="B3709" s="19" t="str">
        <x:v>GRID82_report.md</x:v>
      </x:c>
      <x:c r="C3709" s="19" t="str">
        <x:v>3. 逐场景完整结果</x:v>
      </x:c>
      <x:c r="D3709" s="19" t="str">
        <x:v>场景=2036-05-05_9；方法=META_CONTEXT0</x:v>
      </x:c>
      <x:c r="E3709" s="19" t="str">
        <x:v>方法</x:v>
      </x:c>
      <x:c r="F3709" s="19" t="str">
        <x:v>META_CONTEXT0</x:v>
      </x:c>
      <x:c r="G3709" s="19" t="str">
        <x:v>其他/配置</x:v>
      </x:c>
      <x:c r="H3709" s="19" t="str">
        <x:v>D:/Codex/GRL研究/outputs/grid82/GRID82_report.md</x:v>
      </x:c>
    </x:row>
    <x:row r="3710" ht="36" customHeight="1">
      <x:c r="A3710" s="19" t="str">
        <x:v>GRID82</x:v>
      </x:c>
      <x:c r="B3710" s="19" t="str">
        <x:v>GRID82_report.md</x:v>
      </x:c>
      <x:c r="C3710" s="19" t="str">
        <x:v>3. 逐场景完整结果</x:v>
      </x:c>
      <x:c r="D3710" s="19" t="str">
        <x:v>场景=2036-05-05_9；方法=META_CONTEXT0</x:v>
      </x:c>
      <x:c r="E3710" s="19" t="str">
        <x:v>完成/步数</x:v>
      </x:c>
      <x:c r="F3710" s="19" t="str">
        <x:v>True/2017</x:v>
      </x:c>
      <x:c r="G3710" s="19" t="str">
        <x:v>质量/成本</x:v>
      </x:c>
      <x:c r="H3710" s="19" t="str">
        <x:v>D:/Codex/GRL研究/outputs/grid82/GRID82_report.md</x:v>
      </x:c>
    </x:row>
    <x:row r="3711" ht="36" customHeight="1">
      <x:c r="A3711" s="19" t="str">
        <x:v>GRID82</x:v>
      </x:c>
      <x:c r="B3711" s="19" t="str">
        <x:v>GRID82_report.md</x:v>
      </x:c>
      <x:c r="C3711" s="19" t="str">
        <x:v>3. 逐场景完整结果</x:v>
      </x:c>
      <x:c r="D3711" s="19" t="str">
        <x:v>场景=2036-05-05_9；方法=META_CONTEXT0</x:v>
      </x:c>
      <x:c r="E3711" s="19" t="str">
        <x:v>完整周成本相对FULL</x:v>
      </x:c>
      <x:c r="F3711" s="19" t="str">
        <x:v>+0.0000%</x:v>
      </x:c>
      <x:c r="G3711" s="19" t="str">
        <x:v>质量/成本</x:v>
      </x:c>
      <x:c r="H3711" s="19" t="str">
        <x:v>D:/Codex/GRL研究/outputs/grid82/GRID82_report.md</x:v>
      </x:c>
    </x:row>
    <x:row r="3712" ht="36" customHeight="1">
      <x:c r="A3712" s="19" t="str">
        <x:v>GRID82</x:v>
      </x:c>
      <x:c r="B3712" s="19" t="str">
        <x:v>GRID82_report.md</x:v>
      </x:c>
      <x:c r="C3712" s="19" t="str">
        <x:v>3. 逐场景完整结果</x:v>
      </x:c>
      <x:c r="D3712" s="19" t="str">
        <x:v>场景=2036-05-05_9；方法=META_CONTEXT0</x:v>
      </x:c>
      <x:c r="E3712" s="19" t="str">
        <x:v>质量通过</x:v>
      </x:c>
      <x:c r="F3712" s="19" t="str">
        <x:v>True</x:v>
      </x:c>
      <x:c r="G3712" s="19" t="str">
        <x:v>质量/成本</x:v>
      </x:c>
      <x:c r="H3712" s="19" t="str">
        <x:v>D:/Codex/GRL研究/outputs/grid82/GRID82_report.md</x:v>
      </x:c>
    </x:row>
    <x:row r="3713" ht="36" customHeight="1">
      <x:c r="A3713" s="19" t="str">
        <x:v>GRID82</x:v>
      </x:c>
      <x:c r="B3713" s="19" t="str">
        <x:v>GRID82_report.md</x:v>
      </x:c>
      <x:c r="C3713" s="19" t="str">
        <x:v>3. 逐场景完整结果</x:v>
      </x:c>
      <x:c r="D3713" s="19" t="str">
        <x:v>场景=2036-05-05_9；方法=META_CONTEXT0</x:v>
      </x:c>
      <x:c r="E3713" s="19" t="str">
        <x:v>搜索查询</x:v>
      </x:c>
      <x:c r="F3713" s="19" t="str">
        <x:v>1536</x:v>
      </x:c>
      <x:c r="G3713" s="19" t="str">
        <x:v>速度/计算</x:v>
      </x:c>
      <x:c r="H3713" s="19" t="str">
        <x:v>D:/Codex/GRL研究/outputs/grid82/GRID82_report.md</x:v>
      </x:c>
    </x:row>
    <x:row r="3714" ht="36" customHeight="1">
      <x:c r="A3714" s="19" t="str">
        <x:v>GRID82</x:v>
      </x:c>
      <x:c r="B3714" s="19" t="str">
        <x:v>GRID82_report.md</x:v>
      </x:c>
      <x:c r="C3714" s="19" t="str">
        <x:v>3. 逐场景完整结果</x:v>
      </x:c>
      <x:c r="D3714" s="19" t="str">
        <x:v>场景=2036-05-05_9；方法=META_CONTEXT0</x:v>
      </x:c>
      <x:c r="E3714" s="19" t="str">
        <x:v>控制秒：均值[最小,最大]</x:v>
      </x:c>
      <x:c r="F3714" s="19" t="str">
        <x:v>44.941[44.893,44.989]</x:v>
      </x:c>
      <x:c r="G3714" s="19" t="str">
        <x:v>速度/计算</x:v>
      </x:c>
      <x:c r="H3714" s="19" t="str">
        <x:v>D:/Codex/GRL研究/outputs/grid82/GRID82_report.md</x:v>
      </x:c>
    </x:row>
    <x:row r="3715" ht="36" customHeight="1">
      <x:c r="A3715" s="19" t="str">
        <x:v>GRID82</x:v>
      </x:c>
      <x:c r="B3715" s="19" t="str">
        <x:v>GRID82_report.md</x:v>
      </x:c>
      <x:c r="C3715" s="19" t="str">
        <x:v>3. 逐场景完整结果</x:v>
      </x:c>
      <x:c r="D3715" s="19" t="str">
        <x:v>场景=2036-05-05_9；方法=META_CONTEXT1</x:v>
      </x:c>
      <x:c r="E3715" s="19" t="str">
        <x:v>方法</x:v>
      </x:c>
      <x:c r="F3715" s="19" t="str">
        <x:v>META_CONTEXT1</x:v>
      </x:c>
      <x:c r="G3715" s="19" t="str">
        <x:v>其他/配置</x:v>
      </x:c>
      <x:c r="H3715" s="19" t="str">
        <x:v>D:/Codex/GRL研究/outputs/grid82/GRID82_report.md</x:v>
      </x:c>
    </x:row>
    <x:row r="3716" ht="36" customHeight="1">
      <x:c r="A3716" s="19" t="str">
        <x:v>GRID82</x:v>
      </x:c>
      <x:c r="B3716" s="19" t="str">
        <x:v>GRID82_report.md</x:v>
      </x:c>
      <x:c r="C3716" s="19" t="str">
        <x:v>3. 逐场景完整结果</x:v>
      </x:c>
      <x:c r="D3716" s="19" t="str">
        <x:v>场景=2036-05-05_9；方法=META_CONTEXT1</x:v>
      </x:c>
      <x:c r="E3716" s="19" t="str">
        <x:v>完成/步数</x:v>
      </x:c>
      <x:c r="F3716" s="19" t="str">
        <x:v>True/2017</x:v>
      </x:c>
      <x:c r="G3716" s="19" t="str">
        <x:v>质量/成本</x:v>
      </x:c>
      <x:c r="H3716" s="19" t="str">
        <x:v>D:/Codex/GRL研究/outputs/grid82/GRID82_report.md</x:v>
      </x:c>
    </x:row>
    <x:row r="3717" ht="36" customHeight="1">
      <x:c r="A3717" s="19" t="str">
        <x:v>GRID82</x:v>
      </x:c>
      <x:c r="B3717" s="19" t="str">
        <x:v>GRID82_report.md</x:v>
      </x:c>
      <x:c r="C3717" s="19" t="str">
        <x:v>3. 逐场景完整结果</x:v>
      </x:c>
      <x:c r="D3717" s="19" t="str">
        <x:v>场景=2036-05-05_9；方法=META_CONTEXT1</x:v>
      </x:c>
      <x:c r="E3717" s="19" t="str">
        <x:v>完整周成本相对FULL</x:v>
      </x:c>
      <x:c r="F3717" s="19" t="str">
        <x:v>-2.6518%</x:v>
      </x:c>
      <x:c r="G3717" s="19" t="str">
        <x:v>质量/成本</x:v>
      </x:c>
      <x:c r="H3717" s="19" t="str">
        <x:v>D:/Codex/GRL研究/outputs/grid82/GRID82_report.md</x:v>
      </x:c>
    </x:row>
    <x:row r="3718" ht="36" customHeight="1">
      <x:c r="A3718" s="19" t="str">
        <x:v>GRID82</x:v>
      </x:c>
      <x:c r="B3718" s="19" t="str">
        <x:v>GRID82_report.md</x:v>
      </x:c>
      <x:c r="C3718" s="19" t="str">
        <x:v>3. 逐场景完整结果</x:v>
      </x:c>
      <x:c r="D3718" s="19" t="str">
        <x:v>场景=2036-05-05_9；方法=META_CONTEXT1</x:v>
      </x:c>
      <x:c r="E3718" s="19" t="str">
        <x:v>质量通过</x:v>
      </x:c>
      <x:c r="F3718" s="19" t="str">
        <x:v>True</x:v>
      </x:c>
      <x:c r="G3718" s="19" t="str">
        <x:v>质量/成本</x:v>
      </x:c>
      <x:c r="H3718" s="19" t="str">
        <x:v>D:/Codex/GRL研究/outputs/grid82/GRID82_report.md</x:v>
      </x:c>
    </x:row>
    <x:row r="3719" ht="36" customHeight="1">
      <x:c r="A3719" s="19" t="str">
        <x:v>GRID82</x:v>
      </x:c>
      <x:c r="B3719" s="19" t="str">
        <x:v>GRID82_report.md</x:v>
      </x:c>
      <x:c r="C3719" s="19" t="str">
        <x:v>3. 逐场景完整结果</x:v>
      </x:c>
      <x:c r="D3719" s="19" t="str">
        <x:v>场景=2036-05-05_9；方法=META_CONTEXT1</x:v>
      </x:c>
      <x:c r="E3719" s="19" t="str">
        <x:v>搜索查询</x:v>
      </x:c>
      <x:c r="F3719" s="19" t="str">
        <x:v>454</x:v>
      </x:c>
      <x:c r="G3719" s="19" t="str">
        <x:v>速度/计算</x:v>
      </x:c>
      <x:c r="H3719" s="19" t="str">
        <x:v>D:/Codex/GRL研究/outputs/grid82/GRID82_report.md</x:v>
      </x:c>
    </x:row>
    <x:row r="3720" ht="36" customHeight="1">
      <x:c r="A3720" s="19" t="str">
        <x:v>GRID82</x:v>
      </x:c>
      <x:c r="B3720" s="19" t="str">
        <x:v>GRID82_report.md</x:v>
      </x:c>
      <x:c r="C3720" s="19" t="str">
        <x:v>3. 逐场景完整结果</x:v>
      </x:c>
      <x:c r="D3720" s="19" t="str">
        <x:v>场景=2036-05-05_9；方法=META_CONTEXT1</x:v>
      </x:c>
      <x:c r="E3720" s="19" t="str">
        <x:v>控制秒：均值[最小,最大]</x:v>
      </x:c>
      <x:c r="F3720" s="19" t="str">
        <x:v>35.800[35.590,36.009]</x:v>
      </x:c>
      <x:c r="G3720" s="19" t="str">
        <x:v>速度/计算</x:v>
      </x:c>
      <x:c r="H3720" s="19" t="str">
        <x:v>D:/Codex/GRL研究/outputs/grid82/GRID82_report.md</x:v>
      </x:c>
    </x:row>
    <x:row r="3721" ht="36" customHeight="1">
      <x:c r="A3721" s="19" t="str">
        <x:v>GRID82</x:v>
      </x:c>
      <x:c r="B3721" s="19" t="str">
        <x:v>GRID82_report.md</x:v>
      </x:c>
      <x:c r="C3721" s="19" t="str">
        <x:v>3. 逐场景完整结果</x:v>
      </x:c>
      <x:c r="D3721" s="19" t="str">
        <x:v>场景=2036-07-07_9；方法=FRAME_GUARD</x:v>
      </x:c>
      <x:c r="E3721" s="19" t="str">
        <x:v>方法</x:v>
      </x:c>
      <x:c r="F3721" s="19" t="str">
        <x:v>FRAME_GUARD</x:v>
      </x:c>
      <x:c r="G3721" s="19" t="str">
        <x:v>其他/配置</x:v>
      </x:c>
      <x:c r="H3721" s="19" t="str">
        <x:v>D:/Codex/GRL研究/outputs/grid82/GRID82_report.md</x:v>
      </x:c>
    </x:row>
    <x:row r="3722" ht="36" customHeight="1">
      <x:c r="A3722" s="19" t="str">
        <x:v>GRID82</x:v>
      </x:c>
      <x:c r="B3722" s="19" t="str">
        <x:v>GRID82_report.md</x:v>
      </x:c>
      <x:c r="C3722" s="19" t="str">
        <x:v>3. 逐场景完整结果</x:v>
      </x:c>
      <x:c r="D3722" s="19" t="str">
        <x:v>场景=2036-07-07_9；方法=FRAME_GUARD</x:v>
      </x:c>
      <x:c r="E3722" s="19" t="str">
        <x:v>完成/步数</x:v>
      </x:c>
      <x:c r="F3722" s="19" t="str">
        <x:v>True/2017</x:v>
      </x:c>
      <x:c r="G3722" s="19" t="str">
        <x:v>质量/成本</x:v>
      </x:c>
      <x:c r="H3722" s="19" t="str">
        <x:v>D:/Codex/GRL研究/outputs/grid82/GRID82_report.md</x:v>
      </x:c>
    </x:row>
    <x:row r="3723" ht="36" customHeight="1">
      <x:c r="A3723" s="19" t="str">
        <x:v>GRID82</x:v>
      </x:c>
      <x:c r="B3723" s="19" t="str">
        <x:v>GRID82_report.md</x:v>
      </x:c>
      <x:c r="C3723" s="19" t="str">
        <x:v>3. 逐场景完整结果</x:v>
      </x:c>
      <x:c r="D3723" s="19" t="str">
        <x:v>场景=2036-07-07_9；方法=FRAME_GUARD</x:v>
      </x:c>
      <x:c r="E3723" s="19" t="str">
        <x:v>完整周成本相对FULL</x:v>
      </x:c>
      <x:c r="F3723" s="19" t="str">
        <x:v>-1.0881%</x:v>
      </x:c>
      <x:c r="G3723" s="19" t="str">
        <x:v>质量/成本</x:v>
      </x:c>
      <x:c r="H3723" s="19" t="str">
        <x:v>D:/Codex/GRL研究/outputs/grid82/GRID82_report.md</x:v>
      </x:c>
    </x:row>
    <x:row r="3724" ht="36" customHeight="1">
      <x:c r="A3724" s="19" t="str">
        <x:v>GRID82</x:v>
      </x:c>
      <x:c r="B3724" s="19" t="str">
        <x:v>GRID82_report.md</x:v>
      </x:c>
      <x:c r="C3724" s="19" t="str">
        <x:v>3. 逐场景完整结果</x:v>
      </x:c>
      <x:c r="D3724" s="19" t="str">
        <x:v>场景=2036-07-07_9；方法=FRAME_GUARD</x:v>
      </x:c>
      <x:c r="E3724" s="19" t="str">
        <x:v>质量通过</x:v>
      </x:c>
      <x:c r="F3724" s="19" t="str">
        <x:v>True</x:v>
      </x:c>
      <x:c r="G3724" s="19" t="str">
        <x:v>质量/成本</x:v>
      </x:c>
      <x:c r="H3724" s="19" t="str">
        <x:v>D:/Codex/GRL研究/outputs/grid82/GRID82_report.md</x:v>
      </x:c>
    </x:row>
    <x:row r="3725" ht="36" customHeight="1">
      <x:c r="A3725" s="19" t="str">
        <x:v>GRID82</x:v>
      </x:c>
      <x:c r="B3725" s="19" t="str">
        <x:v>GRID82_report.md</x:v>
      </x:c>
      <x:c r="C3725" s="19" t="str">
        <x:v>3. 逐场景完整结果</x:v>
      </x:c>
      <x:c r="D3725" s="19" t="str">
        <x:v>场景=2036-07-07_9；方法=FRAME_GUARD</x:v>
      </x:c>
      <x:c r="E3725" s="19" t="str">
        <x:v>搜索查询</x:v>
      </x:c>
      <x:c r="F3725" s="19" t="str">
        <x:v>3470</x:v>
      </x:c>
      <x:c r="G3725" s="19" t="str">
        <x:v>速度/计算</x:v>
      </x:c>
      <x:c r="H3725" s="19" t="str">
        <x:v>D:/Codex/GRL研究/outputs/grid82/GRID82_report.md</x:v>
      </x:c>
    </x:row>
    <x:row r="3726" ht="36" customHeight="1">
      <x:c r="A3726" s="19" t="str">
        <x:v>GRID82</x:v>
      </x:c>
      <x:c r="B3726" s="19" t="str">
        <x:v>GRID82_report.md</x:v>
      </x:c>
      <x:c r="C3726" s="19" t="str">
        <x:v>3. 逐场景完整结果</x:v>
      </x:c>
      <x:c r="D3726" s="19" t="str">
        <x:v>场景=2036-07-07_9；方法=FRAME_GUARD</x:v>
      </x:c>
      <x:c r="E3726" s="19" t="str">
        <x:v>控制秒：均值[最小,最大]</x:v>
      </x:c>
      <x:c r="F3726" s="19" t="str">
        <x:v>43.590[43.319,43.861]</x:v>
      </x:c>
      <x:c r="G3726" s="19" t="str">
        <x:v>速度/计算</x:v>
      </x:c>
      <x:c r="H3726" s="19" t="str">
        <x:v>D:/Codex/GRL研究/outputs/grid82/GRID82_report.md</x:v>
      </x:c>
    </x:row>
    <x:row r="3727" ht="36" customHeight="1">
      <x:c r="A3727" s="19" t="str">
        <x:v>GRID82</x:v>
      </x:c>
      <x:c r="B3727" s="19" t="str">
        <x:v>GRID82_report.md</x:v>
      </x:c>
      <x:c r="C3727" s="19" t="str">
        <x:v>3. 逐场景完整结果</x:v>
      </x:c>
      <x:c r="D3727" s="19" t="str">
        <x:v>场景=2036-07-07_9；方法=META_CONTEXT0</x:v>
      </x:c>
      <x:c r="E3727" s="19" t="str">
        <x:v>方法</x:v>
      </x:c>
      <x:c r="F3727" s="19" t="str">
        <x:v>META_CONTEXT0</x:v>
      </x:c>
      <x:c r="G3727" s="19" t="str">
        <x:v>其他/配置</x:v>
      </x:c>
      <x:c r="H3727" s="19" t="str">
        <x:v>D:/Codex/GRL研究/outputs/grid82/GRID82_report.md</x:v>
      </x:c>
    </x:row>
    <x:row r="3728" ht="36" customHeight="1">
      <x:c r="A3728" s="19" t="str">
        <x:v>GRID82</x:v>
      </x:c>
      <x:c r="B3728" s="19" t="str">
        <x:v>GRID82_report.md</x:v>
      </x:c>
      <x:c r="C3728" s="19" t="str">
        <x:v>3. 逐场景完整结果</x:v>
      </x:c>
      <x:c r="D3728" s="19" t="str">
        <x:v>场景=2036-07-07_9；方法=META_CONTEXT0</x:v>
      </x:c>
      <x:c r="E3728" s="19" t="str">
        <x:v>完成/步数</x:v>
      </x:c>
      <x:c r="F3728" s="19" t="str">
        <x:v>True/2017</x:v>
      </x:c>
      <x:c r="G3728" s="19" t="str">
        <x:v>质量/成本</x:v>
      </x:c>
      <x:c r="H3728" s="19" t="str">
        <x:v>D:/Codex/GRL研究/outputs/grid82/GRID82_report.md</x:v>
      </x:c>
    </x:row>
    <x:row r="3729" ht="36" customHeight="1">
      <x:c r="A3729" s="19" t="str">
        <x:v>GRID82</x:v>
      </x:c>
      <x:c r="B3729" s="19" t="str">
        <x:v>GRID82_report.md</x:v>
      </x:c>
      <x:c r="C3729" s="19" t="str">
        <x:v>3. 逐场景完整结果</x:v>
      </x:c>
      <x:c r="D3729" s="19" t="str">
        <x:v>场景=2036-07-07_9；方法=META_CONTEXT0</x:v>
      </x:c>
      <x:c r="E3729" s="19" t="str">
        <x:v>完整周成本相对FULL</x:v>
      </x:c>
      <x:c r="F3729" s="19" t="str">
        <x:v>+0.3776%</x:v>
      </x:c>
      <x:c r="G3729" s="19" t="str">
        <x:v>质量/成本</x:v>
      </x:c>
      <x:c r="H3729" s="19" t="str">
        <x:v>D:/Codex/GRL研究/outputs/grid82/GRID82_report.md</x:v>
      </x:c>
    </x:row>
    <x:row r="3730" ht="36" customHeight="1">
      <x:c r="A3730" s="19" t="str">
        <x:v>GRID82</x:v>
      </x:c>
      <x:c r="B3730" s="19" t="str">
        <x:v>GRID82_report.md</x:v>
      </x:c>
      <x:c r="C3730" s="19" t="str">
        <x:v>3. 逐场景完整结果</x:v>
      </x:c>
      <x:c r="D3730" s="19" t="str">
        <x:v>场景=2036-07-07_9；方法=META_CONTEXT0</x:v>
      </x:c>
      <x:c r="E3730" s="19" t="str">
        <x:v>质量通过</x:v>
      </x:c>
      <x:c r="F3730" s="19" t="str">
        <x:v>True</x:v>
      </x:c>
      <x:c r="G3730" s="19" t="str">
        <x:v>质量/成本</x:v>
      </x:c>
      <x:c r="H3730" s="19" t="str">
        <x:v>D:/Codex/GRL研究/outputs/grid82/GRID82_report.md</x:v>
      </x:c>
    </x:row>
    <x:row r="3731" ht="36" customHeight="1">
      <x:c r="A3731" s="19" t="str">
        <x:v>GRID82</x:v>
      </x:c>
      <x:c r="B3731" s="19" t="str">
        <x:v>GRID82_report.md</x:v>
      </x:c>
      <x:c r="C3731" s="19" t="str">
        <x:v>3. 逐场景完整结果</x:v>
      </x:c>
      <x:c r="D3731" s="19" t="str">
        <x:v>场景=2036-07-07_9；方法=META_CONTEXT0</x:v>
      </x:c>
      <x:c r="E3731" s="19" t="str">
        <x:v>搜索查询</x:v>
      </x:c>
      <x:c r="F3731" s="19" t="str">
        <x:v>4685</x:v>
      </x:c>
      <x:c r="G3731" s="19" t="str">
        <x:v>速度/计算</x:v>
      </x:c>
      <x:c r="H3731" s="19" t="str">
        <x:v>D:/Codex/GRL研究/outputs/grid82/GRID82_report.md</x:v>
      </x:c>
    </x:row>
    <x:row r="3732" ht="36" customHeight="1">
      <x:c r="A3732" s="19" t="str">
        <x:v>GRID82</x:v>
      </x:c>
      <x:c r="B3732" s="19" t="str">
        <x:v>GRID82_report.md</x:v>
      </x:c>
      <x:c r="C3732" s="19" t="str">
        <x:v>3. 逐场景完整结果</x:v>
      </x:c>
      <x:c r="D3732" s="19" t="str">
        <x:v>场景=2036-07-07_9；方法=META_CONTEXT0</x:v>
      </x:c>
      <x:c r="E3732" s="19" t="str">
        <x:v>控制秒：均值[最小,最大]</x:v>
      </x:c>
      <x:c r="F3732" s="19" t="str">
        <x:v>49.447[49.390,49.503]</x:v>
      </x:c>
      <x:c r="G3732" s="19" t="str">
        <x:v>速度/计算</x:v>
      </x:c>
      <x:c r="H3732" s="19" t="str">
        <x:v>D:/Codex/GRL研究/outputs/grid82/GRID82_report.md</x:v>
      </x:c>
    </x:row>
    <x:row r="3733" ht="36" customHeight="1">
      <x:c r="A3733" s="19" t="str">
        <x:v>GRID82</x:v>
      </x:c>
      <x:c r="B3733" s="19" t="str">
        <x:v>GRID82_report.md</x:v>
      </x:c>
      <x:c r="C3733" s="19" t="str">
        <x:v>3. 逐场景完整结果</x:v>
      </x:c>
      <x:c r="D3733" s="19" t="str">
        <x:v>场景=2036-07-07_9；方法=META_CONTEXT1</x:v>
      </x:c>
      <x:c r="E3733" s="19" t="str">
        <x:v>方法</x:v>
      </x:c>
      <x:c r="F3733" s="19" t="str">
        <x:v>META_CONTEXT1</x:v>
      </x:c>
      <x:c r="G3733" s="19" t="str">
        <x:v>其他/配置</x:v>
      </x:c>
      <x:c r="H3733" s="19" t="str">
        <x:v>D:/Codex/GRL研究/outputs/grid82/GRID82_report.md</x:v>
      </x:c>
    </x:row>
    <x:row r="3734" ht="36" customHeight="1">
      <x:c r="A3734" s="19" t="str">
        <x:v>GRID82</x:v>
      </x:c>
      <x:c r="B3734" s="19" t="str">
        <x:v>GRID82_report.md</x:v>
      </x:c>
      <x:c r="C3734" s="19" t="str">
        <x:v>3. 逐场景完整结果</x:v>
      </x:c>
      <x:c r="D3734" s="19" t="str">
        <x:v>场景=2036-07-07_9；方法=META_CONTEXT1</x:v>
      </x:c>
      <x:c r="E3734" s="19" t="str">
        <x:v>完成/步数</x:v>
      </x:c>
      <x:c r="F3734" s="19" t="str">
        <x:v>True/2017</x:v>
      </x:c>
      <x:c r="G3734" s="19" t="str">
        <x:v>质量/成本</x:v>
      </x:c>
      <x:c r="H3734" s="19" t="str">
        <x:v>D:/Codex/GRL研究/outputs/grid82/GRID82_report.md</x:v>
      </x:c>
    </x:row>
    <x:row r="3735" ht="36" customHeight="1">
      <x:c r="A3735" s="19" t="str">
        <x:v>GRID82</x:v>
      </x:c>
      <x:c r="B3735" s="19" t="str">
        <x:v>GRID82_report.md</x:v>
      </x:c>
      <x:c r="C3735" s="19" t="str">
        <x:v>3. 逐场景完整结果</x:v>
      </x:c>
      <x:c r="D3735" s="19" t="str">
        <x:v>场景=2036-07-07_9；方法=META_CONTEXT1</x:v>
      </x:c>
      <x:c r="E3735" s="19" t="str">
        <x:v>完整周成本相对FULL</x:v>
      </x:c>
      <x:c r="F3735" s="19" t="str">
        <x:v>-1.0881%</x:v>
      </x:c>
      <x:c r="G3735" s="19" t="str">
        <x:v>质量/成本</x:v>
      </x:c>
      <x:c r="H3735" s="19" t="str">
        <x:v>D:/Codex/GRL研究/outputs/grid82/GRID82_report.md</x:v>
      </x:c>
    </x:row>
    <x:row r="3736" ht="36" customHeight="1">
      <x:c r="A3736" s="19" t="str">
        <x:v>GRID82</x:v>
      </x:c>
      <x:c r="B3736" s="19" t="str">
        <x:v>GRID82_report.md</x:v>
      </x:c>
      <x:c r="C3736" s="19" t="str">
        <x:v>3. 逐场景完整结果</x:v>
      </x:c>
      <x:c r="D3736" s="19" t="str">
        <x:v>场景=2036-07-07_9；方法=META_CONTEXT1</x:v>
      </x:c>
      <x:c r="E3736" s="19" t="str">
        <x:v>质量通过</x:v>
      </x:c>
      <x:c r="F3736" s="19" t="str">
        <x:v>True</x:v>
      </x:c>
      <x:c r="G3736" s="19" t="str">
        <x:v>质量/成本</x:v>
      </x:c>
      <x:c r="H3736" s="19" t="str">
        <x:v>D:/Codex/GRL研究/outputs/grid82/GRID82_report.md</x:v>
      </x:c>
    </x:row>
    <x:row r="3737" ht="36" customHeight="1">
      <x:c r="A3737" s="19" t="str">
        <x:v>GRID82</x:v>
      </x:c>
      <x:c r="B3737" s="19" t="str">
        <x:v>GRID82_report.md</x:v>
      </x:c>
      <x:c r="C3737" s="19" t="str">
        <x:v>3. 逐场景完整结果</x:v>
      </x:c>
      <x:c r="D3737" s="19" t="str">
        <x:v>场景=2036-07-07_9；方法=META_CONTEXT1</x:v>
      </x:c>
      <x:c r="E3737" s="19" t="str">
        <x:v>搜索查询</x:v>
      </x:c>
      <x:c r="F3737" s="19" t="str">
        <x:v>3470</x:v>
      </x:c>
      <x:c r="G3737" s="19" t="str">
        <x:v>速度/计算</x:v>
      </x:c>
      <x:c r="H3737" s="19" t="str">
        <x:v>D:/Codex/GRL研究/outputs/grid82/GRID82_report.md</x:v>
      </x:c>
    </x:row>
    <x:row r="3738" ht="36" customHeight="1">
      <x:c r="A3738" s="19" t="str">
        <x:v>GRID82</x:v>
      </x:c>
      <x:c r="B3738" s="19" t="str">
        <x:v>GRID82_report.md</x:v>
      </x:c>
      <x:c r="C3738" s="19" t="str">
        <x:v>3. 逐场景完整结果</x:v>
      </x:c>
      <x:c r="D3738" s="19" t="str">
        <x:v>场景=2036-07-07_9；方法=META_CONTEXT1</x:v>
      </x:c>
      <x:c r="E3738" s="19" t="str">
        <x:v>控制秒：均值[最小,最大]</x:v>
      </x:c>
      <x:c r="F3738" s="19" t="str">
        <x:v>43.805[43.661,43.948]</x:v>
      </x:c>
      <x:c r="G3738" s="19" t="str">
        <x:v>速度/计算</x:v>
      </x:c>
      <x:c r="H3738" s="19" t="str">
        <x:v>D:/Codex/GRL研究/outputs/grid82/GRID82_report.md</x:v>
      </x:c>
    </x:row>
    <x:row r="3739" ht="36" customHeight="1">
      <x:c r="A3739" s="19" t="str">
        <x:v>GRID82</x:v>
      </x:c>
      <x:c r="B3739" s="19" t="str">
        <x:v>GRID82_report.md</x:v>
      </x:c>
      <x:c r="C3739" s="19" t="str">
        <x:v>3. 逐场景完整结果</x:v>
      </x:c>
      <x:c r="D3739" s="19" t="str">
        <x:v>场景=2036-09-01_9；方法=FRAME_GUARD</x:v>
      </x:c>
      <x:c r="E3739" s="19" t="str">
        <x:v>方法</x:v>
      </x:c>
      <x:c r="F3739" s="19" t="str">
        <x:v>FRAME_GUARD</x:v>
      </x:c>
      <x:c r="G3739" s="19" t="str">
        <x:v>其他/配置</x:v>
      </x:c>
      <x:c r="H3739" s="19" t="str">
        <x:v>D:/Codex/GRL研究/outputs/grid82/GRID82_report.md</x:v>
      </x:c>
    </x:row>
    <x:row r="3740" ht="36" customHeight="1">
      <x:c r="A3740" s="19" t="str">
        <x:v>GRID82</x:v>
      </x:c>
      <x:c r="B3740" s="19" t="str">
        <x:v>GRID82_report.md</x:v>
      </x:c>
      <x:c r="C3740" s="19" t="str">
        <x:v>3. 逐场景完整结果</x:v>
      </x:c>
      <x:c r="D3740" s="19" t="str">
        <x:v>场景=2036-09-01_9；方法=FRAME_GUARD</x:v>
      </x:c>
      <x:c r="E3740" s="19" t="str">
        <x:v>完成/步数</x:v>
      </x:c>
      <x:c r="F3740" s="19" t="str">
        <x:v>True/2017</x:v>
      </x:c>
      <x:c r="G3740" s="19" t="str">
        <x:v>质量/成本</x:v>
      </x:c>
      <x:c r="H3740" s="19" t="str">
        <x:v>D:/Codex/GRL研究/outputs/grid82/GRID82_report.md</x:v>
      </x:c>
    </x:row>
    <x:row r="3741" ht="36" customHeight="1">
      <x:c r="A3741" s="19" t="str">
        <x:v>GRID82</x:v>
      </x:c>
      <x:c r="B3741" s="19" t="str">
        <x:v>GRID82_report.md</x:v>
      </x:c>
      <x:c r="C3741" s="19" t="str">
        <x:v>3. 逐场景完整结果</x:v>
      </x:c>
      <x:c r="D3741" s="19" t="str">
        <x:v>场景=2036-09-01_9；方法=FRAME_GUARD</x:v>
      </x:c>
      <x:c r="E3741" s="19" t="str">
        <x:v>完整周成本相对FULL</x:v>
      </x:c>
      <x:c r="F3741" s="19" t="str">
        <x:v>-0.0234%</x:v>
      </x:c>
      <x:c r="G3741" s="19" t="str">
        <x:v>质量/成本</x:v>
      </x:c>
      <x:c r="H3741" s="19" t="str">
        <x:v>D:/Codex/GRL研究/outputs/grid82/GRID82_report.md</x:v>
      </x:c>
    </x:row>
    <x:row r="3742" ht="36" customHeight="1">
      <x:c r="A3742" s="19" t="str">
        <x:v>GRID82</x:v>
      </x:c>
      <x:c r="B3742" s="19" t="str">
        <x:v>GRID82_report.md</x:v>
      </x:c>
      <x:c r="C3742" s="19" t="str">
        <x:v>3. 逐场景完整结果</x:v>
      </x:c>
      <x:c r="D3742" s="19" t="str">
        <x:v>场景=2036-09-01_9；方法=FRAME_GUARD</x:v>
      </x:c>
      <x:c r="E3742" s="19" t="str">
        <x:v>质量通过</x:v>
      </x:c>
      <x:c r="F3742" s="19" t="str">
        <x:v>True</x:v>
      </x:c>
      <x:c r="G3742" s="19" t="str">
        <x:v>质量/成本</x:v>
      </x:c>
      <x:c r="H3742" s="19" t="str">
        <x:v>D:/Codex/GRL研究/outputs/grid82/GRID82_report.md</x:v>
      </x:c>
    </x:row>
    <x:row r="3743" ht="36" customHeight="1">
      <x:c r="A3743" s="19" t="str">
        <x:v>GRID82</x:v>
      </x:c>
      <x:c r="B3743" s="19" t="str">
        <x:v>GRID82_report.md</x:v>
      </x:c>
      <x:c r="C3743" s="19" t="str">
        <x:v>3. 逐场景完整结果</x:v>
      </x:c>
      <x:c r="D3743" s="19" t="str">
        <x:v>场景=2036-09-01_9；方法=FRAME_GUARD</x:v>
      </x:c>
      <x:c r="E3743" s="19" t="str">
        <x:v>搜索查询</x:v>
      </x:c>
      <x:c r="F3743" s="19" t="str">
        <x:v>1061</x:v>
      </x:c>
      <x:c r="G3743" s="19" t="str">
        <x:v>速度/计算</x:v>
      </x:c>
      <x:c r="H3743" s="19" t="str">
        <x:v>D:/Codex/GRL研究/outputs/grid82/GRID82_report.md</x:v>
      </x:c>
    </x:row>
    <x:row r="3744" ht="36" customHeight="1">
      <x:c r="A3744" s="19" t="str">
        <x:v>GRID82</x:v>
      </x:c>
      <x:c r="B3744" s="19" t="str">
        <x:v>GRID82_report.md</x:v>
      </x:c>
      <x:c r="C3744" s="19" t="str">
        <x:v>3. 逐场景完整结果</x:v>
      </x:c>
      <x:c r="D3744" s="19" t="str">
        <x:v>场景=2036-09-01_9；方法=FRAME_GUARD</x:v>
      </x:c>
      <x:c r="E3744" s="19" t="str">
        <x:v>控制秒：均值[最小,最大]</x:v>
      </x:c>
      <x:c r="F3744" s="19" t="str">
        <x:v>38.380[38.261,38.500]</x:v>
      </x:c>
      <x:c r="G3744" s="19" t="str">
        <x:v>速度/计算</x:v>
      </x:c>
      <x:c r="H3744" s="19" t="str">
        <x:v>D:/Codex/GRL研究/outputs/grid82/GRID82_report.md</x:v>
      </x:c>
    </x:row>
    <x:row r="3745" ht="36" customHeight="1">
      <x:c r="A3745" s="19" t="str">
        <x:v>GRID82</x:v>
      </x:c>
      <x:c r="B3745" s="19" t="str">
        <x:v>GRID82_report.md</x:v>
      </x:c>
      <x:c r="C3745" s="19" t="str">
        <x:v>3. 逐场景完整结果</x:v>
      </x:c>
      <x:c r="D3745" s="19" t="str">
        <x:v>场景=2036-09-01_9；方法=META_CONTEXT0</x:v>
      </x:c>
      <x:c r="E3745" s="19" t="str">
        <x:v>方法</x:v>
      </x:c>
      <x:c r="F3745" s="19" t="str">
        <x:v>META_CONTEXT0</x:v>
      </x:c>
      <x:c r="G3745" s="19" t="str">
        <x:v>其他/配置</x:v>
      </x:c>
      <x:c r="H3745" s="19" t="str">
        <x:v>D:/Codex/GRL研究/outputs/grid82/GRID82_report.md</x:v>
      </x:c>
    </x:row>
    <x:row r="3746" ht="36" customHeight="1">
      <x:c r="A3746" s="19" t="str">
        <x:v>GRID82</x:v>
      </x:c>
      <x:c r="B3746" s="19" t="str">
        <x:v>GRID82_report.md</x:v>
      </x:c>
      <x:c r="C3746" s="19" t="str">
        <x:v>3. 逐场景完整结果</x:v>
      </x:c>
      <x:c r="D3746" s="19" t="str">
        <x:v>场景=2036-09-01_9；方法=META_CONTEXT0</x:v>
      </x:c>
      <x:c r="E3746" s="19" t="str">
        <x:v>完成/步数</x:v>
      </x:c>
      <x:c r="F3746" s="19" t="str">
        <x:v>True/2017</x:v>
      </x:c>
      <x:c r="G3746" s="19" t="str">
        <x:v>质量/成本</x:v>
      </x:c>
      <x:c r="H3746" s="19" t="str">
        <x:v>D:/Codex/GRL研究/outputs/grid82/GRID82_report.md</x:v>
      </x:c>
    </x:row>
    <x:row r="3747" ht="36" customHeight="1">
      <x:c r="A3747" s="19" t="str">
        <x:v>GRID82</x:v>
      </x:c>
      <x:c r="B3747" s="19" t="str">
        <x:v>GRID82_report.md</x:v>
      </x:c>
      <x:c r="C3747" s="19" t="str">
        <x:v>3. 逐场景完整结果</x:v>
      </x:c>
      <x:c r="D3747" s="19" t="str">
        <x:v>场景=2036-09-01_9；方法=META_CONTEXT0</x:v>
      </x:c>
      <x:c r="E3747" s="19" t="str">
        <x:v>完整周成本相对FULL</x:v>
      </x:c>
      <x:c r="F3747" s="19" t="str">
        <x:v>-0.0302%</x:v>
      </x:c>
      <x:c r="G3747" s="19" t="str">
        <x:v>质量/成本</x:v>
      </x:c>
      <x:c r="H3747" s="19" t="str">
        <x:v>D:/Codex/GRL研究/outputs/grid82/GRID82_report.md</x:v>
      </x:c>
    </x:row>
    <x:row r="3748" ht="36" customHeight="1">
      <x:c r="A3748" s="19" t="str">
        <x:v>GRID82</x:v>
      </x:c>
      <x:c r="B3748" s="19" t="str">
        <x:v>GRID82_report.md</x:v>
      </x:c>
      <x:c r="C3748" s="19" t="str">
        <x:v>3. 逐场景完整结果</x:v>
      </x:c>
      <x:c r="D3748" s="19" t="str">
        <x:v>场景=2036-09-01_9；方法=META_CONTEXT0</x:v>
      </x:c>
      <x:c r="E3748" s="19" t="str">
        <x:v>质量通过</x:v>
      </x:c>
      <x:c r="F3748" s="19" t="str">
        <x:v>True</x:v>
      </x:c>
      <x:c r="G3748" s="19" t="str">
        <x:v>质量/成本</x:v>
      </x:c>
      <x:c r="H3748" s="19" t="str">
        <x:v>D:/Codex/GRL研究/outputs/grid82/GRID82_report.md</x:v>
      </x:c>
    </x:row>
    <x:row r="3749" ht="36" customHeight="1">
      <x:c r="A3749" s="19" t="str">
        <x:v>GRID82</x:v>
      </x:c>
      <x:c r="B3749" s="19" t="str">
        <x:v>GRID82_report.md</x:v>
      </x:c>
      <x:c r="C3749" s="19" t="str">
        <x:v>3. 逐场景完整结果</x:v>
      </x:c>
      <x:c r="D3749" s="19" t="str">
        <x:v>场景=2036-09-01_9；方法=META_CONTEXT0</x:v>
      </x:c>
      <x:c r="E3749" s="19" t="str">
        <x:v>搜索查询</x:v>
      </x:c>
      <x:c r="F3749" s="19" t="str">
        <x:v>1664</x:v>
      </x:c>
      <x:c r="G3749" s="19" t="str">
        <x:v>速度/计算</x:v>
      </x:c>
      <x:c r="H3749" s="19" t="str">
        <x:v>D:/Codex/GRL研究/outputs/grid82/GRID82_report.md</x:v>
      </x:c>
    </x:row>
    <x:row r="3750" ht="36" customHeight="1">
      <x:c r="A3750" s="19" t="str">
        <x:v>GRID82</x:v>
      </x:c>
      <x:c r="B3750" s="19" t="str">
        <x:v>GRID82_report.md</x:v>
      </x:c>
      <x:c r="C3750" s="19" t="str">
        <x:v>3. 逐场景完整结果</x:v>
      </x:c>
      <x:c r="D3750" s="19" t="str">
        <x:v>场景=2036-09-01_9；方法=META_CONTEXT0</x:v>
      </x:c>
      <x:c r="E3750" s="19" t="str">
        <x:v>控制秒：均值[最小,最大]</x:v>
      </x:c>
      <x:c r="F3750" s="19" t="str">
        <x:v>39.729[39.666,39.793]</x:v>
      </x:c>
      <x:c r="G3750" s="19" t="str">
        <x:v>速度/计算</x:v>
      </x:c>
      <x:c r="H3750" s="19" t="str">
        <x:v>D:/Codex/GRL研究/outputs/grid82/GRID82_report.md</x:v>
      </x:c>
    </x:row>
    <x:row r="3751" ht="36" customHeight="1">
      <x:c r="A3751" s="19" t="str">
        <x:v>GRID82</x:v>
      </x:c>
      <x:c r="B3751" s="19" t="str">
        <x:v>GRID82_report.md</x:v>
      </x:c>
      <x:c r="C3751" s="19" t="str">
        <x:v>3. 逐场景完整结果</x:v>
      </x:c>
      <x:c r="D3751" s="19" t="str">
        <x:v>场景=2036-09-01_9；方法=META_CONTEXT1</x:v>
      </x:c>
      <x:c r="E3751" s="19" t="str">
        <x:v>方法</x:v>
      </x:c>
      <x:c r="F3751" s="19" t="str">
        <x:v>META_CONTEXT1</x:v>
      </x:c>
      <x:c r="G3751" s="19" t="str">
        <x:v>其他/配置</x:v>
      </x:c>
      <x:c r="H3751" s="19" t="str">
        <x:v>D:/Codex/GRL研究/outputs/grid82/GRID82_report.md</x:v>
      </x:c>
    </x:row>
    <x:row r="3752" ht="36" customHeight="1">
      <x:c r="A3752" s="19" t="str">
        <x:v>GRID82</x:v>
      </x:c>
      <x:c r="B3752" s="19" t="str">
        <x:v>GRID82_report.md</x:v>
      </x:c>
      <x:c r="C3752" s="19" t="str">
        <x:v>3. 逐场景完整结果</x:v>
      </x:c>
      <x:c r="D3752" s="19" t="str">
        <x:v>场景=2036-09-01_9；方法=META_CONTEXT1</x:v>
      </x:c>
      <x:c r="E3752" s="19" t="str">
        <x:v>完成/步数</x:v>
      </x:c>
      <x:c r="F3752" s="19" t="str">
        <x:v>True/2017</x:v>
      </x:c>
      <x:c r="G3752" s="19" t="str">
        <x:v>质量/成本</x:v>
      </x:c>
      <x:c r="H3752" s="19" t="str">
        <x:v>D:/Codex/GRL研究/outputs/grid82/GRID82_report.md</x:v>
      </x:c>
    </x:row>
    <x:row r="3753" ht="36" customHeight="1">
      <x:c r="A3753" s="19" t="str">
        <x:v>GRID82</x:v>
      </x:c>
      <x:c r="B3753" s="19" t="str">
        <x:v>GRID82_report.md</x:v>
      </x:c>
      <x:c r="C3753" s="19" t="str">
        <x:v>3. 逐场景完整结果</x:v>
      </x:c>
      <x:c r="D3753" s="19" t="str">
        <x:v>场景=2036-09-01_9；方法=META_CONTEXT1</x:v>
      </x:c>
      <x:c r="E3753" s="19" t="str">
        <x:v>完整周成本相对FULL</x:v>
      </x:c>
      <x:c r="F3753" s="19" t="str">
        <x:v>-0.0234%</x:v>
      </x:c>
      <x:c r="G3753" s="19" t="str">
        <x:v>质量/成本</x:v>
      </x:c>
      <x:c r="H3753" s="19" t="str">
        <x:v>D:/Codex/GRL研究/outputs/grid82/GRID82_report.md</x:v>
      </x:c>
    </x:row>
    <x:row r="3754" ht="36" customHeight="1">
      <x:c r="A3754" s="19" t="str">
        <x:v>GRID82</x:v>
      </x:c>
      <x:c r="B3754" s="19" t="str">
        <x:v>GRID82_report.md</x:v>
      </x:c>
      <x:c r="C3754" s="19" t="str">
        <x:v>3. 逐场景完整结果</x:v>
      </x:c>
      <x:c r="D3754" s="19" t="str">
        <x:v>场景=2036-09-01_9；方法=META_CONTEXT1</x:v>
      </x:c>
      <x:c r="E3754" s="19" t="str">
        <x:v>质量通过</x:v>
      </x:c>
      <x:c r="F3754" s="19" t="str">
        <x:v>True</x:v>
      </x:c>
      <x:c r="G3754" s="19" t="str">
        <x:v>质量/成本</x:v>
      </x:c>
      <x:c r="H3754" s="19" t="str">
        <x:v>D:/Codex/GRL研究/outputs/grid82/GRID82_report.md</x:v>
      </x:c>
    </x:row>
    <x:row r="3755" ht="36" customHeight="1">
      <x:c r="A3755" s="19" t="str">
        <x:v>GRID82</x:v>
      </x:c>
      <x:c r="B3755" s="19" t="str">
        <x:v>GRID82_report.md</x:v>
      </x:c>
      <x:c r="C3755" s="19" t="str">
        <x:v>3. 逐场景完整结果</x:v>
      </x:c>
      <x:c r="D3755" s="19" t="str">
        <x:v>场景=2036-09-01_9；方法=META_CONTEXT1</x:v>
      </x:c>
      <x:c r="E3755" s="19" t="str">
        <x:v>搜索查询</x:v>
      </x:c>
      <x:c r="F3755" s="19" t="str">
        <x:v>1061</x:v>
      </x:c>
      <x:c r="G3755" s="19" t="str">
        <x:v>速度/计算</x:v>
      </x:c>
      <x:c r="H3755" s="19" t="str">
        <x:v>D:/Codex/GRL研究/outputs/grid82/GRID82_report.md</x:v>
      </x:c>
    </x:row>
    <x:row r="3756" ht="36" customHeight="1">
      <x:c r="A3756" s="19" t="str">
        <x:v>GRID82</x:v>
      </x:c>
      <x:c r="B3756" s="19" t="str">
        <x:v>GRID82_report.md</x:v>
      </x:c>
      <x:c r="C3756" s="19" t="str">
        <x:v>3. 逐场景完整结果</x:v>
      </x:c>
      <x:c r="D3756" s="19" t="str">
        <x:v>场景=2036-09-01_9；方法=META_CONTEXT1</x:v>
      </x:c>
      <x:c r="E3756" s="19" t="str">
        <x:v>控制秒：均值[最小,最大]</x:v>
      </x:c>
      <x:c r="F3756" s="19" t="str">
        <x:v>38.295[38.085,38.504]</x:v>
      </x:c>
      <x:c r="G3756" s="19" t="str">
        <x:v>速度/计算</x:v>
      </x:c>
      <x:c r="H3756" s="19" t="str">
        <x:v>D:/Codex/GRL研究/outputs/grid82/GRID82_report.md</x:v>
      </x:c>
    </x:row>
    <x:row r="3757" ht="36" customHeight="1">
      <x:c r="A3757" s="19" t="str">
        <x:v>GRID82</x:v>
      </x:c>
      <x:c r="B3757" s="19" t="str">
        <x:v>GRID82_report.md</x:v>
      </x:c>
      <x:c r="C3757" s="19" t="str">
        <x:v>3. 逐场景完整结果</x:v>
      </x:c>
      <x:c r="D3757" s="19" t="str">
        <x:v>场景=2036-11-03_9；方法=FRAME_GUARD</x:v>
      </x:c>
      <x:c r="E3757" s="19" t="str">
        <x:v>方法</x:v>
      </x:c>
      <x:c r="F3757" s="19" t="str">
        <x:v>FRAME_GUARD</x:v>
      </x:c>
      <x:c r="G3757" s="19" t="str">
        <x:v>其他/配置</x:v>
      </x:c>
      <x:c r="H3757" s="19" t="str">
        <x:v>D:/Codex/GRL研究/outputs/grid82/GRID82_report.md</x:v>
      </x:c>
    </x:row>
    <x:row r="3758" ht="36" customHeight="1">
      <x:c r="A3758" s="19" t="str">
        <x:v>GRID82</x:v>
      </x:c>
      <x:c r="B3758" s="19" t="str">
        <x:v>GRID82_report.md</x:v>
      </x:c>
      <x:c r="C3758" s="19" t="str">
        <x:v>3. 逐场景完整结果</x:v>
      </x:c>
      <x:c r="D3758" s="19" t="str">
        <x:v>场景=2036-11-03_9；方法=FRAME_GUARD</x:v>
      </x:c>
      <x:c r="E3758" s="19" t="str">
        <x:v>完成/步数</x:v>
      </x:c>
      <x:c r="F3758" s="19" t="str">
        <x:v>False/519</x:v>
      </x:c>
      <x:c r="G3758" s="19" t="str">
        <x:v>质量/成本</x:v>
      </x:c>
      <x:c r="H3758" s="19" t="str">
        <x:v>D:/Codex/GRL研究/outputs/grid82/GRID82_report.md</x:v>
      </x:c>
    </x:row>
    <x:row r="3759" ht="36" customHeight="1">
      <x:c r="A3759" s="19" t="str">
        <x:v>GRID82</x:v>
      </x:c>
      <x:c r="B3759" s="19" t="str">
        <x:v>GRID82_report.md</x:v>
      </x:c>
      <x:c r="C3759" s="19" t="str">
        <x:v>3. 逐场景完整结果</x:v>
      </x:c>
      <x:c r="D3759" s="19" t="str">
        <x:v>场景=2036-11-03_9；方法=FRAME_GUARD</x:v>
      </x:c>
      <x:c r="E3759" s="19" t="str">
        <x:v>完整周成本相对FULL</x:v>
      </x:c>
      <x:c r="F3759" s="19" t="str">
        <x:v>未双方完成，不比较完整周成本</x:v>
      </x:c>
      <x:c r="G3759" s="19" t="str">
        <x:v>质量/成本</x:v>
      </x:c>
      <x:c r="H3759" s="19" t="str">
        <x:v>D:/Codex/GRL研究/outputs/grid82/GRID82_report.md</x:v>
      </x:c>
    </x:row>
    <x:row r="3760" ht="36" customHeight="1">
      <x:c r="A3760" s="19" t="str">
        <x:v>GRID82</x:v>
      </x:c>
      <x:c r="B3760" s="19" t="str">
        <x:v>GRID82_report.md</x:v>
      </x:c>
      <x:c r="C3760" s="19" t="str">
        <x:v>3. 逐场景完整结果</x:v>
      </x:c>
      <x:c r="D3760" s="19" t="str">
        <x:v>场景=2036-11-03_9；方法=FRAME_GUARD</x:v>
      </x:c>
      <x:c r="E3760" s="19" t="str">
        <x:v>质量通过</x:v>
      </x:c>
      <x:c r="F3760" s="19" t="str">
        <x:v>True</x:v>
      </x:c>
      <x:c r="G3760" s="19" t="str">
        <x:v>质量/成本</x:v>
      </x:c>
      <x:c r="H3760" s="19" t="str">
        <x:v>D:/Codex/GRL研究/outputs/grid82/GRID82_report.md</x:v>
      </x:c>
    </x:row>
    <x:row r="3761" ht="36" customHeight="1">
      <x:c r="A3761" s="19" t="str">
        <x:v>GRID82</x:v>
      </x:c>
      <x:c r="B3761" s="19" t="str">
        <x:v>GRID82_report.md</x:v>
      </x:c>
      <x:c r="C3761" s="19" t="str">
        <x:v>3. 逐场景完整结果</x:v>
      </x:c>
      <x:c r="D3761" s="19" t="str">
        <x:v>场景=2036-11-03_9；方法=FRAME_GUARD</x:v>
      </x:c>
      <x:c r="E3761" s="19" t="str">
        <x:v>搜索查询</x:v>
      </x:c>
      <x:c r="F3761" s="19" t="str">
        <x:v>0</x:v>
      </x:c>
      <x:c r="G3761" s="19" t="str">
        <x:v>速度/计算</x:v>
      </x:c>
      <x:c r="H3761" s="19" t="str">
        <x:v>D:/Codex/GRL研究/outputs/grid82/GRID82_report.md</x:v>
      </x:c>
    </x:row>
    <x:row r="3762" ht="36" customHeight="1">
      <x:c r="A3762" s="19" t="str">
        <x:v>GRID82</x:v>
      </x:c>
      <x:c r="B3762" s="19" t="str">
        <x:v>GRID82_report.md</x:v>
      </x:c>
      <x:c r="C3762" s="19" t="str">
        <x:v>3. 逐场景完整结果</x:v>
      </x:c>
      <x:c r="D3762" s="19" t="str">
        <x:v>场景=2036-11-03_9；方法=FRAME_GUARD</x:v>
      </x:c>
      <x:c r="E3762" s="19" t="str">
        <x:v>控制秒：均值[最小,最大]</x:v>
      </x:c>
      <x:c r="F3762" s="19" t="str">
        <x:v>14.610[14.559,14.662]</x:v>
      </x:c>
      <x:c r="G3762" s="19" t="str">
        <x:v>速度/计算</x:v>
      </x:c>
      <x:c r="H3762" s="19" t="str">
        <x:v>D:/Codex/GRL研究/outputs/grid82/GRID82_report.md</x:v>
      </x:c>
    </x:row>
    <x:row r="3763" ht="36" customHeight="1">
      <x:c r="A3763" s="19" t="str">
        <x:v>GRID82</x:v>
      </x:c>
      <x:c r="B3763" s="19" t="str">
        <x:v>GRID82_report.md</x:v>
      </x:c>
      <x:c r="C3763" s="19" t="str">
        <x:v>3. 逐场景完整结果</x:v>
      </x:c>
      <x:c r="D3763" s="19" t="str">
        <x:v>场景=2036-11-03_9；方法=META_CONTEXT0</x:v>
      </x:c>
      <x:c r="E3763" s="19" t="str">
        <x:v>方法</x:v>
      </x:c>
      <x:c r="F3763" s="19" t="str">
        <x:v>META_CONTEXT0</x:v>
      </x:c>
      <x:c r="G3763" s="19" t="str">
        <x:v>其他/配置</x:v>
      </x:c>
      <x:c r="H3763" s="19" t="str">
        <x:v>D:/Codex/GRL研究/outputs/grid82/GRID82_report.md</x:v>
      </x:c>
    </x:row>
    <x:row r="3764" ht="36" customHeight="1">
      <x:c r="A3764" s="19" t="str">
        <x:v>GRID82</x:v>
      </x:c>
      <x:c r="B3764" s="19" t="str">
        <x:v>GRID82_report.md</x:v>
      </x:c>
      <x:c r="C3764" s="19" t="str">
        <x:v>3. 逐场景完整结果</x:v>
      </x:c>
      <x:c r="D3764" s="19" t="str">
        <x:v>场景=2036-11-03_9；方法=META_CONTEXT0</x:v>
      </x:c>
      <x:c r="E3764" s="19" t="str">
        <x:v>完成/步数</x:v>
      </x:c>
      <x:c r="F3764" s="19" t="str">
        <x:v>False/519</x:v>
      </x:c>
      <x:c r="G3764" s="19" t="str">
        <x:v>质量/成本</x:v>
      </x:c>
      <x:c r="H3764" s="19" t="str">
        <x:v>D:/Codex/GRL研究/outputs/grid82/GRID82_report.md</x:v>
      </x:c>
    </x:row>
    <x:row r="3765" ht="36" customHeight="1">
      <x:c r="A3765" s="19" t="str">
        <x:v>GRID82</x:v>
      </x:c>
      <x:c r="B3765" s="19" t="str">
        <x:v>GRID82_report.md</x:v>
      </x:c>
      <x:c r="C3765" s="19" t="str">
        <x:v>3. 逐场景完整结果</x:v>
      </x:c>
      <x:c r="D3765" s="19" t="str">
        <x:v>场景=2036-11-03_9；方法=META_CONTEXT0</x:v>
      </x:c>
      <x:c r="E3765" s="19" t="str">
        <x:v>完整周成本相对FULL</x:v>
      </x:c>
      <x:c r="F3765" s="19" t="str">
        <x:v>未双方完成，不比较完整周成本</x:v>
      </x:c>
      <x:c r="G3765" s="19" t="str">
        <x:v>质量/成本</x:v>
      </x:c>
      <x:c r="H3765" s="19" t="str">
        <x:v>D:/Codex/GRL研究/outputs/grid82/GRID82_report.md</x:v>
      </x:c>
    </x:row>
    <x:row r="3766" ht="36" customHeight="1">
      <x:c r="A3766" s="19" t="str">
        <x:v>GRID82</x:v>
      </x:c>
      <x:c r="B3766" s="19" t="str">
        <x:v>GRID82_report.md</x:v>
      </x:c>
      <x:c r="C3766" s="19" t="str">
        <x:v>3. 逐场景完整结果</x:v>
      </x:c>
      <x:c r="D3766" s="19" t="str">
        <x:v>场景=2036-11-03_9；方法=META_CONTEXT0</x:v>
      </x:c>
      <x:c r="E3766" s="19" t="str">
        <x:v>质量通过</x:v>
      </x:c>
      <x:c r="F3766" s="19" t="str">
        <x:v>True</x:v>
      </x:c>
      <x:c r="G3766" s="19" t="str">
        <x:v>质量/成本</x:v>
      </x:c>
      <x:c r="H3766" s="19" t="str">
        <x:v>D:/Codex/GRL研究/outputs/grid82/GRID82_report.md</x:v>
      </x:c>
    </x:row>
    <x:row r="3767" ht="36" customHeight="1">
      <x:c r="A3767" s="19" t="str">
        <x:v>GRID82</x:v>
      </x:c>
      <x:c r="B3767" s="19" t="str">
        <x:v>GRID82_report.md</x:v>
      </x:c>
      <x:c r="C3767" s="19" t="str">
        <x:v>3. 逐场景完整结果</x:v>
      </x:c>
      <x:c r="D3767" s="19" t="str">
        <x:v>场景=2036-11-03_9；方法=META_CONTEXT0</x:v>
      </x:c>
      <x:c r="E3767" s="19" t="str">
        <x:v>搜索查询</x:v>
      </x:c>
      <x:c r="F3767" s="19" t="str">
        <x:v>0</x:v>
      </x:c>
      <x:c r="G3767" s="19" t="str">
        <x:v>速度/计算</x:v>
      </x:c>
      <x:c r="H3767" s="19" t="str">
        <x:v>D:/Codex/GRL研究/outputs/grid82/GRID82_report.md</x:v>
      </x:c>
    </x:row>
    <x:row r="3768" ht="36" customHeight="1">
      <x:c r="A3768" s="19" t="str">
        <x:v>GRID82</x:v>
      </x:c>
      <x:c r="B3768" s="19" t="str">
        <x:v>GRID82_report.md</x:v>
      </x:c>
      <x:c r="C3768" s="19" t="str">
        <x:v>3. 逐场景完整结果</x:v>
      </x:c>
      <x:c r="D3768" s="19" t="str">
        <x:v>场景=2036-11-03_9；方法=META_CONTEXT0</x:v>
      </x:c>
      <x:c r="E3768" s="19" t="str">
        <x:v>控制秒：均值[最小,最大]</x:v>
      </x:c>
      <x:c r="F3768" s="19" t="str">
        <x:v>14.521[14.509,14.533]</x:v>
      </x:c>
      <x:c r="G3768" s="19" t="str">
        <x:v>速度/计算</x:v>
      </x:c>
      <x:c r="H3768" s="19" t="str">
        <x:v>D:/Codex/GRL研究/outputs/grid82/GRID82_report.md</x:v>
      </x:c>
    </x:row>
    <x:row r="3769" ht="36" customHeight="1">
      <x:c r="A3769" s="19" t="str">
        <x:v>GRID82</x:v>
      </x:c>
      <x:c r="B3769" s="19" t="str">
        <x:v>GRID82_report.md</x:v>
      </x:c>
      <x:c r="C3769" s="19" t="str">
        <x:v>3. 逐场景完整结果</x:v>
      </x:c>
      <x:c r="D3769" s="19" t="str">
        <x:v>场景=2036-11-03_9；方法=META_CONTEXT1</x:v>
      </x:c>
      <x:c r="E3769" s="19" t="str">
        <x:v>方法</x:v>
      </x:c>
      <x:c r="F3769" s="19" t="str">
        <x:v>META_CONTEXT1</x:v>
      </x:c>
      <x:c r="G3769" s="19" t="str">
        <x:v>其他/配置</x:v>
      </x:c>
      <x:c r="H3769" s="19" t="str">
        <x:v>D:/Codex/GRL研究/outputs/grid82/GRID82_report.md</x:v>
      </x:c>
    </x:row>
    <x:row r="3770" ht="36" customHeight="1">
      <x:c r="A3770" s="19" t="str">
        <x:v>GRID82</x:v>
      </x:c>
      <x:c r="B3770" s="19" t="str">
        <x:v>GRID82_report.md</x:v>
      </x:c>
      <x:c r="C3770" s="19" t="str">
        <x:v>3. 逐场景完整结果</x:v>
      </x:c>
      <x:c r="D3770" s="19" t="str">
        <x:v>场景=2036-11-03_9；方法=META_CONTEXT1</x:v>
      </x:c>
      <x:c r="E3770" s="19" t="str">
        <x:v>完成/步数</x:v>
      </x:c>
      <x:c r="F3770" s="19" t="str">
        <x:v>False/519</x:v>
      </x:c>
      <x:c r="G3770" s="19" t="str">
        <x:v>质量/成本</x:v>
      </x:c>
      <x:c r="H3770" s="19" t="str">
        <x:v>D:/Codex/GRL研究/outputs/grid82/GRID82_report.md</x:v>
      </x:c>
    </x:row>
    <x:row r="3771" ht="36" customHeight="1">
      <x:c r="A3771" s="19" t="str">
        <x:v>GRID82</x:v>
      </x:c>
      <x:c r="B3771" s="19" t="str">
        <x:v>GRID82_report.md</x:v>
      </x:c>
      <x:c r="C3771" s="19" t="str">
        <x:v>3. 逐场景完整结果</x:v>
      </x:c>
      <x:c r="D3771" s="19" t="str">
        <x:v>场景=2036-11-03_9；方法=META_CONTEXT1</x:v>
      </x:c>
      <x:c r="E3771" s="19" t="str">
        <x:v>完整周成本相对FULL</x:v>
      </x:c>
      <x:c r="F3771" s="19" t="str">
        <x:v>未双方完成，不比较完整周成本</x:v>
      </x:c>
      <x:c r="G3771" s="19" t="str">
        <x:v>质量/成本</x:v>
      </x:c>
      <x:c r="H3771" s="19" t="str">
        <x:v>D:/Codex/GRL研究/outputs/grid82/GRID82_report.md</x:v>
      </x:c>
    </x:row>
    <x:row r="3772" ht="36" customHeight="1">
      <x:c r="A3772" s="19" t="str">
        <x:v>GRID82</x:v>
      </x:c>
      <x:c r="B3772" s="19" t="str">
        <x:v>GRID82_report.md</x:v>
      </x:c>
      <x:c r="C3772" s="19" t="str">
        <x:v>3. 逐场景完整结果</x:v>
      </x:c>
      <x:c r="D3772" s="19" t="str">
        <x:v>场景=2036-11-03_9；方法=META_CONTEXT1</x:v>
      </x:c>
      <x:c r="E3772" s="19" t="str">
        <x:v>质量通过</x:v>
      </x:c>
      <x:c r="F3772" s="19" t="str">
        <x:v>True</x:v>
      </x:c>
      <x:c r="G3772" s="19" t="str">
        <x:v>质量/成本</x:v>
      </x:c>
      <x:c r="H3772" s="19" t="str">
        <x:v>D:/Codex/GRL研究/outputs/grid82/GRID82_report.md</x:v>
      </x:c>
    </x:row>
    <x:row r="3773" ht="36" customHeight="1">
      <x:c r="A3773" s="19" t="str">
        <x:v>GRID82</x:v>
      </x:c>
      <x:c r="B3773" s="19" t="str">
        <x:v>GRID82_report.md</x:v>
      </x:c>
      <x:c r="C3773" s="19" t="str">
        <x:v>3. 逐场景完整结果</x:v>
      </x:c>
      <x:c r="D3773" s="19" t="str">
        <x:v>场景=2036-11-03_9；方法=META_CONTEXT1</x:v>
      </x:c>
      <x:c r="E3773" s="19" t="str">
        <x:v>搜索查询</x:v>
      </x:c>
      <x:c r="F3773" s="19" t="str">
        <x:v>0</x:v>
      </x:c>
      <x:c r="G3773" s="19" t="str">
        <x:v>速度/计算</x:v>
      </x:c>
      <x:c r="H3773" s="19" t="str">
        <x:v>D:/Codex/GRL研究/outputs/grid82/GRID82_report.md</x:v>
      </x:c>
    </x:row>
    <x:row r="3774" ht="36" customHeight="1">
      <x:c r="A3774" s="19" t="str">
        <x:v>GRID82</x:v>
      </x:c>
      <x:c r="B3774" s="19" t="str">
        <x:v>GRID82_report.md</x:v>
      </x:c>
      <x:c r="C3774" s="19" t="str">
        <x:v>3. 逐场景完整结果</x:v>
      </x:c>
      <x:c r="D3774" s="19" t="str">
        <x:v>场景=2036-11-03_9；方法=META_CONTEXT1</x:v>
      </x:c>
      <x:c r="E3774" s="19" t="str">
        <x:v>控制秒：均值[最小,最大]</x:v>
      </x:c>
      <x:c r="F3774" s="19" t="str">
        <x:v>14.570[14.562,14.579]</x:v>
      </x:c>
      <x:c r="G3774" s="19" t="str">
        <x:v>速度/计算</x:v>
      </x:c>
      <x:c r="H3774" s="19" t="str">
        <x:v>D:/Codex/GRL研究/outputs/grid82/GRID82_report.md</x:v>
      </x:c>
    </x:row>
    <x:row r="3775" ht="36" customHeight="1">
      <x:c r="A3775" s="19" t="str">
        <x:v>GRID84</x:v>
      </x:c>
      <x:c r="B3775" s="19" t="str">
        <x:v>GRID84_report.md</x:v>
      </x:c>
      <x:c r="C3775" s="19" t="str">
        <x:v>1. GRID84：固定费用配置的五种子同批比较</x:v>
      </x:c>
      <x:c r="D3775" s="19" t="str">
        <x:v>方法=FRAME_GUARD；质量通过=6/6</x:v>
      </x:c>
      <x:c r="E3775" s="19" t="str">
        <x:v>质量通过</x:v>
      </x:c>
      <x:c r="F3775" s="19" t="str">
        <x:v>6/6</x:v>
      </x:c>
      <x:c r="G3775" s="19" t="str">
        <x:v>质量/成本</x:v>
      </x:c>
      <x:c r="H3775" s="19" t="str">
        <x:v>D:/Codex/GRL研究/outputs/grid84/GRID84_report.md</x:v>
      </x:c>
    </x:row>
    <x:row r="3776" ht="36" customHeight="1">
      <x:c r="A3776" s="19" t="str">
        <x:v>GRID84</x:v>
      </x:c>
      <x:c r="B3776" s="19" t="str">
        <x:v>GRID84_report.md</x:v>
      </x:c>
      <x:c r="C3776" s="19" t="str">
        <x:v>1. GRID84：固定费用配置的五种子同批比较</x:v>
      </x:c>
      <x:c r="D3776" s="19" t="str">
        <x:v>方法=FRAME_GUARD；质量通过=6/6</x:v>
      </x:c>
      <x:c r="E3776" s="19" t="str">
        <x:v>完成整周</x:v>
      </x:c>
      <x:c r="F3776" s="19" t="str">
        <x:v>4/6</x:v>
      </x:c>
      <x:c r="G3776" s="19" t="str">
        <x:v>质量/成本</x:v>
      </x:c>
      <x:c r="H3776" s="19" t="str">
        <x:v>D:/Codex/GRL研究/outputs/grid84/GRID84_report.md</x:v>
      </x:c>
    </x:row>
    <x:row r="3777" ht="36" customHeight="1">
      <x:c r="A3777" s="19" t="str">
        <x:v>GRID84</x:v>
      </x:c>
      <x:c r="B3777" s="19" t="str">
        <x:v>GRID84_report.md</x:v>
      </x:c>
      <x:c r="C3777" s="19" t="str">
        <x:v>1. GRID84：固定费用配置的五种子同批比较</x:v>
      </x:c>
      <x:c r="D3777" s="19" t="str">
        <x:v>方法=FRAME_GUARD；质量通过=6/6</x:v>
      </x:c>
      <x:c r="E3777" s="19" t="str">
        <x:v>搜索查询合计¹</x:v>
      </x:c>
      <x:c r="F3777" s="19" t="str">
        <x:v>11526</x:v>
      </x:c>
      <x:c r="G3777" s="19" t="str">
        <x:v>速度/计算</x:v>
      </x:c>
      <x:c r="H3777" s="19" t="str">
        <x:v>D:/Codex/GRL研究/outputs/grid84/GRID84_report.md</x:v>
      </x:c>
    </x:row>
    <x:row r="3778" ht="36" customHeight="1">
      <x:c r="A3778" s="19" t="str">
        <x:v>GRID84</x:v>
      </x:c>
      <x:c r="B3778" s="19" t="str">
        <x:v>GRID84_report.md</x:v>
      </x:c>
      <x:c r="C3778" s="19" t="str">
        <x:v>1. GRID84：固定费用配置的五种子同批比较</x:v>
      </x:c>
      <x:c r="D3778" s="19" t="str">
        <x:v>方法=FRAME_GUARD；质量通过=6/6</x:v>
      </x:c>
      <x:c r="E3778" s="19" t="str">
        <x:v>完整控制秒/场景²</x:v>
      </x:c>
      <x:c r="F3778" s="19" t="str">
        <x:v>47.415</x:v>
      </x:c>
      <x:c r="G3778" s="19" t="str">
        <x:v>速度/计算</x:v>
      </x:c>
      <x:c r="H3778" s="19" t="str">
        <x:v>D:/Codex/GRL研究/outputs/grid84/GRID84_report.md</x:v>
      </x:c>
    </x:row>
    <x:row r="3779" ht="36" customHeight="1">
      <x:c r="A3779" s="19" t="str">
        <x:v>GRID84</x:v>
      </x:c>
      <x:c r="B3779" s="19" t="str">
        <x:v>GRID84_report.md</x:v>
      </x:c>
      <x:c r="C3779" s="19" t="str">
        <x:v>1. GRID84：固定费用配置的五种子同批比较</x:v>
      </x:c>
      <x:c r="D3779" s="19" t="str">
        <x:v>方法=FRAME_GUARD；质量通过=6/6</x:v>
      </x:c>
      <x:c r="E3779" s="19" t="str">
        <x:v>最大可比完整周成本增幅</x:v>
      </x:c>
      <x:c r="F3779" s="19" t="str">
        <x:v>+0.0866%</x:v>
      </x:c>
      <x:c r="G3779" s="19" t="str">
        <x:v>质量/成本</x:v>
      </x:c>
      <x:c r="H3779" s="19" t="str">
        <x:v>D:/Codex/GRL研究/outputs/grid84/GRID84_report.md</x:v>
      </x:c>
    </x:row>
    <x:row r="3780" ht="36" customHeight="1">
      <x:c r="A3780" s="19" t="str">
        <x:v>GRID84</x:v>
      </x:c>
      <x:c r="B3780" s="19" t="str">
        <x:v>GRID84_report.md</x:v>
      </x:c>
      <x:c r="C3780" s="19" t="str">
        <x:v>1. GRID84：固定费用配置的五种子同批比较</x:v>
      </x:c>
      <x:c r="D3780" s="19" t="str">
        <x:v>方法=META_CONTEXT0；质量通过=6/6</x:v>
      </x:c>
      <x:c r="E3780" s="19" t="str">
        <x:v>质量通过</x:v>
      </x:c>
      <x:c r="F3780" s="19" t="str">
        <x:v>6/6</x:v>
      </x:c>
      <x:c r="G3780" s="19" t="str">
        <x:v>质量/成本</x:v>
      </x:c>
      <x:c r="H3780" s="19" t="str">
        <x:v>D:/Codex/GRL研究/outputs/grid84/GRID84_report.md</x:v>
      </x:c>
    </x:row>
    <x:row r="3781" ht="36" customHeight="1">
      <x:c r="A3781" s="19" t="str">
        <x:v>GRID84</x:v>
      </x:c>
      <x:c r="B3781" s="19" t="str">
        <x:v>GRID84_report.md</x:v>
      </x:c>
      <x:c r="C3781" s="19" t="str">
        <x:v>1. GRID84：固定费用配置的五种子同批比较</x:v>
      </x:c>
      <x:c r="D3781" s="19" t="str">
        <x:v>方法=META_CONTEXT0；质量通过=6/6</x:v>
      </x:c>
      <x:c r="E3781" s="19" t="str">
        <x:v>完成整周</x:v>
      </x:c>
      <x:c r="F3781" s="19" t="str">
        <x:v>4/6</x:v>
      </x:c>
      <x:c r="G3781" s="19" t="str">
        <x:v>质量/成本</x:v>
      </x:c>
      <x:c r="H3781" s="19" t="str">
        <x:v>D:/Codex/GRL研究/outputs/grid84/GRID84_report.md</x:v>
      </x:c>
    </x:row>
    <x:row r="3782" ht="36" customHeight="1">
      <x:c r="A3782" s="19" t="str">
        <x:v>GRID84</x:v>
      </x:c>
      <x:c r="B3782" s="19" t="str">
        <x:v>GRID84_report.md</x:v>
      </x:c>
      <x:c r="C3782" s="19" t="str">
        <x:v>1. GRID84：固定费用配置的五种子同批比较</x:v>
      </x:c>
      <x:c r="D3782" s="19" t="str">
        <x:v>方法=META_CONTEXT0；质量通过=6/6</x:v>
      </x:c>
      <x:c r="E3782" s="19" t="str">
        <x:v>搜索查询合计¹</x:v>
      </x:c>
      <x:c r="F3782" s="19" t="str">
        <x:v>16473</x:v>
      </x:c>
      <x:c r="G3782" s="19" t="str">
        <x:v>速度/计算</x:v>
      </x:c>
      <x:c r="H3782" s="19" t="str">
        <x:v>D:/Codex/GRL研究/outputs/grid84/GRID84_report.md</x:v>
      </x:c>
    </x:row>
    <x:row r="3783" ht="36" customHeight="1">
      <x:c r="A3783" s="19" t="str">
        <x:v>GRID84</x:v>
      </x:c>
      <x:c r="B3783" s="19" t="str">
        <x:v>GRID84_report.md</x:v>
      </x:c>
      <x:c r="C3783" s="19" t="str">
        <x:v>1. GRID84：固定费用配置的五种子同批比较</x:v>
      </x:c>
      <x:c r="D3783" s="19" t="str">
        <x:v>方法=META_CONTEXT0；质量通过=6/6</x:v>
      </x:c>
      <x:c r="E3783" s="19" t="str">
        <x:v>完整控制秒/场景²</x:v>
      </x:c>
      <x:c r="F3783" s="19" t="str">
        <x:v>51.217</x:v>
      </x:c>
      <x:c r="G3783" s="19" t="str">
        <x:v>速度/计算</x:v>
      </x:c>
      <x:c r="H3783" s="19" t="str">
        <x:v>D:/Codex/GRL研究/outputs/grid84/GRID84_report.md</x:v>
      </x:c>
    </x:row>
    <x:row r="3784" ht="36" customHeight="1">
      <x:c r="A3784" s="19" t="str">
        <x:v>GRID84</x:v>
      </x:c>
      <x:c r="B3784" s="19" t="str">
        <x:v>GRID84_report.md</x:v>
      </x:c>
      <x:c r="C3784" s="19" t="str">
        <x:v>1. GRID84：固定费用配置的五种子同批比较</x:v>
      </x:c>
      <x:c r="D3784" s="19" t="str">
        <x:v>方法=META_CONTEXT0；质量通过=6/6</x:v>
      </x:c>
      <x:c r="E3784" s="19" t="str">
        <x:v>最大可比完整周成本增幅</x:v>
      </x:c>
      <x:c r="F3784" s="19" t="str">
        <x:v>+0.3776%</x:v>
      </x:c>
      <x:c r="G3784" s="19" t="str">
        <x:v>质量/成本</x:v>
      </x:c>
      <x:c r="H3784" s="19" t="str">
        <x:v>D:/Codex/GRL研究/outputs/grid84/GRID84_report.md</x:v>
      </x:c>
    </x:row>
    <x:row r="3785" ht="36" customHeight="1">
      <x:c r="A3785" s="19" t="str">
        <x:v>GRID84</x:v>
      </x:c>
      <x:c r="B3785" s="19" t="str">
        <x:v>GRID84_report.md</x:v>
      </x:c>
      <x:c r="C3785" s="19" t="str">
        <x:v>1. GRID84：固定费用配置的五种子同批比较</x:v>
      </x:c>
      <x:c r="D3785" s="19" t="str">
        <x:v>方法=META_CONTEXT1；质量通过=6/6</x:v>
      </x:c>
      <x:c r="E3785" s="19" t="str">
        <x:v>质量通过</x:v>
      </x:c>
      <x:c r="F3785" s="19" t="str">
        <x:v>6/6</x:v>
      </x:c>
      <x:c r="G3785" s="19" t="str">
        <x:v>质量/成本</x:v>
      </x:c>
      <x:c r="H3785" s="19" t="str">
        <x:v>D:/Codex/GRL研究/outputs/grid84/GRID84_report.md</x:v>
      </x:c>
    </x:row>
    <x:row r="3786" ht="36" customHeight="1">
      <x:c r="A3786" s="19" t="str">
        <x:v>GRID84</x:v>
      </x:c>
      <x:c r="B3786" s="19" t="str">
        <x:v>GRID84_report.md</x:v>
      </x:c>
      <x:c r="C3786" s="19" t="str">
        <x:v>1. GRID84：固定费用配置的五种子同批比较</x:v>
      </x:c>
      <x:c r="D3786" s="19" t="str">
        <x:v>方法=META_CONTEXT1；质量通过=6/6</x:v>
      </x:c>
      <x:c r="E3786" s="19" t="str">
        <x:v>完成整周</x:v>
      </x:c>
      <x:c r="F3786" s="19" t="str">
        <x:v>4/6</x:v>
      </x:c>
      <x:c r="G3786" s="19" t="str">
        <x:v>质量/成本</x:v>
      </x:c>
      <x:c r="H3786" s="19" t="str">
        <x:v>D:/Codex/GRL研究/outputs/grid84/GRID84_report.md</x:v>
      </x:c>
    </x:row>
    <x:row r="3787" ht="36" customHeight="1">
      <x:c r="A3787" s="19" t="str">
        <x:v>GRID84</x:v>
      </x:c>
      <x:c r="B3787" s="19" t="str">
        <x:v>GRID84_report.md</x:v>
      </x:c>
      <x:c r="C3787" s="19" t="str">
        <x:v>1. GRID84：固定费用配置的五种子同批比较</x:v>
      </x:c>
      <x:c r="D3787" s="19" t="str">
        <x:v>方法=META_CONTEXT1；质量通过=6/6</x:v>
      </x:c>
      <x:c r="E3787" s="19" t="str">
        <x:v>搜索查询合计¹</x:v>
      </x:c>
      <x:c r="F3787" s="19" t="str">
        <x:v>11526</x:v>
      </x:c>
      <x:c r="G3787" s="19" t="str">
        <x:v>速度/计算</x:v>
      </x:c>
      <x:c r="H3787" s="19" t="str">
        <x:v>D:/Codex/GRL研究/outputs/grid84/GRID84_report.md</x:v>
      </x:c>
    </x:row>
    <x:row r="3788" ht="36" customHeight="1">
      <x:c r="A3788" s="19" t="str">
        <x:v>GRID84</x:v>
      </x:c>
      <x:c r="B3788" s="19" t="str">
        <x:v>GRID84_report.md</x:v>
      </x:c>
      <x:c r="C3788" s="19" t="str">
        <x:v>1. GRID84：固定费用配置的五种子同批比较</x:v>
      </x:c>
      <x:c r="D3788" s="19" t="str">
        <x:v>方法=META_CONTEXT1；质量通过=6/6</x:v>
      </x:c>
      <x:c r="E3788" s="19" t="str">
        <x:v>完整控制秒/场景²</x:v>
      </x:c>
      <x:c r="F3788" s="19" t="str">
        <x:v>47.871</x:v>
      </x:c>
      <x:c r="G3788" s="19" t="str">
        <x:v>速度/计算</x:v>
      </x:c>
      <x:c r="H3788" s="19" t="str">
        <x:v>D:/Codex/GRL研究/outputs/grid84/GRID84_report.md</x:v>
      </x:c>
    </x:row>
    <x:row r="3789" ht="36" customHeight="1">
      <x:c r="A3789" s="19" t="str">
        <x:v>GRID84</x:v>
      </x:c>
      <x:c r="B3789" s="19" t="str">
        <x:v>GRID84_report.md</x:v>
      </x:c>
      <x:c r="C3789" s="19" t="str">
        <x:v>1. GRID84：固定费用配置的五种子同批比较</x:v>
      </x:c>
      <x:c r="D3789" s="19" t="str">
        <x:v>方法=META_CONTEXT1；质量通过=6/6</x:v>
      </x:c>
      <x:c r="E3789" s="19" t="str">
        <x:v>最大可比完整周成本增幅</x:v>
      </x:c>
      <x:c r="F3789" s="19" t="str">
        <x:v>+0.0866%</x:v>
      </x:c>
      <x:c r="G3789" s="19" t="str">
        <x:v>质量/成本</x:v>
      </x:c>
      <x:c r="H3789" s="19" t="str">
        <x:v>D:/Codex/GRL研究/outputs/grid84/GRID84_report.md</x:v>
      </x:c>
    </x:row>
    <x:row r="3790" ht="36" customHeight="1">
      <x:c r="A3790" s="19" t="str">
        <x:v>GRID84</x:v>
      </x:c>
      <x:c r="B3790" s="19" t="str">
        <x:v>GRID84_report.md</x:v>
      </x:c>
      <x:c r="C3790" s="19" t="str">
        <x:v>1. GRID84：固定费用配置的五种子同批比较</x:v>
      </x:c>
      <x:c r="D3790" s="19" t="str">
        <x:v>方法=META_CONTEXT2；质量通过=6/6</x:v>
      </x:c>
      <x:c r="E3790" s="19" t="str">
        <x:v>质量通过</x:v>
      </x:c>
      <x:c r="F3790" s="19" t="str">
        <x:v>6/6</x:v>
      </x:c>
      <x:c r="G3790" s="19" t="str">
        <x:v>质量/成本</x:v>
      </x:c>
      <x:c r="H3790" s="19" t="str">
        <x:v>D:/Codex/GRL研究/outputs/grid84/GRID84_report.md</x:v>
      </x:c>
    </x:row>
    <x:row r="3791" ht="36" customHeight="1">
      <x:c r="A3791" s="19" t="str">
        <x:v>GRID84</x:v>
      </x:c>
      <x:c r="B3791" s="19" t="str">
        <x:v>GRID84_report.md</x:v>
      </x:c>
      <x:c r="C3791" s="19" t="str">
        <x:v>1. GRID84：固定费用配置的五种子同批比较</x:v>
      </x:c>
      <x:c r="D3791" s="19" t="str">
        <x:v>方法=META_CONTEXT2；质量通过=6/6</x:v>
      </x:c>
      <x:c r="E3791" s="19" t="str">
        <x:v>完成整周</x:v>
      </x:c>
      <x:c r="F3791" s="19" t="str">
        <x:v>4/6</x:v>
      </x:c>
      <x:c r="G3791" s="19" t="str">
        <x:v>质量/成本</x:v>
      </x:c>
      <x:c r="H3791" s="19" t="str">
        <x:v>D:/Codex/GRL研究/outputs/grid84/GRID84_report.md</x:v>
      </x:c>
    </x:row>
    <x:row r="3792" ht="36" customHeight="1">
      <x:c r="A3792" s="19" t="str">
        <x:v>GRID84</x:v>
      </x:c>
      <x:c r="B3792" s="19" t="str">
        <x:v>GRID84_report.md</x:v>
      </x:c>
      <x:c r="C3792" s="19" t="str">
        <x:v>1. GRID84：固定费用配置的五种子同批比较</x:v>
      </x:c>
      <x:c r="D3792" s="19" t="str">
        <x:v>方法=META_CONTEXT2；质量通过=6/6</x:v>
      </x:c>
      <x:c r="E3792" s="19" t="str">
        <x:v>搜索查询合计¹</x:v>
      </x:c>
      <x:c r="F3792" s="19" t="str">
        <x:v>10872</x:v>
      </x:c>
      <x:c r="G3792" s="19" t="str">
        <x:v>速度/计算</x:v>
      </x:c>
      <x:c r="H3792" s="19" t="str">
        <x:v>D:/Codex/GRL研究/outputs/grid84/GRID84_report.md</x:v>
      </x:c>
    </x:row>
    <x:row r="3793" ht="36" customHeight="1">
      <x:c r="A3793" s="19" t="str">
        <x:v>GRID84</x:v>
      </x:c>
      <x:c r="B3793" s="19" t="str">
        <x:v>GRID84_report.md</x:v>
      </x:c>
      <x:c r="C3793" s="19" t="str">
        <x:v>1. GRID84：固定费用配置的五种子同批比较</x:v>
      </x:c>
      <x:c r="D3793" s="19" t="str">
        <x:v>方法=META_CONTEXT2；质量通过=6/6</x:v>
      </x:c>
      <x:c r="E3793" s="19" t="str">
        <x:v>完整控制秒/场景²</x:v>
      </x:c>
      <x:c r="F3793" s="19" t="str">
        <x:v>48.368</x:v>
      </x:c>
      <x:c r="G3793" s="19" t="str">
        <x:v>速度/计算</x:v>
      </x:c>
      <x:c r="H3793" s="19" t="str">
        <x:v>D:/Codex/GRL研究/outputs/grid84/GRID84_report.md</x:v>
      </x:c>
    </x:row>
    <x:row r="3794" ht="36" customHeight="1">
      <x:c r="A3794" s="19" t="str">
        <x:v>GRID84</x:v>
      </x:c>
      <x:c r="B3794" s="19" t="str">
        <x:v>GRID84_report.md</x:v>
      </x:c>
      <x:c r="C3794" s="19" t="str">
        <x:v>1. GRID84：固定费用配置的五种子同批比较</x:v>
      </x:c>
      <x:c r="D3794" s="19" t="str">
        <x:v>方法=META_CONTEXT2；质量通过=6/6</x:v>
      </x:c>
      <x:c r="E3794" s="19" t="str">
        <x:v>最大可比完整周成本增幅</x:v>
      </x:c>
      <x:c r="F3794" s="19" t="str">
        <x:v>+0.0866%</x:v>
      </x:c>
      <x:c r="G3794" s="19" t="str">
        <x:v>质量/成本</x:v>
      </x:c>
      <x:c r="H3794" s="19" t="str">
        <x:v>D:/Codex/GRL研究/outputs/grid84/GRID84_report.md</x:v>
      </x:c>
    </x:row>
    <x:row r="3795" ht="36" customHeight="1">
      <x:c r="A3795" s="19" t="str">
        <x:v>GRID84</x:v>
      </x:c>
      <x:c r="B3795" s="19" t="str">
        <x:v>GRID84_report.md</x:v>
      </x:c>
      <x:c r="C3795" s="19" t="str">
        <x:v>1. GRID84：固定费用配置的五种子同批比较</x:v>
      </x:c>
      <x:c r="D3795" s="19" t="str">
        <x:v>方法=META_CONTEXT3；质量通过=6/6</x:v>
      </x:c>
      <x:c r="E3795" s="19" t="str">
        <x:v>质量通过</x:v>
      </x:c>
      <x:c r="F3795" s="19" t="str">
        <x:v>6/6</x:v>
      </x:c>
      <x:c r="G3795" s="19" t="str">
        <x:v>质量/成本</x:v>
      </x:c>
      <x:c r="H3795" s="19" t="str">
        <x:v>D:/Codex/GRL研究/outputs/grid84/GRID84_report.md</x:v>
      </x:c>
    </x:row>
    <x:row r="3796" ht="36" customHeight="1">
      <x:c r="A3796" s="19" t="str">
        <x:v>GRID84</x:v>
      </x:c>
      <x:c r="B3796" s="19" t="str">
        <x:v>GRID84_report.md</x:v>
      </x:c>
      <x:c r="C3796" s="19" t="str">
        <x:v>1. GRID84：固定费用配置的五种子同批比较</x:v>
      </x:c>
      <x:c r="D3796" s="19" t="str">
        <x:v>方法=META_CONTEXT3；质量通过=6/6</x:v>
      </x:c>
      <x:c r="E3796" s="19" t="str">
        <x:v>完成整周</x:v>
      </x:c>
      <x:c r="F3796" s="19" t="str">
        <x:v>4/6</x:v>
      </x:c>
      <x:c r="G3796" s="19" t="str">
        <x:v>质量/成本</x:v>
      </x:c>
      <x:c r="H3796" s="19" t="str">
        <x:v>D:/Codex/GRL研究/outputs/grid84/GRID84_report.md</x:v>
      </x:c>
    </x:row>
    <x:row r="3797" ht="36" customHeight="1">
      <x:c r="A3797" s="19" t="str">
        <x:v>GRID84</x:v>
      </x:c>
      <x:c r="B3797" s="19" t="str">
        <x:v>GRID84_report.md</x:v>
      </x:c>
      <x:c r="C3797" s="19" t="str">
        <x:v>1. GRID84：固定费用配置的五种子同批比较</x:v>
      </x:c>
      <x:c r="D3797" s="19" t="str">
        <x:v>方法=META_CONTEXT3；质量通过=6/6</x:v>
      </x:c>
      <x:c r="E3797" s="19" t="str">
        <x:v>搜索查询合计¹</x:v>
      </x:c>
      <x:c r="F3797" s="19" t="str">
        <x:v>11545</x:v>
      </x:c>
      <x:c r="G3797" s="19" t="str">
        <x:v>速度/计算</x:v>
      </x:c>
      <x:c r="H3797" s="19" t="str">
        <x:v>D:/Codex/GRL研究/outputs/grid84/GRID84_report.md</x:v>
      </x:c>
    </x:row>
    <x:row r="3798" ht="36" customHeight="1">
      <x:c r="A3798" s="19" t="str">
        <x:v>GRID84</x:v>
      </x:c>
      <x:c r="B3798" s="19" t="str">
        <x:v>GRID84_report.md</x:v>
      </x:c>
      <x:c r="C3798" s="19" t="str">
        <x:v>1. GRID84：固定费用配置的五种子同批比较</x:v>
      </x:c>
      <x:c r="D3798" s="19" t="str">
        <x:v>方法=META_CONTEXT3；质量通过=6/6</x:v>
      </x:c>
      <x:c r="E3798" s="19" t="str">
        <x:v>完整控制秒/场景²</x:v>
      </x:c>
      <x:c r="F3798" s="19" t="str">
        <x:v>47.894</x:v>
      </x:c>
      <x:c r="G3798" s="19" t="str">
        <x:v>速度/计算</x:v>
      </x:c>
      <x:c r="H3798" s="19" t="str">
        <x:v>D:/Codex/GRL研究/outputs/grid84/GRID84_report.md</x:v>
      </x:c>
    </x:row>
    <x:row r="3799" ht="36" customHeight="1">
      <x:c r="A3799" s="19" t="str">
        <x:v>GRID84</x:v>
      </x:c>
      <x:c r="B3799" s="19" t="str">
        <x:v>GRID84_report.md</x:v>
      </x:c>
      <x:c r="C3799" s="19" t="str">
        <x:v>1. GRID84：固定费用配置的五种子同批比较</x:v>
      </x:c>
      <x:c r="D3799" s="19" t="str">
        <x:v>方法=META_CONTEXT3；质量通过=6/6</x:v>
      </x:c>
      <x:c r="E3799" s="19" t="str">
        <x:v>最大可比完整周成本增幅</x:v>
      </x:c>
      <x:c r="F3799" s="19" t="str">
        <x:v>+0.3776%</x:v>
      </x:c>
      <x:c r="G3799" s="19" t="str">
        <x:v>质量/成本</x:v>
      </x:c>
      <x:c r="H3799" s="19" t="str">
        <x:v>D:/Codex/GRL研究/outputs/grid84/GRID84_report.md</x:v>
      </x:c>
    </x:row>
    <x:row r="3800" ht="36" customHeight="1">
      <x:c r="A3800" s="19" t="str">
        <x:v>GRID84</x:v>
      </x:c>
      <x:c r="B3800" s="19" t="str">
        <x:v>GRID84_report.md</x:v>
      </x:c>
      <x:c r="C3800" s="19" t="str">
        <x:v>1. GRID84：固定费用配置的五种子同批比较</x:v>
      </x:c>
      <x:c r="D3800" s="19" t="str">
        <x:v>方法=META_CONTEXT4；质量通过=6/6</x:v>
      </x:c>
      <x:c r="E3800" s="19" t="str">
        <x:v>质量通过</x:v>
      </x:c>
      <x:c r="F3800" s="19" t="str">
        <x:v>6/6</x:v>
      </x:c>
      <x:c r="G3800" s="19" t="str">
        <x:v>质量/成本</x:v>
      </x:c>
      <x:c r="H3800" s="19" t="str">
        <x:v>D:/Codex/GRL研究/outputs/grid84/GRID84_report.md</x:v>
      </x:c>
    </x:row>
    <x:row r="3801" ht="36" customHeight="1">
      <x:c r="A3801" s="19" t="str">
        <x:v>GRID84</x:v>
      </x:c>
      <x:c r="B3801" s="19" t="str">
        <x:v>GRID84_report.md</x:v>
      </x:c>
      <x:c r="C3801" s="19" t="str">
        <x:v>1. GRID84：固定费用配置的五种子同批比较</x:v>
      </x:c>
      <x:c r="D3801" s="19" t="str">
        <x:v>方法=META_CONTEXT4；质量通过=6/6</x:v>
      </x:c>
      <x:c r="E3801" s="19" t="str">
        <x:v>完成整周</x:v>
      </x:c>
      <x:c r="F3801" s="19" t="str">
        <x:v>4/6</x:v>
      </x:c>
      <x:c r="G3801" s="19" t="str">
        <x:v>质量/成本</x:v>
      </x:c>
      <x:c r="H3801" s="19" t="str">
        <x:v>D:/Codex/GRL研究/outputs/grid84/GRID84_report.md</x:v>
      </x:c>
    </x:row>
    <x:row r="3802" ht="36" customHeight="1">
      <x:c r="A3802" s="19" t="str">
        <x:v>GRID84</x:v>
      </x:c>
      <x:c r="B3802" s="19" t="str">
        <x:v>GRID84_report.md</x:v>
      </x:c>
      <x:c r="C3802" s="19" t="str">
        <x:v>1. GRID84：固定费用配置的五种子同批比较</x:v>
      </x:c>
      <x:c r="D3802" s="19" t="str">
        <x:v>方法=META_CONTEXT4；质量通过=6/6</x:v>
      </x:c>
      <x:c r="E3802" s="19" t="str">
        <x:v>搜索查询合计¹</x:v>
      </x:c>
      <x:c r="F3802" s="19" t="str">
        <x:v>9241</x:v>
      </x:c>
      <x:c r="G3802" s="19" t="str">
        <x:v>速度/计算</x:v>
      </x:c>
      <x:c r="H3802" s="19" t="str">
        <x:v>D:/Codex/GRL研究/outputs/grid84/GRID84_report.md</x:v>
      </x:c>
    </x:row>
    <x:row r="3803" ht="36" customHeight="1">
      <x:c r="A3803" s="19" t="str">
        <x:v>GRID84</x:v>
      </x:c>
      <x:c r="B3803" s="19" t="str">
        <x:v>GRID84_report.md</x:v>
      </x:c>
      <x:c r="C3803" s="19" t="str">
        <x:v>1. GRID84：固定费用配置的五种子同批比较</x:v>
      </x:c>
      <x:c r="D3803" s="19" t="str">
        <x:v>方法=META_CONTEXT4；质量通过=6/6</x:v>
      </x:c>
      <x:c r="E3803" s="19" t="str">
        <x:v>完整控制秒/场景²</x:v>
      </x:c>
      <x:c r="F3803" s="19" t="str">
        <x:v>47.059</x:v>
      </x:c>
      <x:c r="G3803" s="19" t="str">
        <x:v>速度/计算</x:v>
      </x:c>
      <x:c r="H3803" s="19" t="str">
        <x:v>D:/Codex/GRL研究/outputs/grid84/GRID84_report.md</x:v>
      </x:c>
    </x:row>
    <x:row r="3804" ht="36" customHeight="1">
      <x:c r="A3804" s="19" t="str">
        <x:v>GRID84</x:v>
      </x:c>
      <x:c r="B3804" s="19" t="str">
        <x:v>GRID84_report.md</x:v>
      </x:c>
      <x:c r="C3804" s="19" t="str">
        <x:v>1. GRID84：固定费用配置的五种子同批比较</x:v>
      </x:c>
      <x:c r="D3804" s="19" t="str">
        <x:v>方法=META_CONTEXT4；质量通过=6/6</x:v>
      </x:c>
      <x:c r="E3804" s="19" t="str">
        <x:v>最大可比完整周成本增幅</x:v>
      </x:c>
      <x:c r="F3804" s="19" t="str">
        <x:v>+0.0866%</x:v>
      </x:c>
      <x:c r="G3804" s="19" t="str">
        <x:v>质量/成本</x:v>
      </x:c>
      <x:c r="H3804" s="19" t="str">
        <x:v>D:/Codex/GRL研究/outputs/grid84/GRID84_report.md</x:v>
      </x:c>
    </x:row>
    <x:row r="3805" ht="36" customHeight="1">
      <x:c r="A3805" s="19" t="str">
        <x:v>GRID84</x:v>
      </x:c>
      <x:c r="B3805" s="19" t="str">
        <x:v>GRID84_report.md</x:v>
      </x:c>
      <x:c r="C3805" s="19" t="str">
        <x:v>2. GRID84：固定费用配置的五种子同批比较</x:v>
      </x:c>
      <x:c r="D3805" s="19" t="str">
        <x:v>FRAME相对种子=0；控制时间宏平均减少=+7.550%</x:v>
      </x:c>
      <x:c r="E3805" s="19" t="str">
        <x:v>控制时间宏平均减少</x:v>
      </x:c>
      <x:c r="F3805" s="19" t="str">
        <x:v>+7.550%</x:v>
      </x:c>
      <x:c r="G3805" s="19" t="str">
        <x:v>速度/计算</x:v>
      </x:c>
      <x:c r="H3805" s="19" t="str">
        <x:v>D:/Codex/GRL研究/outputs/grid84/GRID84_report.md</x:v>
      </x:c>
    </x:row>
    <x:row r="3806" ht="36" customHeight="1">
      <x:c r="A3806" s="19" t="str">
        <x:v>GRID84</x:v>
      </x:c>
      <x:c r="B3806" s="19" t="str">
        <x:v>GRID84_report.md</x:v>
      </x:c>
      <x:c r="C3806" s="19" t="str">
        <x:v>2. GRID84：固定费用配置的五种子同批比较</x:v>
      </x:c>
      <x:c r="D3806" s="19" t="str">
        <x:v>FRAME相对种子=0；控制时间宏平均减少=+7.550%</x:v>
      </x:c>
      <x:c r="E3806" s="19" t="str">
        <x:v>查询宏平均减少³</x:v>
      </x:c>
      <x:c r="F3806" s="19" t="str">
        <x:v>+38.475%</x:v>
      </x:c>
      <x:c r="G3806" s="19" t="str">
        <x:v>速度/计算</x:v>
      </x:c>
      <x:c r="H3806" s="19" t="str">
        <x:v>D:/Codex/GRL研究/outputs/grid84/GRID84_report.md</x:v>
      </x:c>
    </x:row>
    <x:row r="3807" ht="36" customHeight="1">
      <x:c r="A3807" s="19" t="str">
        <x:v>GRID84</x:v>
      </x:c>
      <x:c r="B3807" s="19" t="str">
        <x:v>GRID84_report.md</x:v>
      </x:c>
      <x:c r="C3807" s="19" t="str">
        <x:v>2. GRID84：固定费用配置的五种子同批比较</x:v>
      </x:c>
      <x:c r="D3807" s="19" t="str">
        <x:v>FRAME相对种子=0；控制时间宏平均减少=+7.550%</x:v>
      </x:c>
      <x:c r="E3807" s="19" t="str">
        <x:v>正向日期</x:v>
      </x:c>
      <x:c r="F3807" s="19" t="str">
        <x:v>6/6</x:v>
      </x:c>
      <x:c r="G3807" s="19" t="str">
        <x:v>其他/配置</x:v>
      </x:c>
      <x:c r="H3807" s="19" t="str">
        <x:v>D:/Codex/GRL研究/outputs/grid84/GRID84_report.md</x:v>
      </x:c>
    </x:row>
    <x:row r="3808" ht="36" customHeight="1">
      <x:c r="A3808" s="19" t="str">
        <x:v>GRID84</x:v>
      </x:c>
      <x:c r="B3808" s="19" t="str">
        <x:v>GRID84_report.md</x:v>
      </x:c>
      <x:c r="C3808" s="19" t="str">
        <x:v>2. GRID84：固定费用配置的五种子同批比较</x:v>
      </x:c>
      <x:c r="D3808" s="19" t="str">
        <x:v>FRAME相对种子=0；控制时间宏平均减少=+7.550%</x:v>
      </x:c>
      <x:c r="E3808" s="19" t="str">
        <x:v>两次计时分别</x:v>
      </x:c>
      <x:c r="F3808" s="19" t="str">
        <x:v>+6.751% / +8.302%</x:v>
      </x:c>
      <x:c r="G3808" s="19" t="str">
        <x:v>其他/配置</x:v>
      </x:c>
      <x:c r="H3808" s="19" t="str">
        <x:v>D:/Codex/GRL研究/outputs/grid84/GRID84_report.md</x:v>
      </x:c>
    </x:row>
    <x:row r="3809" ht="36" customHeight="1">
      <x:c r="A3809" s="19" t="str">
        <x:v>GRID84</x:v>
      </x:c>
      <x:c r="B3809" s="19" t="str">
        <x:v>GRID84_report.md</x:v>
      </x:c>
      <x:c r="C3809" s="19" t="str">
        <x:v>2. GRID84：固定费用配置的五种子同批比较</x:v>
      </x:c>
      <x:c r="D3809" s="19" t="str">
        <x:v>FRAME相对种子=0；控制时间宏平均减少=+7.550%</x:v>
      </x:c>
      <x:c r="E3809" s="19" t="str">
        <x:v>同质量提速判据</x:v>
      </x:c>
      <x:c r="F3809" s="19" t="str">
        <x:v>SUPPORTED_EQUAL_QUALITY_SPEED</x:v>
      </x:c>
      <x:c r="G3809" s="19" t="str">
        <x:v>质量/成本</x:v>
      </x:c>
      <x:c r="H3809" s="19" t="str">
        <x:v>D:/Codex/GRL研究/outputs/grid84/GRID84_report.md</x:v>
      </x:c>
    </x:row>
    <x:row r="3810" ht="36" customHeight="1">
      <x:c r="A3810" s="19" t="str">
        <x:v>GRID84</x:v>
      </x:c>
      <x:c r="B3810" s="19" t="str">
        <x:v>GRID84_report.md</x:v>
      </x:c>
      <x:c r="C3810" s="19" t="str">
        <x:v>2. GRID84：固定费用配置的五种子同批比较</x:v>
      </x:c>
      <x:c r="D3810" s="19" t="str">
        <x:v>FRAME相对种子=1；控制时间宏平均减少=+0.942%</x:v>
      </x:c>
      <x:c r="E3810" s="19" t="str">
        <x:v>控制时间宏平均减少</x:v>
      </x:c>
      <x:c r="F3810" s="19" t="str">
        <x:v>+0.942%</x:v>
      </x:c>
      <x:c r="G3810" s="19" t="str">
        <x:v>速度/计算</x:v>
      </x:c>
      <x:c r="H3810" s="19" t="str">
        <x:v>D:/Codex/GRL研究/outputs/grid84/GRID84_report.md</x:v>
      </x:c>
    </x:row>
    <x:row r="3811" ht="36" customHeight="1">
      <x:c r="A3811" s="19" t="str">
        <x:v>GRID84</x:v>
      </x:c>
      <x:c r="B3811" s="19" t="str">
        <x:v>GRID84_report.md</x:v>
      </x:c>
      <x:c r="C3811" s="19" t="str">
        <x:v>2. GRID84：固定费用配置的五种子同批比较</x:v>
      </x:c>
      <x:c r="D3811" s="19" t="str">
        <x:v>FRAME相对种子=1；控制时间宏平均减少=+0.942%</x:v>
      </x:c>
      <x:c r="E3811" s="19" t="str">
        <x:v>查询宏平均减少³</x:v>
      </x:c>
      <x:c r="F3811" s="19" t="str">
        <x:v>+0.000%</x:v>
      </x:c>
      <x:c r="G3811" s="19" t="str">
        <x:v>速度/计算</x:v>
      </x:c>
      <x:c r="H3811" s="19" t="str">
        <x:v>D:/Codex/GRL研究/outputs/grid84/GRID84_report.md</x:v>
      </x:c>
    </x:row>
    <x:row r="3812" ht="36" customHeight="1">
      <x:c r="A3812" s="19" t="str">
        <x:v>GRID84</x:v>
      </x:c>
      <x:c r="B3812" s="19" t="str">
        <x:v>GRID84_report.md</x:v>
      </x:c>
      <x:c r="C3812" s="19" t="str">
        <x:v>2. GRID84：固定费用配置的五种子同批比较</x:v>
      </x:c>
      <x:c r="D3812" s="19" t="str">
        <x:v>FRAME相对种子=1；控制时间宏平均减少=+0.942%</x:v>
      </x:c>
      <x:c r="E3812" s="19" t="str">
        <x:v>正向日期</x:v>
      </x:c>
      <x:c r="F3812" s="19" t="str">
        <x:v>4/6</x:v>
      </x:c>
      <x:c r="G3812" s="19" t="str">
        <x:v>其他/配置</x:v>
      </x:c>
      <x:c r="H3812" s="19" t="str">
        <x:v>D:/Codex/GRL研究/outputs/grid84/GRID84_report.md</x:v>
      </x:c>
    </x:row>
    <x:row r="3813" ht="36" customHeight="1">
      <x:c r="A3813" s="19" t="str">
        <x:v>GRID84</x:v>
      </x:c>
      <x:c r="B3813" s="19" t="str">
        <x:v>GRID84_report.md</x:v>
      </x:c>
      <x:c r="C3813" s="19" t="str">
        <x:v>2. GRID84：固定费用配置的五种子同批比较</x:v>
      </x:c>
      <x:c r="D3813" s="19" t="str">
        <x:v>FRAME相对种子=1；控制时间宏平均减少=+0.942%</x:v>
      </x:c>
      <x:c r="E3813" s="19" t="str">
        <x:v>两次计时分别</x:v>
      </x:c>
      <x:c r="F3813" s="19" t="str">
        <x:v>+1.090% / +0.721%</x:v>
      </x:c>
      <x:c r="G3813" s="19" t="str">
        <x:v>其他/配置</x:v>
      </x:c>
      <x:c r="H3813" s="19" t="str">
        <x:v>D:/Codex/GRL研究/outputs/grid84/GRID84_report.md</x:v>
      </x:c>
    </x:row>
    <x:row r="3814" ht="36" customHeight="1">
      <x:c r="A3814" s="19" t="str">
        <x:v>GRID84</x:v>
      </x:c>
      <x:c r="B3814" s="19" t="str">
        <x:v>GRID84_report.md</x:v>
      </x:c>
      <x:c r="C3814" s="19" t="str">
        <x:v>2. GRID84：固定费用配置的五种子同批比较</x:v>
      </x:c>
      <x:c r="D3814" s="19" t="str">
        <x:v>FRAME相对种子=1；控制时间宏平均减少=+0.942%</x:v>
      </x:c>
      <x:c r="E3814" s="19" t="str">
        <x:v>同质量提速判据</x:v>
      </x:c>
      <x:c r="F3814" s="19" t="str">
        <x:v>BOTH_PASS_TIMING_MIXED_OR_SMALL</x:v>
      </x:c>
      <x:c r="G3814" s="19" t="str">
        <x:v>质量/成本</x:v>
      </x:c>
      <x:c r="H3814" s="19" t="str">
        <x:v>D:/Codex/GRL研究/outputs/grid84/GRID84_report.md</x:v>
      </x:c>
    </x:row>
    <x:row r="3815" ht="36" customHeight="1">
      <x:c r="A3815" s="19" t="str">
        <x:v>GRID84</x:v>
      </x:c>
      <x:c r="B3815" s="19" t="str">
        <x:v>GRID84_report.md</x:v>
      </x:c>
      <x:c r="C3815" s="19" t="str">
        <x:v>2. GRID84：固定费用配置的五种子同批比较</x:v>
      </x:c>
      <x:c r="D3815" s="19" t="str">
        <x:v>FRAME相对种子=2；控制时间宏平均减少=+1.620%</x:v>
      </x:c>
      <x:c r="E3815" s="19" t="str">
        <x:v>控制时间宏平均减少</x:v>
      </x:c>
      <x:c r="F3815" s="19" t="str">
        <x:v>+1.620%</x:v>
      </x:c>
      <x:c r="G3815" s="19" t="str">
        <x:v>速度/计算</x:v>
      </x:c>
      <x:c r="H3815" s="19" t="str">
        <x:v>D:/Codex/GRL研究/outputs/grid84/GRID84_report.md</x:v>
      </x:c>
    </x:row>
    <x:row r="3816" ht="36" customHeight="1">
      <x:c r="A3816" s="19" t="str">
        <x:v>GRID84</x:v>
      </x:c>
      <x:c r="B3816" s="19" t="str">
        <x:v>GRID84_report.md</x:v>
      </x:c>
      <x:c r="C3816" s="19" t="str">
        <x:v>2. GRID84：固定费用配置的五种子同批比较</x:v>
      </x:c>
      <x:c r="D3816" s="19" t="str">
        <x:v>FRAME相对种子=2；控制时间宏平均减少=+1.620%</x:v>
      </x:c>
      <x:c r="E3816" s="19" t="str">
        <x:v>查询宏平均减少³</x:v>
      </x:c>
      <x:c r="F3816" s="19" t="str">
        <x:v>-6.282%</x:v>
      </x:c>
      <x:c r="G3816" s="19" t="str">
        <x:v>速度/计算</x:v>
      </x:c>
      <x:c r="H3816" s="19" t="str">
        <x:v>D:/Codex/GRL研究/outputs/grid84/GRID84_report.md</x:v>
      </x:c>
    </x:row>
    <x:row r="3817" ht="36" customHeight="1">
      <x:c r="A3817" s="19" t="str">
        <x:v>GRID84</x:v>
      </x:c>
      <x:c r="B3817" s="19" t="str">
        <x:v>GRID84_report.md</x:v>
      </x:c>
      <x:c r="C3817" s="19" t="str">
        <x:v>2. GRID84：固定费用配置的五种子同批比较</x:v>
      </x:c>
      <x:c r="D3817" s="19" t="str">
        <x:v>FRAME相对种子=2；控制时间宏平均减少=+1.620%</x:v>
      </x:c>
      <x:c r="E3817" s="19" t="str">
        <x:v>正向日期</x:v>
      </x:c>
      <x:c r="F3817" s="19" t="str">
        <x:v>5/6</x:v>
      </x:c>
      <x:c r="G3817" s="19" t="str">
        <x:v>其他/配置</x:v>
      </x:c>
      <x:c r="H3817" s="19" t="str">
        <x:v>D:/Codex/GRL研究/outputs/grid84/GRID84_report.md</x:v>
      </x:c>
    </x:row>
    <x:row r="3818" ht="36" customHeight="1">
      <x:c r="A3818" s="19" t="str">
        <x:v>GRID84</x:v>
      </x:c>
      <x:c r="B3818" s="19" t="str">
        <x:v>GRID84_report.md</x:v>
      </x:c>
      <x:c r="C3818" s="19" t="str">
        <x:v>2. GRID84：固定费用配置的五种子同批比较</x:v>
      </x:c>
      <x:c r="D3818" s="19" t="str">
        <x:v>FRAME相对种子=2；控制时间宏平均减少=+1.620%</x:v>
      </x:c>
      <x:c r="E3818" s="19" t="str">
        <x:v>两次计时分别</x:v>
      </x:c>
      <x:c r="F3818" s="19" t="str">
        <x:v>+0.234% / +2.732%</x:v>
      </x:c>
      <x:c r="G3818" s="19" t="str">
        <x:v>其他/配置</x:v>
      </x:c>
      <x:c r="H3818" s="19" t="str">
        <x:v>D:/Codex/GRL研究/outputs/grid84/GRID84_report.md</x:v>
      </x:c>
    </x:row>
    <x:row r="3819" ht="36" customHeight="1">
      <x:c r="A3819" s="19" t="str">
        <x:v>GRID84</x:v>
      </x:c>
      <x:c r="B3819" s="19" t="str">
        <x:v>GRID84_report.md</x:v>
      </x:c>
      <x:c r="C3819" s="19" t="str">
        <x:v>2. GRID84：固定费用配置的五种子同批比较</x:v>
      </x:c>
      <x:c r="D3819" s="19" t="str">
        <x:v>FRAME相对种子=2；控制时间宏平均减少=+1.620%</x:v>
      </x:c>
      <x:c r="E3819" s="19" t="str">
        <x:v>同质量提速判据</x:v>
      </x:c>
      <x:c r="F3819" s="19" t="str">
        <x:v>BOTH_PASS_TIMING_MIXED_OR_SMALL</x:v>
      </x:c>
      <x:c r="G3819" s="19" t="str">
        <x:v>质量/成本</x:v>
      </x:c>
      <x:c r="H3819" s="19" t="str">
        <x:v>D:/Codex/GRL研究/outputs/grid84/GRID84_report.md</x:v>
      </x:c>
    </x:row>
    <x:row r="3820" ht="36" customHeight="1">
      <x:c r="A3820" s="19" t="str">
        <x:v>GRID84</x:v>
      </x:c>
      <x:c r="B3820" s="19" t="str">
        <x:v>GRID84_report.md</x:v>
      </x:c>
      <x:c r="C3820" s="19" t="str">
        <x:v>2. GRID84：固定费用配置的五种子同批比较</x:v>
      </x:c>
      <x:c r="D3820" s="19" t="str">
        <x:v>FRAME相对种子=3；控制时间宏平均减少=+1.325%</x:v>
      </x:c>
      <x:c r="E3820" s="19" t="str">
        <x:v>控制时间宏平均减少</x:v>
      </x:c>
      <x:c r="F3820" s="19" t="str">
        <x:v>+1.325%</x:v>
      </x:c>
      <x:c r="G3820" s="19" t="str">
        <x:v>速度/计算</x:v>
      </x:c>
      <x:c r="H3820" s="19" t="str">
        <x:v>D:/Codex/GRL研究/outputs/grid84/GRID84_report.md</x:v>
      </x:c>
    </x:row>
    <x:row r="3821" ht="36" customHeight="1">
      <x:c r="A3821" s="19" t="str">
        <x:v>GRID84</x:v>
      </x:c>
      <x:c r="B3821" s="19" t="str">
        <x:v>GRID84_report.md</x:v>
      </x:c>
      <x:c r="C3821" s="19" t="str">
        <x:v>2. GRID84：固定费用配置的五种子同批比较</x:v>
      </x:c>
      <x:c r="D3821" s="19" t="str">
        <x:v>FRAME相对种子=3；控制时间宏平均减少=+1.325%</x:v>
      </x:c>
      <x:c r="E3821" s="19" t="str">
        <x:v>查询宏平均减少³</x:v>
      </x:c>
      <x:c r="F3821" s="19" t="str">
        <x:v>+1.930%</x:v>
      </x:c>
      <x:c r="G3821" s="19" t="str">
        <x:v>速度/计算</x:v>
      </x:c>
      <x:c r="H3821" s="19" t="str">
        <x:v>D:/Codex/GRL研究/outputs/grid84/GRID84_report.md</x:v>
      </x:c>
    </x:row>
    <x:row r="3822" ht="36" customHeight="1">
      <x:c r="A3822" s="19" t="str">
        <x:v>GRID84</x:v>
      </x:c>
      <x:c r="B3822" s="19" t="str">
        <x:v>GRID84_report.md</x:v>
      </x:c>
      <x:c r="C3822" s="19" t="str">
        <x:v>2. GRID84：固定费用配置的五种子同批比较</x:v>
      </x:c>
      <x:c r="D3822" s="19" t="str">
        <x:v>FRAME相对种子=3；控制时间宏平均减少=+1.325%</x:v>
      </x:c>
      <x:c r="E3822" s="19" t="str">
        <x:v>正向日期</x:v>
      </x:c>
      <x:c r="F3822" s="19" t="str">
        <x:v>2/6</x:v>
      </x:c>
      <x:c r="G3822" s="19" t="str">
        <x:v>其他/配置</x:v>
      </x:c>
      <x:c r="H3822" s="19" t="str">
        <x:v>D:/Codex/GRL研究/outputs/grid84/GRID84_report.md</x:v>
      </x:c>
    </x:row>
    <x:row r="3823" ht="36" customHeight="1">
      <x:c r="A3823" s="19" t="str">
        <x:v>GRID84</x:v>
      </x:c>
      <x:c r="B3823" s="19" t="str">
        <x:v>GRID84_report.md</x:v>
      </x:c>
      <x:c r="C3823" s="19" t="str">
        <x:v>2. GRID84：固定费用配置的五种子同批比较</x:v>
      </x:c>
      <x:c r="D3823" s="19" t="str">
        <x:v>FRAME相对种子=3；控制时间宏平均减少=+1.325%</x:v>
      </x:c>
      <x:c r="E3823" s="19" t="str">
        <x:v>两次计时分别</x:v>
      </x:c>
      <x:c r="F3823" s="19" t="str">
        <x:v>+0.924% / +1.694%</x:v>
      </x:c>
      <x:c r="G3823" s="19" t="str">
        <x:v>其他/配置</x:v>
      </x:c>
      <x:c r="H3823" s="19" t="str">
        <x:v>D:/Codex/GRL研究/outputs/grid84/GRID84_report.md</x:v>
      </x:c>
    </x:row>
    <x:row r="3824" ht="36" customHeight="1">
      <x:c r="A3824" s="19" t="str">
        <x:v>GRID84</x:v>
      </x:c>
      <x:c r="B3824" s="19" t="str">
        <x:v>GRID84_report.md</x:v>
      </x:c>
      <x:c r="C3824" s="19" t="str">
        <x:v>2. GRID84：固定费用配置的五种子同批比较</x:v>
      </x:c>
      <x:c r="D3824" s="19" t="str">
        <x:v>FRAME相对种子=3；控制时间宏平均减少=+1.325%</x:v>
      </x:c>
      <x:c r="E3824" s="19" t="str">
        <x:v>同质量提速判据</x:v>
      </x:c>
      <x:c r="F3824" s="19" t="str">
        <x:v>BOTH_PASS_TIMING_MIXED_OR_SMALL</x:v>
      </x:c>
      <x:c r="G3824" s="19" t="str">
        <x:v>质量/成本</x:v>
      </x:c>
      <x:c r="H3824" s="19" t="str">
        <x:v>D:/Codex/GRL研究/outputs/grid84/GRID84_report.md</x:v>
      </x:c>
    </x:row>
    <x:row r="3825" ht="36" customHeight="1">
      <x:c r="A3825" s="19" t="str">
        <x:v>GRID84</x:v>
      </x:c>
      <x:c r="B3825" s="19" t="str">
        <x:v>GRID84_report.md</x:v>
      </x:c>
      <x:c r="C3825" s="19" t="str">
        <x:v>2. GRID84：固定费用配置的五种子同批比较</x:v>
      </x:c>
      <x:c r="D3825" s="19" t="str">
        <x:v>FRAME相对种子=4；控制时间宏平均减少=-0.296%</x:v>
      </x:c>
      <x:c r="E3825" s="19" t="str">
        <x:v>控制时间宏平均减少</x:v>
      </x:c>
      <x:c r="F3825" s="19" t="str">
        <x:v>-0.296%</x:v>
      </x:c>
      <x:c r="G3825" s="19" t="str">
        <x:v>速度/计算</x:v>
      </x:c>
      <x:c r="H3825" s="19" t="str">
        <x:v>D:/Codex/GRL研究/outputs/grid84/GRID84_report.md</x:v>
      </x:c>
    </x:row>
    <x:row r="3826" ht="36" customHeight="1">
      <x:c r="A3826" s="19" t="str">
        <x:v>GRID84</x:v>
      </x:c>
      <x:c r="B3826" s="19" t="str">
        <x:v>GRID84_report.md</x:v>
      </x:c>
      <x:c r="C3826" s="19" t="str">
        <x:v>2. GRID84：固定费用配置的五种子同批比较</x:v>
      </x:c>
      <x:c r="D3826" s="19" t="str">
        <x:v>FRAME相对种子=4；控制时间宏平均减少=-0.296%</x:v>
      </x:c>
      <x:c r="E3826" s="19" t="str">
        <x:v>查询宏平均减少³</x:v>
      </x:c>
      <x:c r="F3826" s="19" t="str">
        <x:v>-73.901%</x:v>
      </x:c>
      <x:c r="G3826" s="19" t="str">
        <x:v>速度/计算</x:v>
      </x:c>
      <x:c r="H3826" s="19" t="str">
        <x:v>D:/Codex/GRL研究/outputs/grid84/GRID84_report.md</x:v>
      </x:c>
    </x:row>
    <x:row r="3827" ht="36" customHeight="1">
      <x:c r="A3827" s="19" t="str">
        <x:v>GRID84</x:v>
      </x:c>
      <x:c r="B3827" s="19" t="str">
        <x:v>GRID84_report.md</x:v>
      </x:c>
      <x:c r="C3827" s="19" t="str">
        <x:v>2. GRID84：固定费用配置的五种子同批比较</x:v>
      </x:c>
      <x:c r="D3827" s="19" t="str">
        <x:v>FRAME相对种子=4；控制时间宏平均减少=-0.296%</x:v>
      </x:c>
      <x:c r="E3827" s="19" t="str">
        <x:v>正向日期</x:v>
      </x:c>
      <x:c r="F3827" s="19" t="str">
        <x:v>2/6</x:v>
      </x:c>
      <x:c r="G3827" s="19" t="str">
        <x:v>其他/配置</x:v>
      </x:c>
      <x:c r="H3827" s="19" t="str">
        <x:v>D:/Codex/GRL研究/outputs/grid84/GRID84_report.md</x:v>
      </x:c>
    </x:row>
    <x:row r="3828" ht="36" customHeight="1">
      <x:c r="A3828" s="19" t="str">
        <x:v>GRID84</x:v>
      </x:c>
      <x:c r="B3828" s="19" t="str">
        <x:v>GRID84_report.md</x:v>
      </x:c>
      <x:c r="C3828" s="19" t="str">
        <x:v>2. GRID84：固定费用配置的五种子同批比较</x:v>
      </x:c>
      <x:c r="D3828" s="19" t="str">
        <x:v>FRAME相对种子=4；控制时间宏平均减少=-0.296%</x:v>
      </x:c>
      <x:c r="E3828" s="19" t="str">
        <x:v>两次计时分别</x:v>
      </x:c>
      <x:c r="F3828" s="19" t="str">
        <x:v>+0.038% / -0.638%</x:v>
      </x:c>
      <x:c r="G3828" s="19" t="str">
        <x:v>其他/配置</x:v>
      </x:c>
      <x:c r="H3828" s="19" t="str">
        <x:v>D:/Codex/GRL研究/outputs/grid84/GRID84_report.md</x:v>
      </x:c>
    </x:row>
    <x:row r="3829" ht="36" customHeight="1">
      <x:c r="A3829" s="19" t="str">
        <x:v>GRID84</x:v>
      </x:c>
      <x:c r="B3829" s="19" t="str">
        <x:v>GRID84_report.md</x:v>
      </x:c>
      <x:c r="C3829" s="19" t="str">
        <x:v>2. GRID84：固定费用配置的五种子同批比较</x:v>
      </x:c>
      <x:c r="D3829" s="19" t="str">
        <x:v>FRAME相对种子=4；控制时间宏平均减少=-0.296%</x:v>
      </x:c>
      <x:c r="E3829" s="19" t="str">
        <x:v>同质量提速判据</x:v>
      </x:c>
      <x:c r="F3829" s="19" t="str">
        <x:v>BOTH_PASS_TIMING_MIXED_OR_SMALL</x:v>
      </x:c>
      <x:c r="G3829" s="19" t="str">
        <x:v>质量/成本</x:v>
      </x:c>
      <x:c r="H3829" s="19" t="str">
        <x:v>D:/Codex/GRL研究/outputs/grid84/GRID84_report.md</x:v>
      </x:c>
    </x:row>
    <x:row r="3830" ht="36" customHeight="1">
      <x:c r="A3830" s="19" t="str">
        <x:v>GRID84</x:v>
      </x:c>
      <x:c r="B3830" s="19" t="str">
        <x:v>GRID84_report.md</x:v>
      </x:c>
      <x:c r="C3830" s="19" t="str">
        <x:v>3. 实际动作使用</x:v>
      </x:c>
      <x:c r="D3830" s="19" t="str">
        <x:v>模型种子=0；搜索调用=32</x:v>
      </x:c>
      <x:c r="E3830" s="19" t="str">
        <x:v>搜索调用</x:v>
      </x:c>
      <x:c r="F3830" s="19" t="str">
        <x:v>32</x:v>
      </x:c>
      <x:c r="G3830" s="19" t="str">
        <x:v>速度/计算</x:v>
      </x:c>
      <x:c r="H3830" s="19" t="str">
        <x:v>D:/Codex/GRL研究/outputs/grid84/GRID84_report.md</x:v>
      </x:c>
    </x:row>
    <x:row r="3831" ht="36" customHeight="1">
      <x:c r="A3831" s="19" t="str">
        <x:v>GRID84</x:v>
      </x:c>
      <x:c r="B3831" s="19" t="str">
        <x:v>GRID84_report.md</x:v>
      </x:c>
      <x:c r="C3831" s="19" t="str">
        <x:v>3. 实际动作使用</x:v>
      </x:c>
      <x:c r="D3831" s="19" t="str">
        <x:v>模型种子=0；搜索调用=32</x:v>
      </x:c>
      <x:c r="E3831" s="19" t="str">
        <x:v>首个决策委托FRAME</x:v>
      </x:c>
      <x:c r="F3831" s="19" t="str">
        <x:v>4</x:v>
      </x:c>
      <x:c r="G3831" s="19" t="str">
        <x:v>其他/配置</x:v>
      </x:c>
      <x:c r="H3831" s="19" t="str">
        <x:v>D:/Codex/GRL研究/outputs/grid84/GRID84_report.md</x:v>
      </x:c>
    </x:row>
    <x:row r="3832" ht="36" customHeight="1">
      <x:c r="A3832" s="19" t="str">
        <x:v>GRID84</x:v>
      </x:c>
      <x:c r="B3832" s="19" t="str">
        <x:v>GRID84_report.md</x:v>
      </x:c>
      <x:c r="C3832" s="19" t="str">
        <x:v>3. 实际动作使用</x:v>
      </x:c>
      <x:c r="D3832" s="19" t="str">
        <x:v>模型种子=0；搜索调用=32</x:v>
      </x:c>
      <x:c r="E3832" s="19" t="str">
        <x:v>比例</x:v>
      </x:c>
      <x:c r="F3832" s="19" t="str">
        <x:v>12.5%</x:v>
      </x:c>
      <x:c r="G3832" s="19" t="str">
        <x:v>其他/配置</x:v>
      </x:c>
      <x:c r="H3832" s="19" t="str">
        <x:v>D:/Codex/GRL研究/outputs/grid84/GRID84_report.md</x:v>
      </x:c>
    </x:row>
    <x:row r="3833" ht="36" customHeight="1">
      <x:c r="A3833" s="19" t="str">
        <x:v>GRID84</x:v>
      </x:c>
      <x:c r="B3833" s="19" t="str">
        <x:v>GRID84_report.md</x:v>
      </x:c>
      <x:c r="C3833" s="19" t="str">
        <x:v>3. 实际动作使用</x:v>
      </x:c>
      <x:c r="D3833" s="19" t="str">
        <x:v>模型种子=1；搜索调用=30</x:v>
      </x:c>
      <x:c r="E3833" s="19" t="str">
        <x:v>搜索调用</x:v>
      </x:c>
      <x:c r="F3833" s="19" t="str">
        <x:v>30</x:v>
      </x:c>
      <x:c r="G3833" s="19" t="str">
        <x:v>速度/计算</x:v>
      </x:c>
      <x:c r="H3833" s="19" t="str">
        <x:v>D:/Codex/GRL研究/outputs/grid84/GRID84_report.md</x:v>
      </x:c>
    </x:row>
    <x:row r="3834" ht="36" customHeight="1">
      <x:c r="A3834" s="19" t="str">
        <x:v>GRID84</x:v>
      </x:c>
      <x:c r="B3834" s="19" t="str">
        <x:v>GRID84_report.md</x:v>
      </x:c>
      <x:c r="C3834" s="19" t="str">
        <x:v>3. 实际动作使用</x:v>
      </x:c>
      <x:c r="D3834" s="19" t="str">
        <x:v>模型种子=1；搜索调用=30</x:v>
      </x:c>
      <x:c r="E3834" s="19" t="str">
        <x:v>首个决策委托FRAME</x:v>
      </x:c>
      <x:c r="F3834" s="19" t="str">
        <x:v>27</x:v>
      </x:c>
      <x:c r="G3834" s="19" t="str">
        <x:v>其他/配置</x:v>
      </x:c>
      <x:c r="H3834" s="19" t="str">
        <x:v>D:/Codex/GRL研究/outputs/grid84/GRID84_report.md</x:v>
      </x:c>
    </x:row>
    <x:row r="3835" ht="36" customHeight="1">
      <x:c r="A3835" s="19" t="str">
        <x:v>GRID84</x:v>
      </x:c>
      <x:c r="B3835" s="19" t="str">
        <x:v>GRID84_report.md</x:v>
      </x:c>
      <x:c r="C3835" s="19" t="str">
        <x:v>3. 实际动作使用</x:v>
      </x:c>
      <x:c r="D3835" s="19" t="str">
        <x:v>模型种子=1；搜索调用=30</x:v>
      </x:c>
      <x:c r="E3835" s="19" t="str">
        <x:v>比例</x:v>
      </x:c>
      <x:c r="F3835" s="19" t="str">
        <x:v>90.0%</x:v>
      </x:c>
      <x:c r="G3835" s="19" t="str">
        <x:v>其他/配置</x:v>
      </x:c>
      <x:c r="H3835" s="19" t="str">
        <x:v>D:/Codex/GRL研究/outputs/grid84/GRID84_report.md</x:v>
      </x:c>
    </x:row>
    <x:row r="3836" ht="36" customHeight="1">
      <x:c r="A3836" s="19" t="str">
        <x:v>GRID84</x:v>
      </x:c>
      <x:c r="B3836" s="19" t="str">
        <x:v>GRID84_report.md</x:v>
      </x:c>
      <x:c r="C3836" s="19" t="str">
        <x:v>3. 实际动作使用</x:v>
      </x:c>
      <x:c r="D3836" s="19" t="str">
        <x:v>模型种子=2；搜索调用=30</x:v>
      </x:c>
      <x:c r="E3836" s="19" t="str">
        <x:v>搜索调用</x:v>
      </x:c>
      <x:c r="F3836" s="19" t="str">
        <x:v>30</x:v>
      </x:c>
      <x:c r="G3836" s="19" t="str">
        <x:v>速度/计算</x:v>
      </x:c>
      <x:c r="H3836" s="19" t="str">
        <x:v>D:/Codex/GRL研究/outputs/grid84/GRID84_report.md</x:v>
      </x:c>
    </x:row>
    <x:row r="3837" ht="36" customHeight="1">
      <x:c r="A3837" s="19" t="str">
        <x:v>GRID84</x:v>
      </x:c>
      <x:c r="B3837" s="19" t="str">
        <x:v>GRID84_report.md</x:v>
      </x:c>
      <x:c r="C3837" s="19" t="str">
        <x:v>3. 实际动作使用</x:v>
      </x:c>
      <x:c r="D3837" s="19" t="str">
        <x:v>模型种子=2；搜索调用=30</x:v>
      </x:c>
      <x:c r="E3837" s="19" t="str">
        <x:v>首个决策委托FRAME</x:v>
      </x:c>
      <x:c r="F3837" s="19" t="str">
        <x:v>23</x:v>
      </x:c>
      <x:c r="G3837" s="19" t="str">
        <x:v>其他/配置</x:v>
      </x:c>
      <x:c r="H3837" s="19" t="str">
        <x:v>D:/Codex/GRL研究/outputs/grid84/GRID84_report.md</x:v>
      </x:c>
    </x:row>
    <x:row r="3838" ht="36" customHeight="1">
      <x:c r="A3838" s="19" t="str">
        <x:v>GRID84</x:v>
      </x:c>
      <x:c r="B3838" s="19" t="str">
        <x:v>GRID84_report.md</x:v>
      </x:c>
      <x:c r="C3838" s="19" t="str">
        <x:v>3. 实际动作使用</x:v>
      </x:c>
      <x:c r="D3838" s="19" t="str">
        <x:v>模型种子=2；搜索调用=30</x:v>
      </x:c>
      <x:c r="E3838" s="19" t="str">
        <x:v>比例</x:v>
      </x:c>
      <x:c r="F3838" s="19" t="str">
        <x:v>76.7%</x:v>
      </x:c>
      <x:c r="G3838" s="19" t="str">
        <x:v>其他/配置</x:v>
      </x:c>
      <x:c r="H3838" s="19" t="str">
        <x:v>D:/Codex/GRL研究/outputs/grid84/GRID84_report.md</x:v>
      </x:c>
    </x:row>
    <x:row r="3839" ht="36" customHeight="1">
      <x:c r="A3839" s="19" t="str">
        <x:v>GRID84</x:v>
      </x:c>
      <x:c r="B3839" s="19" t="str">
        <x:v>GRID84_report.md</x:v>
      </x:c>
      <x:c r="C3839" s="19" t="str">
        <x:v>3. 实际动作使用</x:v>
      </x:c>
      <x:c r="D3839" s="19" t="str">
        <x:v>模型种子=3；搜索调用=30</x:v>
      </x:c>
      <x:c r="E3839" s="19" t="str">
        <x:v>搜索调用</x:v>
      </x:c>
      <x:c r="F3839" s="19" t="str">
        <x:v>30</x:v>
      </x:c>
      <x:c r="G3839" s="19" t="str">
        <x:v>速度/计算</x:v>
      </x:c>
      <x:c r="H3839" s="19" t="str">
        <x:v>D:/Codex/GRL研究/outputs/grid84/GRID84_report.md</x:v>
      </x:c>
    </x:row>
    <x:row r="3840" ht="36" customHeight="1">
      <x:c r="A3840" s="19" t="str">
        <x:v>GRID84</x:v>
      </x:c>
      <x:c r="B3840" s="19" t="str">
        <x:v>GRID84_report.md</x:v>
      </x:c>
      <x:c r="C3840" s="19" t="str">
        <x:v>3. 实际动作使用</x:v>
      </x:c>
      <x:c r="D3840" s="19" t="str">
        <x:v>模型种子=3；搜索调用=30</x:v>
      </x:c>
      <x:c r="E3840" s="19" t="str">
        <x:v>首个决策委托FRAME</x:v>
      </x:c>
      <x:c r="F3840" s="19" t="str">
        <x:v>13</x:v>
      </x:c>
      <x:c r="G3840" s="19" t="str">
        <x:v>其他/配置</x:v>
      </x:c>
      <x:c r="H3840" s="19" t="str">
        <x:v>D:/Codex/GRL研究/outputs/grid84/GRID84_report.md</x:v>
      </x:c>
    </x:row>
    <x:row r="3841" ht="36" customHeight="1">
      <x:c r="A3841" s="19" t="str">
        <x:v>GRID84</x:v>
      </x:c>
      <x:c r="B3841" s="19" t="str">
        <x:v>GRID84_report.md</x:v>
      </x:c>
      <x:c r="C3841" s="19" t="str">
        <x:v>3. 实际动作使用</x:v>
      </x:c>
      <x:c r="D3841" s="19" t="str">
        <x:v>模型种子=3；搜索调用=30</x:v>
      </x:c>
      <x:c r="E3841" s="19" t="str">
        <x:v>比例</x:v>
      </x:c>
      <x:c r="F3841" s="19" t="str">
        <x:v>43.3%</x:v>
      </x:c>
      <x:c r="G3841" s="19" t="str">
        <x:v>其他/配置</x:v>
      </x:c>
      <x:c r="H3841" s="19" t="str">
        <x:v>D:/Codex/GRL研究/outputs/grid84/GRID84_report.md</x:v>
      </x:c>
    </x:row>
    <x:row r="3842" ht="36" customHeight="1">
      <x:c r="A3842" s="19" t="str">
        <x:v>GRID84</x:v>
      </x:c>
      <x:c r="B3842" s="19" t="str">
        <x:v>GRID84_report.md</x:v>
      </x:c>
      <x:c r="C3842" s="19" t="str">
        <x:v>3. 实际动作使用</x:v>
      </x:c>
      <x:c r="D3842" s="19" t="str">
        <x:v>模型种子=4；搜索调用=30</x:v>
      </x:c>
      <x:c r="E3842" s="19" t="str">
        <x:v>搜索调用</x:v>
      </x:c>
      <x:c r="F3842" s="19" t="str">
        <x:v>30</x:v>
      </x:c>
      <x:c r="G3842" s="19" t="str">
        <x:v>速度/计算</x:v>
      </x:c>
      <x:c r="H3842" s="19" t="str">
        <x:v>D:/Codex/GRL研究/outputs/grid84/GRID84_report.md</x:v>
      </x:c>
    </x:row>
    <x:row r="3843" ht="36" customHeight="1">
      <x:c r="A3843" s="19" t="str">
        <x:v>GRID84</x:v>
      </x:c>
      <x:c r="B3843" s="19" t="str">
        <x:v>GRID84_report.md</x:v>
      </x:c>
      <x:c r="C3843" s="19" t="str">
        <x:v>3. 实际动作使用</x:v>
      </x:c>
      <x:c r="D3843" s="19" t="str">
        <x:v>模型种子=4；搜索调用=30</x:v>
      </x:c>
      <x:c r="E3843" s="19" t="str">
        <x:v>首个决策委托FRAME</x:v>
      </x:c>
      <x:c r="F3843" s="19" t="str">
        <x:v>17</x:v>
      </x:c>
      <x:c r="G3843" s="19" t="str">
        <x:v>其他/配置</x:v>
      </x:c>
      <x:c r="H3843" s="19" t="str">
        <x:v>D:/Codex/GRL研究/outputs/grid84/GRID84_report.md</x:v>
      </x:c>
    </x:row>
    <x:row r="3844" ht="36" customHeight="1">
      <x:c r="A3844" s="19" t="str">
        <x:v>GRID84</x:v>
      </x:c>
      <x:c r="B3844" s="19" t="str">
        <x:v>GRID84_report.md</x:v>
      </x:c>
      <x:c r="C3844" s="19" t="str">
        <x:v>3. 实际动作使用</x:v>
      </x:c>
      <x:c r="D3844" s="19" t="str">
        <x:v>模型种子=4；搜索调用=30</x:v>
      </x:c>
      <x:c r="E3844" s="19" t="str">
        <x:v>比例</x:v>
      </x:c>
      <x:c r="F3844" s="19" t="str">
        <x:v>56.7%</x:v>
      </x:c>
      <x:c r="G3844" s="19" t="str">
        <x:v>其他/配置</x:v>
      </x:c>
      <x:c r="H3844" s="19" t="str">
        <x:v>D:/Codex/GRL研究/outputs/grid84/GRID84_report.md</x:v>
      </x:c>
    </x:row>
    <x:row r="3845" ht="36" customHeight="1">
      <x:c r="A3845" s="19" t="str">
        <x:v>GRID84</x:v>
      </x:c>
      <x:c r="B3845" s="19" t="str">
        <x:v>GRID84_report.md</x:v>
      </x:c>
      <x:c r="C3845" s="19" t="str">
        <x:v>4. 训练与校准诊断</x:v>
      </x:c>
      <x:c r="D3845" s="19" t="str">
        <x:v>新种子=2；校准查询均值=285.000</x:v>
      </x:c>
      <x:c r="E3845" s="19" t="str">
        <x:v>校准查询均值</x:v>
      </x:c>
      <x:c r="F3845" s="19" t="str">
        <x:v>285.000</x:v>
      </x:c>
      <x:c r="G3845" s="19" t="str">
        <x:v>速度/计算</x:v>
      </x:c>
      <x:c r="H3845" s="19" t="str">
        <x:v>D:/Codex/GRL研究/outputs/grid84/GRID84_report.md</x:v>
      </x:c>
    </x:row>
    <x:row r="3846" ht="36" customHeight="1">
      <x:c r="A3846" s="19" t="str">
        <x:v>GRID84</x:v>
      </x:c>
      <x:c r="B3846" s="19" t="str">
        <x:v>GRID84_report.md</x:v>
      </x:c>
      <x:c r="C3846" s="19" t="str">
        <x:v>4. 训练与校准诊断</x:v>
      </x:c>
      <x:c r="D3846" s="19" t="str">
        <x:v>新种子=2；校准查询均值=285.000</x:v>
      </x:c>
      <x:c r="E3846" s="19" t="str">
        <x:v>校准平均遗憾</x:v>
      </x:c>
      <x:c r="F3846" s="19" t="str">
        <x:v>0.00405537</x:v>
      </x:c>
      <x:c r="G3846" s="19" t="str">
        <x:v>质量/成本</x:v>
      </x:c>
      <x:c r="H3846" s="19" t="str">
        <x:v>D:/Codex/GRL研究/outputs/grid84/GRID84_report.md</x:v>
      </x:c>
    </x:row>
    <x:row r="3847" ht="36" customHeight="1">
      <x:c r="A3847" s="19" t="str">
        <x:v>GRID84</x:v>
      </x:c>
      <x:c r="B3847" s="19" t="str">
        <x:v>GRID84_report.md</x:v>
      </x:c>
      <x:c r="C3847" s="19" t="str">
        <x:v>4. 训练与校准诊断</x:v>
      </x:c>
      <x:c r="D3847" s="19" t="str">
        <x:v>新种子=2；校准查询均值=285.000</x:v>
      </x:c>
      <x:c r="E3847" s="19" t="str">
        <x:v>校准最大遗憾</x:v>
      </x:c>
      <x:c r="F3847" s="19" t="str">
        <x:v>0.0379096</x:v>
      </x:c>
      <x:c r="G3847" s="19" t="str">
        <x:v>质量/成本</x:v>
      </x:c>
      <x:c r="H3847" s="19" t="str">
        <x:v>D:/Codex/GRL研究/outputs/grid84/GRID84_report.md</x:v>
      </x:c>
    </x:row>
    <x:row r="3848" ht="36" customHeight="1">
      <x:c r="A3848" s="19" t="str">
        <x:v>GRID84</x:v>
      </x:c>
      <x:c r="B3848" s="19" t="str">
        <x:v>GRID84_report.md</x:v>
      </x:c>
      <x:c r="C3848" s="19" t="str">
        <x:v>4. 训练与校准诊断</x:v>
      </x:c>
      <x:c r="D3848" s="19" t="str">
        <x:v>新种子=2；校准查询均值=285.000</x:v>
      </x:c>
      <x:c r="E3848" s="19" t="str">
        <x:v>相对固定核查校准质量匹配</x:v>
      </x:c>
      <x:c r="F3848" s="19" t="str">
        <x:v>False</x:v>
      </x:c>
      <x:c r="G3848" s="19" t="str">
        <x:v>质量/成本</x:v>
      </x:c>
      <x:c r="H3848" s="19" t="str">
        <x:v>D:/Codex/GRL研究/outputs/grid84/GRID84_report.md</x:v>
      </x:c>
    </x:row>
    <x:row r="3849" ht="36" customHeight="1">
      <x:c r="A3849" s="19" t="str">
        <x:v>GRID84</x:v>
      </x:c>
      <x:c r="B3849" s="19" t="str">
        <x:v>GRID84_report.md</x:v>
      </x:c>
      <x:c r="C3849" s="19" t="str">
        <x:v>4. 训练与校准诊断</x:v>
      </x:c>
      <x:c r="D3849" s="19" t="str">
        <x:v>新种子=3；校准查询均值=267.455</x:v>
      </x:c>
      <x:c r="E3849" s="19" t="str">
        <x:v>校准查询均值</x:v>
      </x:c>
      <x:c r="F3849" s="19" t="str">
        <x:v>267.455</x:v>
      </x:c>
      <x:c r="G3849" s="19" t="str">
        <x:v>速度/计算</x:v>
      </x:c>
      <x:c r="H3849" s="19" t="str">
        <x:v>D:/Codex/GRL研究/outputs/grid84/GRID84_report.md</x:v>
      </x:c>
    </x:row>
    <x:row r="3850" ht="36" customHeight="1">
      <x:c r="A3850" s="19" t="str">
        <x:v>GRID84</x:v>
      </x:c>
      <x:c r="B3850" s="19" t="str">
        <x:v>GRID84_report.md</x:v>
      </x:c>
      <x:c r="C3850" s="19" t="str">
        <x:v>4. 训练与校准诊断</x:v>
      </x:c>
      <x:c r="D3850" s="19" t="str">
        <x:v>新种子=3；校准查询均值=267.455</x:v>
      </x:c>
      <x:c r="E3850" s="19" t="str">
        <x:v>校准平均遗憾</x:v>
      </x:c>
      <x:c r="F3850" s="19" t="str">
        <x:v>0.00529544</x:v>
      </x:c>
      <x:c r="G3850" s="19" t="str">
        <x:v>质量/成本</x:v>
      </x:c>
      <x:c r="H3850" s="19" t="str">
        <x:v>D:/Codex/GRL研究/outputs/grid84/GRID84_report.md</x:v>
      </x:c>
    </x:row>
    <x:row r="3851" ht="36" customHeight="1">
      <x:c r="A3851" s="19" t="str">
        <x:v>GRID84</x:v>
      </x:c>
      <x:c r="B3851" s="19" t="str">
        <x:v>GRID84_report.md</x:v>
      </x:c>
      <x:c r="C3851" s="19" t="str">
        <x:v>4. 训练与校准诊断</x:v>
      </x:c>
      <x:c r="D3851" s="19" t="str">
        <x:v>新种子=3；校准查询均值=267.455</x:v>
      </x:c>
      <x:c r="E3851" s="19" t="str">
        <x:v>校准最大遗憾</x:v>
      </x:c>
      <x:c r="F3851" s="19" t="str">
        <x:v>0.0379096</x:v>
      </x:c>
      <x:c r="G3851" s="19" t="str">
        <x:v>质量/成本</x:v>
      </x:c>
      <x:c r="H3851" s="19" t="str">
        <x:v>D:/Codex/GRL研究/outputs/grid84/GRID84_report.md</x:v>
      </x:c>
    </x:row>
    <x:row r="3852" ht="36" customHeight="1">
      <x:c r="A3852" s="19" t="str">
        <x:v>GRID84</x:v>
      </x:c>
      <x:c r="B3852" s="19" t="str">
        <x:v>GRID84_report.md</x:v>
      </x:c>
      <x:c r="C3852" s="19" t="str">
        <x:v>4. 训练与校准诊断</x:v>
      </x:c>
      <x:c r="D3852" s="19" t="str">
        <x:v>新种子=3；校准查询均值=267.455</x:v>
      </x:c>
      <x:c r="E3852" s="19" t="str">
        <x:v>相对固定核查校准质量匹配</x:v>
      </x:c>
      <x:c r="F3852" s="19" t="str">
        <x:v>False</x:v>
      </x:c>
      <x:c r="G3852" s="19" t="str">
        <x:v>质量/成本</x:v>
      </x:c>
      <x:c r="H3852" s="19" t="str">
        <x:v>D:/Codex/GRL研究/outputs/grid84/GRID84_report.md</x:v>
      </x:c>
    </x:row>
    <x:row r="3853" ht="36" customHeight="1">
      <x:c r="A3853" s="19" t="str">
        <x:v>GRID84</x:v>
      </x:c>
      <x:c r="B3853" s="19" t="str">
        <x:v>GRID84_report.md</x:v>
      </x:c>
      <x:c r="C3853" s="19" t="str">
        <x:v>4. 训练与校准诊断</x:v>
      </x:c>
      <x:c r="D3853" s="19" t="str">
        <x:v>新种子=4；校准查询均值=199.227</x:v>
      </x:c>
      <x:c r="E3853" s="19" t="str">
        <x:v>校准查询均值</x:v>
      </x:c>
      <x:c r="F3853" s="19" t="str">
        <x:v>199.227</x:v>
      </x:c>
      <x:c r="G3853" s="19" t="str">
        <x:v>速度/计算</x:v>
      </x:c>
      <x:c r="H3853" s="19" t="str">
        <x:v>D:/Codex/GRL研究/outputs/grid84/GRID84_report.md</x:v>
      </x:c>
    </x:row>
    <x:row r="3854" ht="36" customHeight="1">
      <x:c r="A3854" s="19" t="str">
        <x:v>GRID84</x:v>
      </x:c>
      <x:c r="B3854" s="19" t="str">
        <x:v>GRID84_report.md</x:v>
      </x:c>
      <x:c r="C3854" s="19" t="str">
        <x:v>4. 训练与校准诊断</x:v>
      </x:c>
      <x:c r="D3854" s="19" t="str">
        <x:v>新种子=4；校准查询均值=199.227</x:v>
      </x:c>
      <x:c r="E3854" s="19" t="str">
        <x:v>校准平均遗憾</x:v>
      </x:c>
      <x:c r="F3854" s="19" t="str">
        <x:v>0.00672135</x:v>
      </x:c>
      <x:c r="G3854" s="19" t="str">
        <x:v>质量/成本</x:v>
      </x:c>
      <x:c r="H3854" s="19" t="str">
        <x:v>D:/Codex/GRL研究/outputs/grid84/GRID84_report.md</x:v>
      </x:c>
    </x:row>
    <x:row r="3855" ht="36" customHeight="1">
      <x:c r="A3855" s="19" t="str">
        <x:v>GRID84</x:v>
      </x:c>
      <x:c r="B3855" s="19" t="str">
        <x:v>GRID84_report.md</x:v>
      </x:c>
      <x:c r="C3855" s="19" t="str">
        <x:v>4. 训练与校准诊断</x:v>
      </x:c>
      <x:c r="D3855" s="19" t="str">
        <x:v>新种子=4；校准查询均值=199.227</x:v>
      </x:c>
      <x:c r="E3855" s="19" t="str">
        <x:v>校准最大遗憾</x:v>
      </x:c>
      <x:c r="F3855" s="19" t="str">
        <x:v>0.0379096</x:v>
      </x:c>
      <x:c r="G3855" s="19" t="str">
        <x:v>质量/成本</x:v>
      </x:c>
      <x:c r="H3855" s="19" t="str">
        <x:v>D:/Codex/GRL研究/outputs/grid84/GRID84_report.md</x:v>
      </x:c>
    </x:row>
    <x:row r="3856" ht="36" customHeight="1">
      <x:c r="A3856" s="19" t="str">
        <x:v>GRID84</x:v>
      </x:c>
      <x:c r="B3856" s="19" t="str">
        <x:v>GRID84_report.md</x:v>
      </x:c>
      <x:c r="C3856" s="19" t="str">
        <x:v>4. 训练与校准诊断</x:v>
      </x:c>
      <x:c r="D3856" s="19" t="str">
        <x:v>新种子=4；校准查询均值=199.227</x:v>
      </x:c>
      <x:c r="E3856" s="19" t="str">
        <x:v>相对固定核查校准质量匹配</x:v>
      </x:c>
      <x:c r="F3856" s="19" t="str">
        <x:v>False</x:v>
      </x:c>
      <x:c r="G3856" s="19" t="str">
        <x:v>质量/成本</x:v>
      </x:c>
      <x:c r="H3856" s="19" t="str">
        <x:v>D:/Codex/GRL研究/outputs/grid84/GRID84_report.md</x:v>
      </x:c>
    </x:row>
    <x:row r="3857" ht="36" customHeight="1">
      <x:c r="A3857" s="19" t="str">
        <x:v>GRID84</x:v>
      </x:c>
      <x:c r="B3857" s="19" t="str">
        <x:v>GRID84_report.md</x:v>
      </x:c>
      <x:c r="C3857" s="19" t="str">
        <x:v>5. 逐日期与计时</x:v>
      </x:c>
      <x:c r="D3857" s="19" t="str">
        <x:v>场景=2036-01-07_9；方法=FRAME_GUARD</x:v>
      </x:c>
      <x:c r="E3857" s="19" t="str">
        <x:v>方法</x:v>
      </x:c>
      <x:c r="F3857" s="19" t="str">
        <x:v>FRAME_GUARD</x:v>
      </x:c>
      <x:c r="G3857" s="19" t="str">
        <x:v>其他/配置</x:v>
      </x:c>
      <x:c r="H3857" s="19" t="str">
        <x:v>D:/Codex/GRL研究/outputs/grid84/GRID84_report.md</x:v>
      </x:c>
    </x:row>
    <x:row r="3858" ht="36" customHeight="1">
      <x:c r="A3858" s="19" t="str">
        <x:v>GRID84</x:v>
      </x:c>
      <x:c r="B3858" s="19" t="str">
        <x:v>GRID84_report.md</x:v>
      </x:c>
      <x:c r="C3858" s="19" t="str">
        <x:v>5. 逐日期与计时</x:v>
      </x:c>
      <x:c r="D3858" s="19" t="str">
        <x:v>场景=2036-01-07_9；方法=FRAME_GUARD</x:v>
      </x:c>
      <x:c r="E3858" s="19" t="str">
        <x:v>完成/步数</x:v>
      </x:c>
      <x:c r="F3858" s="19" t="str">
        <x:v>True/2017</x:v>
      </x:c>
      <x:c r="G3858" s="19" t="str">
        <x:v>质量/成本</x:v>
      </x:c>
      <x:c r="H3858" s="19" t="str">
        <x:v>D:/Codex/GRL研究/outputs/grid84/GRID84_report.md</x:v>
      </x:c>
    </x:row>
    <x:row r="3859" ht="36" customHeight="1">
      <x:c r="A3859" s="19" t="str">
        <x:v>GRID84</x:v>
      </x:c>
      <x:c r="B3859" s="19" t="str">
        <x:v>GRID84_report.md</x:v>
      </x:c>
      <x:c r="C3859" s="19" t="str">
        <x:v>5. 逐日期与计时</x:v>
      </x:c>
      <x:c r="D3859" s="19" t="str">
        <x:v>场景=2036-01-07_9；方法=FRAME_GUARD</x:v>
      </x:c>
      <x:c r="E3859" s="19" t="str">
        <x:v>完整周成本相对FULL</x:v>
      </x:c>
      <x:c r="F3859" s="19" t="str">
        <x:v>+0.0866%</x:v>
      </x:c>
      <x:c r="G3859" s="19" t="str">
        <x:v>质量/成本</x:v>
      </x:c>
      <x:c r="H3859" s="19" t="str">
        <x:v>D:/Codex/GRL研究/outputs/grid84/GRID84_report.md</x:v>
      </x:c>
    </x:row>
    <x:row r="3860" ht="36" customHeight="1">
      <x:c r="A3860" s="19" t="str">
        <x:v>GRID84</x:v>
      </x:c>
      <x:c r="B3860" s="19" t="str">
        <x:v>GRID84_report.md</x:v>
      </x:c>
      <x:c r="C3860" s="19" t="str">
        <x:v>5. 逐日期与计时</x:v>
      </x:c>
      <x:c r="D3860" s="19" t="str">
        <x:v>场景=2036-01-07_9；方法=FRAME_GUARD</x:v>
      </x:c>
      <x:c r="E3860" s="19" t="str">
        <x:v>质量通过</x:v>
      </x:c>
      <x:c r="F3860" s="19" t="str">
        <x:v>True</x:v>
      </x:c>
      <x:c r="G3860" s="19" t="str">
        <x:v>质量/成本</x:v>
      </x:c>
      <x:c r="H3860" s="19" t="str">
        <x:v>D:/Codex/GRL研究/outputs/grid84/GRID84_report.md</x:v>
      </x:c>
    </x:row>
    <x:row r="3861" ht="36" customHeight="1">
      <x:c r="A3861" s="19" t="str">
        <x:v>GRID84</x:v>
      </x:c>
      <x:c r="B3861" s="19" t="str">
        <x:v>GRID84_report.md</x:v>
      </x:c>
      <x:c r="C3861" s="19" t="str">
        <x:v>5. 逐日期与计时</x:v>
      </x:c>
      <x:c r="D3861" s="19" t="str">
        <x:v>场景=2036-01-07_9；方法=FRAME_GUARD</x:v>
      </x:c>
      <x:c r="E3861" s="19" t="str">
        <x:v>查询</x:v>
      </x:c>
      <x:c r="F3861" s="19" t="str">
        <x:v>1432</x:v>
      </x:c>
      <x:c r="G3861" s="19" t="str">
        <x:v>速度/计算</x:v>
      </x:c>
      <x:c r="H3861" s="19" t="str">
        <x:v>D:/Codex/GRL研究/outputs/grid84/GRID84_report.md</x:v>
      </x:c>
    </x:row>
    <x:row r="3862" ht="36" customHeight="1">
      <x:c r="A3862" s="19" t="str">
        <x:v>GRID84</x:v>
      </x:c>
      <x:c r="B3862" s="19" t="str">
        <x:v>GRID84_report.md</x:v>
      </x:c>
      <x:c r="C3862" s="19" t="str">
        <x:v>5. 逐日期与计时</x:v>
      </x:c>
      <x:c r="D3862" s="19" t="str">
        <x:v>场景=2036-01-07_9；方法=FRAME_GUARD</x:v>
      </x:c>
      <x:c r="E3862" s="19" t="str">
        <x:v>控制秒均值[最小,最大]</x:v>
      </x:c>
      <x:c r="F3862" s="19" t="str">
        <x:v>83.960[81.500,86.420]</x:v>
      </x:c>
      <x:c r="G3862" s="19" t="str">
        <x:v>速度/计算</x:v>
      </x:c>
      <x:c r="H3862" s="19" t="str">
        <x:v>D:/Codex/GRL研究/outputs/grid84/GRID84_report.md</x:v>
      </x:c>
    </x:row>
    <x:row r="3863" ht="36" customHeight="1">
      <x:c r="A3863" s="19" t="str">
        <x:v>GRID84</x:v>
      </x:c>
      <x:c r="B3863" s="19" t="str">
        <x:v>GRID84_report.md</x:v>
      </x:c>
      <x:c r="C3863" s="19" t="str">
        <x:v>5. 逐日期与计时</x:v>
      </x:c>
      <x:c r="D3863" s="19" t="str">
        <x:v>场景=2036-01-07_9；方法=FRAME_GUARD</x:v>
      </x:c>
      <x:c r="E3863" s="19" t="str">
        <x:v>P95秒</x:v>
      </x:c>
      <x:c r="F3863" s="19" t="str">
        <x:v>0.0357</x:v>
      </x:c>
      <x:c r="G3863" s="19" t="str">
        <x:v>速度/计算</x:v>
      </x:c>
      <x:c r="H3863" s="19" t="str">
        <x:v>D:/Codex/GRL研究/outputs/grid84/GRID84_report.md</x:v>
      </x:c>
    </x:row>
    <x:row r="3864" ht="36" customHeight="1">
      <x:c r="A3864" s="19" t="str">
        <x:v>GRID84</x:v>
      </x:c>
      <x:c r="B3864" s="19" t="str">
        <x:v>GRID84_report.md</x:v>
      </x:c>
      <x:c r="C3864" s="19" t="str">
        <x:v>5. 逐日期与计时</x:v>
      </x:c>
      <x:c r="D3864" s="19" t="str">
        <x:v>场景=2036-01-07_9；方法=META_CONTEXT0</x:v>
      </x:c>
      <x:c r="E3864" s="19" t="str">
        <x:v>方法</x:v>
      </x:c>
      <x:c r="F3864" s="19" t="str">
        <x:v>META_CONTEXT0</x:v>
      </x:c>
      <x:c r="G3864" s="19" t="str">
        <x:v>其他/配置</x:v>
      </x:c>
      <x:c r="H3864" s="19" t="str">
        <x:v>D:/Codex/GRL研究/outputs/grid84/GRID84_report.md</x:v>
      </x:c>
    </x:row>
    <x:row r="3865" ht="36" customHeight="1">
      <x:c r="A3865" s="19" t="str">
        <x:v>GRID84</x:v>
      </x:c>
      <x:c r="B3865" s="19" t="str">
        <x:v>GRID84_report.md</x:v>
      </x:c>
      <x:c r="C3865" s="19" t="str">
        <x:v>5. 逐日期与计时</x:v>
      </x:c>
      <x:c r="D3865" s="19" t="str">
        <x:v>场景=2036-01-07_9；方法=META_CONTEXT0</x:v>
      </x:c>
      <x:c r="E3865" s="19" t="str">
        <x:v>完成/步数</x:v>
      </x:c>
      <x:c r="F3865" s="19" t="str">
        <x:v>True/2017</x:v>
      </x:c>
      <x:c r="G3865" s="19" t="str">
        <x:v>质量/成本</x:v>
      </x:c>
      <x:c r="H3865" s="19" t="str">
        <x:v>D:/Codex/GRL研究/outputs/grid84/GRID84_report.md</x:v>
      </x:c>
    </x:row>
    <x:row r="3866" ht="36" customHeight="1">
      <x:c r="A3866" s="19" t="str">
        <x:v>GRID84</x:v>
      </x:c>
      <x:c r="B3866" s="19" t="str">
        <x:v>GRID84_report.md</x:v>
      </x:c>
      <x:c r="C3866" s="19" t="str">
        <x:v>5. 逐日期与计时</x:v>
      </x:c>
      <x:c r="D3866" s="19" t="str">
        <x:v>场景=2036-01-07_9；方法=META_CONTEXT0</x:v>
      </x:c>
      <x:c r="E3866" s="19" t="str">
        <x:v>完整周成本相对FULL</x:v>
      </x:c>
      <x:c r="F3866" s="19" t="str">
        <x:v>+0.0866%</x:v>
      </x:c>
      <x:c r="G3866" s="19" t="str">
        <x:v>质量/成本</x:v>
      </x:c>
      <x:c r="H3866" s="19" t="str">
        <x:v>D:/Codex/GRL研究/outputs/grid84/GRID84_report.md</x:v>
      </x:c>
    </x:row>
    <x:row r="3867" ht="36" customHeight="1">
      <x:c r="A3867" s="19" t="str">
        <x:v>GRID84</x:v>
      </x:c>
      <x:c r="B3867" s="19" t="str">
        <x:v>GRID84_report.md</x:v>
      </x:c>
      <x:c r="C3867" s="19" t="str">
        <x:v>5. 逐日期与计时</x:v>
      </x:c>
      <x:c r="D3867" s="19" t="str">
        <x:v>场景=2036-01-07_9；方法=META_CONTEXT0</x:v>
      </x:c>
      <x:c r="E3867" s="19" t="str">
        <x:v>质量通过</x:v>
      </x:c>
      <x:c r="F3867" s="19" t="str">
        <x:v>True</x:v>
      </x:c>
      <x:c r="G3867" s="19" t="str">
        <x:v>质量/成本</x:v>
      </x:c>
      <x:c r="H3867" s="19" t="str">
        <x:v>D:/Codex/GRL研究/outputs/grid84/GRID84_report.md</x:v>
      </x:c>
    </x:row>
    <x:row r="3868" ht="36" customHeight="1">
      <x:c r="A3868" s="19" t="str">
        <x:v>GRID84</x:v>
      </x:c>
      <x:c r="B3868" s="19" t="str">
        <x:v>GRID84_report.md</x:v>
      </x:c>
      <x:c r="C3868" s="19" t="str">
        <x:v>5. 逐日期与计时</x:v>
      </x:c>
      <x:c r="D3868" s="19" t="str">
        <x:v>场景=2036-01-07_9；方法=META_CONTEXT0</x:v>
      </x:c>
      <x:c r="E3868" s="19" t="str">
        <x:v>查询</x:v>
      </x:c>
      <x:c r="F3868" s="19" t="str">
        <x:v>2624</x:v>
      </x:c>
      <x:c r="G3868" s="19" t="str">
        <x:v>速度/计算</x:v>
      </x:c>
      <x:c r="H3868" s="19" t="str">
        <x:v>D:/Codex/GRL研究/outputs/grid84/GRID84_report.md</x:v>
      </x:c>
    </x:row>
    <x:row r="3869" ht="36" customHeight="1">
      <x:c r="A3869" s="19" t="str">
        <x:v>GRID84</x:v>
      </x:c>
      <x:c r="B3869" s="19" t="str">
        <x:v>GRID84_report.md</x:v>
      </x:c>
      <x:c r="C3869" s="19" t="str">
        <x:v>5. 逐日期与计时</x:v>
      </x:c>
      <x:c r="D3869" s="19" t="str">
        <x:v>场景=2036-01-07_9；方法=META_CONTEXT0</x:v>
      </x:c>
      <x:c r="E3869" s="19" t="str">
        <x:v>控制秒均值[最小,最大]</x:v>
      </x:c>
      <x:c r="F3869" s="19" t="str">
        <x:v>87.443[84.034,90.852]</x:v>
      </x:c>
      <x:c r="G3869" s="19" t="str">
        <x:v>速度/计算</x:v>
      </x:c>
      <x:c r="H3869" s="19" t="str">
        <x:v>D:/Codex/GRL研究/outputs/grid84/GRID84_report.md</x:v>
      </x:c>
    </x:row>
    <x:row r="3870" ht="36" customHeight="1">
      <x:c r="A3870" s="19" t="str">
        <x:v>GRID84</x:v>
      </x:c>
      <x:c r="B3870" s="19" t="str">
        <x:v>GRID84_report.md</x:v>
      </x:c>
      <x:c r="C3870" s="19" t="str">
        <x:v>5. 逐日期与计时</x:v>
      </x:c>
      <x:c r="D3870" s="19" t="str">
        <x:v>场景=2036-01-07_9；方法=META_CONTEXT0</x:v>
      </x:c>
      <x:c r="E3870" s="19" t="str">
        <x:v>P95秒</x:v>
      </x:c>
      <x:c r="F3870" s="19" t="str">
        <x:v>0.0347</x:v>
      </x:c>
      <x:c r="G3870" s="19" t="str">
        <x:v>速度/计算</x:v>
      </x:c>
      <x:c r="H3870" s="19" t="str">
        <x:v>D:/Codex/GRL研究/outputs/grid84/GRID84_report.md</x:v>
      </x:c>
    </x:row>
    <x:row r="3871" ht="36" customHeight="1">
      <x:c r="A3871" s="19" t="str">
        <x:v>GRID84</x:v>
      </x:c>
      <x:c r="B3871" s="19" t="str">
        <x:v>GRID84_report.md</x:v>
      </x:c>
      <x:c r="C3871" s="19" t="str">
        <x:v>5. 逐日期与计时</x:v>
      </x:c>
      <x:c r="D3871" s="19" t="str">
        <x:v>场景=2036-01-07_9；方法=META_CONTEXT1</x:v>
      </x:c>
      <x:c r="E3871" s="19" t="str">
        <x:v>方法</x:v>
      </x:c>
      <x:c r="F3871" s="19" t="str">
        <x:v>META_CONTEXT1</x:v>
      </x:c>
      <x:c r="G3871" s="19" t="str">
        <x:v>其他/配置</x:v>
      </x:c>
      <x:c r="H3871" s="19" t="str">
        <x:v>D:/Codex/GRL研究/outputs/grid84/GRID84_report.md</x:v>
      </x:c>
    </x:row>
    <x:row r="3872" ht="36" customHeight="1">
      <x:c r="A3872" s="19" t="str">
        <x:v>GRID84</x:v>
      </x:c>
      <x:c r="B3872" s="19" t="str">
        <x:v>GRID84_report.md</x:v>
      </x:c>
      <x:c r="C3872" s="19" t="str">
        <x:v>5. 逐日期与计时</x:v>
      </x:c>
      <x:c r="D3872" s="19" t="str">
        <x:v>场景=2036-01-07_9；方法=META_CONTEXT1</x:v>
      </x:c>
      <x:c r="E3872" s="19" t="str">
        <x:v>完成/步数</x:v>
      </x:c>
      <x:c r="F3872" s="19" t="str">
        <x:v>True/2017</x:v>
      </x:c>
      <x:c r="G3872" s="19" t="str">
        <x:v>质量/成本</x:v>
      </x:c>
      <x:c r="H3872" s="19" t="str">
        <x:v>D:/Codex/GRL研究/outputs/grid84/GRID84_report.md</x:v>
      </x:c>
    </x:row>
    <x:row r="3873" ht="36" customHeight="1">
      <x:c r="A3873" s="19" t="str">
        <x:v>GRID84</x:v>
      </x:c>
      <x:c r="B3873" s="19" t="str">
        <x:v>GRID84_report.md</x:v>
      </x:c>
      <x:c r="C3873" s="19" t="str">
        <x:v>5. 逐日期与计时</x:v>
      </x:c>
      <x:c r="D3873" s="19" t="str">
        <x:v>场景=2036-01-07_9；方法=META_CONTEXT1</x:v>
      </x:c>
      <x:c r="E3873" s="19" t="str">
        <x:v>完整周成本相对FULL</x:v>
      </x:c>
      <x:c r="F3873" s="19" t="str">
        <x:v>+0.0866%</x:v>
      </x:c>
      <x:c r="G3873" s="19" t="str">
        <x:v>质量/成本</x:v>
      </x:c>
      <x:c r="H3873" s="19" t="str">
        <x:v>D:/Codex/GRL研究/outputs/grid84/GRID84_report.md</x:v>
      </x:c>
    </x:row>
    <x:row r="3874" ht="36" customHeight="1">
      <x:c r="A3874" s="19" t="str">
        <x:v>GRID84</x:v>
      </x:c>
      <x:c r="B3874" s="19" t="str">
        <x:v>GRID84_report.md</x:v>
      </x:c>
      <x:c r="C3874" s="19" t="str">
        <x:v>5. 逐日期与计时</x:v>
      </x:c>
      <x:c r="D3874" s="19" t="str">
        <x:v>场景=2036-01-07_9；方法=META_CONTEXT1</x:v>
      </x:c>
      <x:c r="E3874" s="19" t="str">
        <x:v>质量通过</x:v>
      </x:c>
      <x:c r="F3874" s="19" t="str">
        <x:v>True</x:v>
      </x:c>
      <x:c r="G3874" s="19" t="str">
        <x:v>质量/成本</x:v>
      </x:c>
      <x:c r="H3874" s="19" t="str">
        <x:v>D:/Codex/GRL研究/outputs/grid84/GRID84_report.md</x:v>
      </x:c>
    </x:row>
    <x:row r="3875" ht="36" customHeight="1">
      <x:c r="A3875" s="19" t="str">
        <x:v>GRID84</x:v>
      </x:c>
      <x:c r="B3875" s="19" t="str">
        <x:v>GRID84_report.md</x:v>
      </x:c>
      <x:c r="C3875" s="19" t="str">
        <x:v>5. 逐日期与计时</x:v>
      </x:c>
      <x:c r="D3875" s="19" t="str">
        <x:v>场景=2036-01-07_9；方法=META_CONTEXT1</x:v>
      </x:c>
      <x:c r="E3875" s="19" t="str">
        <x:v>查询</x:v>
      </x:c>
      <x:c r="F3875" s="19" t="str">
        <x:v>1432</x:v>
      </x:c>
      <x:c r="G3875" s="19" t="str">
        <x:v>速度/计算</x:v>
      </x:c>
      <x:c r="H3875" s="19" t="str">
        <x:v>D:/Codex/GRL研究/outputs/grid84/GRID84_report.md</x:v>
      </x:c>
    </x:row>
    <x:row r="3876" ht="36" customHeight="1">
      <x:c r="A3876" s="19" t="str">
        <x:v>GRID84</x:v>
      </x:c>
      <x:c r="B3876" s="19" t="str">
        <x:v>GRID84_report.md</x:v>
      </x:c>
      <x:c r="C3876" s="19" t="str">
        <x:v>5. 逐日期与计时</x:v>
      </x:c>
      <x:c r="D3876" s="19" t="str">
        <x:v>场景=2036-01-07_9；方法=META_CONTEXT1</x:v>
      </x:c>
      <x:c r="E3876" s="19" t="str">
        <x:v>控制秒均值[最小,最大]</x:v>
      </x:c>
      <x:c r="F3876" s="19" t="str">
        <x:v>83.432[80.782,86.083]</x:v>
      </x:c>
      <x:c r="G3876" s="19" t="str">
        <x:v>速度/计算</x:v>
      </x:c>
      <x:c r="H3876" s="19" t="str">
        <x:v>D:/Codex/GRL研究/outputs/grid84/GRID84_report.md</x:v>
      </x:c>
    </x:row>
    <x:row r="3877" ht="36" customHeight="1">
      <x:c r="A3877" s="19" t="str">
        <x:v>GRID84</x:v>
      </x:c>
      <x:c r="B3877" s="19" t="str">
        <x:v>GRID84_report.md</x:v>
      </x:c>
      <x:c r="C3877" s="19" t="str">
        <x:v>5. 逐日期与计时</x:v>
      </x:c>
      <x:c r="D3877" s="19" t="str">
        <x:v>场景=2036-01-07_9；方法=META_CONTEXT1</x:v>
      </x:c>
      <x:c r="E3877" s="19" t="str">
        <x:v>P95秒</x:v>
      </x:c>
      <x:c r="F3877" s="19" t="str">
        <x:v>0.0347</x:v>
      </x:c>
      <x:c r="G3877" s="19" t="str">
        <x:v>速度/计算</x:v>
      </x:c>
      <x:c r="H3877" s="19" t="str">
        <x:v>D:/Codex/GRL研究/outputs/grid84/GRID84_report.md</x:v>
      </x:c>
    </x:row>
    <x:row r="3878" ht="36" customHeight="1">
      <x:c r="A3878" s="19" t="str">
        <x:v>GRID84</x:v>
      </x:c>
      <x:c r="B3878" s="19" t="str">
        <x:v>GRID84_report.md</x:v>
      </x:c>
      <x:c r="C3878" s="19" t="str">
        <x:v>5. 逐日期与计时</x:v>
      </x:c>
      <x:c r="D3878" s="19" t="str">
        <x:v>场景=2036-01-07_9；方法=META_CONTEXT2</x:v>
      </x:c>
      <x:c r="E3878" s="19" t="str">
        <x:v>方法</x:v>
      </x:c>
      <x:c r="F3878" s="19" t="str">
        <x:v>META_CONTEXT2</x:v>
      </x:c>
      <x:c r="G3878" s="19" t="str">
        <x:v>其他/配置</x:v>
      </x:c>
      <x:c r="H3878" s="19" t="str">
        <x:v>D:/Codex/GRL研究/outputs/grid84/GRID84_report.md</x:v>
      </x:c>
    </x:row>
    <x:row r="3879" ht="36" customHeight="1">
      <x:c r="A3879" s="19" t="str">
        <x:v>GRID84</x:v>
      </x:c>
      <x:c r="B3879" s="19" t="str">
        <x:v>GRID84_report.md</x:v>
      </x:c>
      <x:c r="C3879" s="19" t="str">
        <x:v>5. 逐日期与计时</x:v>
      </x:c>
      <x:c r="D3879" s="19" t="str">
        <x:v>场景=2036-01-07_9；方法=META_CONTEXT2</x:v>
      </x:c>
      <x:c r="E3879" s="19" t="str">
        <x:v>完成/步数</x:v>
      </x:c>
      <x:c r="F3879" s="19" t="str">
        <x:v>True/2017</x:v>
      </x:c>
      <x:c r="G3879" s="19" t="str">
        <x:v>质量/成本</x:v>
      </x:c>
      <x:c r="H3879" s="19" t="str">
        <x:v>D:/Codex/GRL研究/outputs/grid84/GRID84_report.md</x:v>
      </x:c>
    </x:row>
    <x:row r="3880" ht="36" customHeight="1">
      <x:c r="A3880" s="19" t="str">
        <x:v>GRID84</x:v>
      </x:c>
      <x:c r="B3880" s="19" t="str">
        <x:v>GRID84_report.md</x:v>
      </x:c>
      <x:c r="C3880" s="19" t="str">
        <x:v>5. 逐日期与计时</x:v>
      </x:c>
      <x:c r="D3880" s="19" t="str">
        <x:v>场景=2036-01-07_9；方法=META_CONTEXT2</x:v>
      </x:c>
      <x:c r="E3880" s="19" t="str">
        <x:v>完整周成本相对FULL</x:v>
      </x:c>
      <x:c r="F3880" s="19" t="str">
        <x:v>+0.0866%</x:v>
      </x:c>
      <x:c r="G3880" s="19" t="str">
        <x:v>质量/成本</x:v>
      </x:c>
      <x:c r="H3880" s="19" t="str">
        <x:v>D:/Codex/GRL研究/outputs/grid84/GRID84_report.md</x:v>
      </x:c>
    </x:row>
    <x:row r="3881" ht="36" customHeight="1">
      <x:c r="A3881" s="19" t="str">
        <x:v>GRID84</x:v>
      </x:c>
      <x:c r="B3881" s="19" t="str">
        <x:v>GRID84_report.md</x:v>
      </x:c>
      <x:c r="C3881" s="19" t="str">
        <x:v>5. 逐日期与计时</x:v>
      </x:c>
      <x:c r="D3881" s="19" t="str">
        <x:v>场景=2036-01-07_9；方法=META_CONTEXT2</x:v>
      </x:c>
      <x:c r="E3881" s="19" t="str">
        <x:v>质量通过</x:v>
      </x:c>
      <x:c r="F3881" s="19" t="str">
        <x:v>True</x:v>
      </x:c>
      <x:c r="G3881" s="19" t="str">
        <x:v>质量/成本</x:v>
      </x:c>
      <x:c r="H3881" s="19" t="str">
        <x:v>D:/Codex/GRL研究/outputs/grid84/GRID84_report.md</x:v>
      </x:c>
    </x:row>
    <x:row r="3882" ht="36" customHeight="1">
      <x:c r="A3882" s="19" t="str">
        <x:v>GRID84</x:v>
      </x:c>
      <x:c r="B3882" s="19" t="str">
        <x:v>GRID84_report.md</x:v>
      </x:c>
      <x:c r="C3882" s="19" t="str">
        <x:v>5. 逐日期与计时</x:v>
      </x:c>
      <x:c r="D3882" s="19" t="str">
        <x:v>场景=2036-01-07_9；方法=META_CONTEXT2</x:v>
      </x:c>
      <x:c r="E3882" s="19" t="str">
        <x:v>查询</x:v>
      </x:c>
      <x:c r="F3882" s="19" t="str">
        <x:v>1303</x:v>
      </x:c>
      <x:c r="G3882" s="19" t="str">
        <x:v>速度/计算</x:v>
      </x:c>
      <x:c r="H3882" s="19" t="str">
        <x:v>D:/Codex/GRL研究/outputs/grid84/GRID84_report.md</x:v>
      </x:c>
    </x:row>
    <x:row r="3883" ht="36" customHeight="1">
      <x:c r="A3883" s="19" t="str">
        <x:v>GRID84</x:v>
      </x:c>
      <x:c r="B3883" s="19" t="str">
        <x:v>GRID84_report.md</x:v>
      </x:c>
      <x:c r="C3883" s="19" t="str">
        <x:v>5. 逐日期与计时</x:v>
      </x:c>
      <x:c r="D3883" s="19" t="str">
        <x:v>场景=2036-01-07_9；方法=META_CONTEXT2</x:v>
      </x:c>
      <x:c r="E3883" s="19" t="str">
        <x:v>控制秒均值[最小,最大]</x:v>
      </x:c>
      <x:c r="F3883" s="19" t="str">
        <x:v>84.082[79.987,88.178]</x:v>
      </x:c>
      <x:c r="G3883" s="19" t="str">
        <x:v>速度/计算</x:v>
      </x:c>
      <x:c r="H3883" s="19" t="str">
        <x:v>D:/Codex/GRL研究/outputs/grid84/GRID84_report.md</x:v>
      </x:c>
    </x:row>
    <x:row r="3884" ht="36" customHeight="1">
      <x:c r="A3884" s="19" t="str">
        <x:v>GRID84</x:v>
      </x:c>
      <x:c r="B3884" s="19" t="str">
        <x:v>GRID84_report.md</x:v>
      </x:c>
      <x:c r="C3884" s="19" t="str">
        <x:v>5. 逐日期与计时</x:v>
      </x:c>
      <x:c r="D3884" s="19" t="str">
        <x:v>场景=2036-01-07_9；方法=META_CONTEXT2</x:v>
      </x:c>
      <x:c r="E3884" s="19" t="str">
        <x:v>P95秒</x:v>
      </x:c>
      <x:c r="F3884" s="19" t="str">
        <x:v>0.0347</x:v>
      </x:c>
      <x:c r="G3884" s="19" t="str">
        <x:v>速度/计算</x:v>
      </x:c>
      <x:c r="H3884" s="19" t="str">
        <x:v>D:/Codex/GRL研究/outputs/grid84/GRID84_report.md</x:v>
      </x:c>
    </x:row>
    <x:row r="3885" ht="36" customHeight="1">
      <x:c r="A3885" s="19" t="str">
        <x:v>GRID84</x:v>
      </x:c>
      <x:c r="B3885" s="19" t="str">
        <x:v>GRID84_report.md</x:v>
      </x:c>
      <x:c r="C3885" s="19" t="str">
        <x:v>5. 逐日期与计时</x:v>
      </x:c>
      <x:c r="D3885" s="19" t="str">
        <x:v>场景=2036-01-07_9；方法=META_CONTEXT3</x:v>
      </x:c>
      <x:c r="E3885" s="19" t="str">
        <x:v>方法</x:v>
      </x:c>
      <x:c r="F3885" s="19" t="str">
        <x:v>META_CONTEXT3</x:v>
      </x:c>
      <x:c r="G3885" s="19" t="str">
        <x:v>其他/配置</x:v>
      </x:c>
      <x:c r="H3885" s="19" t="str">
        <x:v>D:/Codex/GRL研究/outputs/grid84/GRID84_report.md</x:v>
      </x:c>
    </x:row>
    <x:row r="3886" ht="36" customHeight="1">
      <x:c r="A3886" s="19" t="str">
        <x:v>GRID84</x:v>
      </x:c>
      <x:c r="B3886" s="19" t="str">
        <x:v>GRID84_report.md</x:v>
      </x:c>
      <x:c r="C3886" s="19" t="str">
        <x:v>5. 逐日期与计时</x:v>
      </x:c>
      <x:c r="D3886" s="19" t="str">
        <x:v>场景=2036-01-07_9；方法=META_CONTEXT3</x:v>
      </x:c>
      <x:c r="E3886" s="19" t="str">
        <x:v>完成/步数</x:v>
      </x:c>
      <x:c r="F3886" s="19" t="str">
        <x:v>True/2017</x:v>
      </x:c>
      <x:c r="G3886" s="19" t="str">
        <x:v>质量/成本</x:v>
      </x:c>
      <x:c r="H3886" s="19" t="str">
        <x:v>D:/Codex/GRL研究/outputs/grid84/GRID84_report.md</x:v>
      </x:c>
    </x:row>
    <x:row r="3887" ht="36" customHeight="1">
      <x:c r="A3887" s="19" t="str">
        <x:v>GRID84</x:v>
      </x:c>
      <x:c r="B3887" s="19" t="str">
        <x:v>GRID84_report.md</x:v>
      </x:c>
      <x:c r="C3887" s="19" t="str">
        <x:v>5. 逐日期与计时</x:v>
      </x:c>
      <x:c r="D3887" s="19" t="str">
        <x:v>场景=2036-01-07_9；方法=META_CONTEXT3</x:v>
      </x:c>
      <x:c r="E3887" s="19" t="str">
        <x:v>完整周成本相对FULL</x:v>
      </x:c>
      <x:c r="F3887" s="19" t="str">
        <x:v>+0.0866%</x:v>
      </x:c>
      <x:c r="G3887" s="19" t="str">
        <x:v>质量/成本</x:v>
      </x:c>
      <x:c r="H3887" s="19" t="str">
        <x:v>D:/Codex/GRL研究/outputs/grid84/GRID84_report.md</x:v>
      </x:c>
    </x:row>
    <x:row r="3888" ht="36" customHeight="1">
      <x:c r="A3888" s="19" t="str">
        <x:v>GRID84</x:v>
      </x:c>
      <x:c r="B3888" s="19" t="str">
        <x:v>GRID84_report.md</x:v>
      </x:c>
      <x:c r="C3888" s="19" t="str">
        <x:v>5. 逐日期与计时</x:v>
      </x:c>
      <x:c r="D3888" s="19" t="str">
        <x:v>场景=2036-01-07_9；方法=META_CONTEXT3</x:v>
      </x:c>
      <x:c r="E3888" s="19" t="str">
        <x:v>质量通过</x:v>
      </x:c>
      <x:c r="F3888" s="19" t="str">
        <x:v>True</x:v>
      </x:c>
      <x:c r="G3888" s="19" t="str">
        <x:v>质量/成本</x:v>
      </x:c>
      <x:c r="H3888" s="19" t="str">
        <x:v>D:/Codex/GRL研究/outputs/grid84/GRID84_report.md</x:v>
      </x:c>
    </x:row>
    <x:row r="3889" ht="36" customHeight="1">
      <x:c r="A3889" s="19" t="str">
        <x:v>GRID84</x:v>
      </x:c>
      <x:c r="B3889" s="19" t="str">
        <x:v>GRID84_report.md</x:v>
      </x:c>
      <x:c r="C3889" s="19" t="str">
        <x:v>5. 逐日期与计时</x:v>
      </x:c>
      <x:c r="D3889" s="19" t="str">
        <x:v>场景=2036-01-07_9；方法=META_CONTEXT3</x:v>
      </x:c>
      <x:c r="E3889" s="19" t="str">
        <x:v>查询</x:v>
      </x:c>
      <x:c r="F3889" s="19" t="str">
        <x:v>1302</x:v>
      </x:c>
      <x:c r="G3889" s="19" t="str">
        <x:v>速度/计算</x:v>
      </x:c>
      <x:c r="H3889" s="19" t="str">
        <x:v>D:/Codex/GRL研究/outputs/grid84/GRID84_report.md</x:v>
      </x:c>
    </x:row>
    <x:row r="3890" ht="36" customHeight="1">
      <x:c r="A3890" s="19" t="str">
        <x:v>GRID84</x:v>
      </x:c>
      <x:c r="B3890" s="19" t="str">
        <x:v>GRID84_report.md</x:v>
      </x:c>
      <x:c r="C3890" s="19" t="str">
        <x:v>5. 逐日期与计时</x:v>
      </x:c>
      <x:c r="D3890" s="19" t="str">
        <x:v>场景=2036-01-07_9；方法=META_CONTEXT3</x:v>
      </x:c>
      <x:c r="E3890" s="19" t="str">
        <x:v>控制秒均值[最小,最大]</x:v>
      </x:c>
      <x:c r="F3890" s="19" t="str">
        <x:v>83.844[79.824,87.864]</x:v>
      </x:c>
      <x:c r="G3890" s="19" t="str">
        <x:v>速度/计算</x:v>
      </x:c>
      <x:c r="H3890" s="19" t="str">
        <x:v>D:/Codex/GRL研究/outputs/grid84/GRID84_report.md</x:v>
      </x:c>
    </x:row>
    <x:row r="3891" ht="36" customHeight="1">
      <x:c r="A3891" s="19" t="str">
        <x:v>GRID84</x:v>
      </x:c>
      <x:c r="B3891" s="19" t="str">
        <x:v>GRID84_report.md</x:v>
      </x:c>
      <x:c r="C3891" s="19" t="str">
        <x:v>5. 逐日期与计时</x:v>
      </x:c>
      <x:c r="D3891" s="19" t="str">
        <x:v>场景=2036-01-07_9；方法=META_CONTEXT3</x:v>
      </x:c>
      <x:c r="E3891" s="19" t="str">
        <x:v>P95秒</x:v>
      </x:c>
      <x:c r="F3891" s="19" t="str">
        <x:v>0.0345</x:v>
      </x:c>
      <x:c r="G3891" s="19" t="str">
        <x:v>速度/计算</x:v>
      </x:c>
      <x:c r="H3891" s="19" t="str">
        <x:v>D:/Codex/GRL研究/outputs/grid84/GRID84_report.md</x:v>
      </x:c>
    </x:row>
    <x:row r="3892" ht="36" customHeight="1">
      <x:c r="A3892" s="19" t="str">
        <x:v>GRID84</x:v>
      </x:c>
      <x:c r="B3892" s="19" t="str">
        <x:v>GRID84_report.md</x:v>
      </x:c>
      <x:c r="C3892" s="19" t="str">
        <x:v>5. 逐日期与计时</x:v>
      </x:c>
      <x:c r="D3892" s="19" t="str">
        <x:v>场景=2036-01-07_9；方法=META_CONTEXT4</x:v>
      </x:c>
      <x:c r="E3892" s="19" t="str">
        <x:v>方法</x:v>
      </x:c>
      <x:c r="F3892" s="19" t="str">
        <x:v>META_CONTEXT4</x:v>
      </x:c>
      <x:c r="G3892" s="19" t="str">
        <x:v>其他/配置</x:v>
      </x:c>
      <x:c r="H3892" s="19" t="str">
        <x:v>D:/Codex/GRL研究/outputs/grid84/GRID84_report.md</x:v>
      </x:c>
    </x:row>
    <x:row r="3893" ht="36" customHeight="1">
      <x:c r="A3893" s="19" t="str">
        <x:v>GRID84</x:v>
      </x:c>
      <x:c r="B3893" s="19" t="str">
        <x:v>GRID84_report.md</x:v>
      </x:c>
      <x:c r="C3893" s="19" t="str">
        <x:v>5. 逐日期与计时</x:v>
      </x:c>
      <x:c r="D3893" s="19" t="str">
        <x:v>场景=2036-01-07_9；方法=META_CONTEXT4</x:v>
      </x:c>
      <x:c r="E3893" s="19" t="str">
        <x:v>完成/步数</x:v>
      </x:c>
      <x:c r="F3893" s="19" t="str">
        <x:v>True/2017</x:v>
      </x:c>
      <x:c r="G3893" s="19" t="str">
        <x:v>质量/成本</x:v>
      </x:c>
      <x:c r="H3893" s="19" t="str">
        <x:v>D:/Codex/GRL研究/outputs/grid84/GRID84_report.md</x:v>
      </x:c>
    </x:row>
    <x:row r="3894" ht="36" customHeight="1">
      <x:c r="A3894" s="19" t="str">
        <x:v>GRID84</x:v>
      </x:c>
      <x:c r="B3894" s="19" t="str">
        <x:v>GRID84_report.md</x:v>
      </x:c>
      <x:c r="C3894" s="19" t="str">
        <x:v>5. 逐日期与计时</x:v>
      </x:c>
      <x:c r="D3894" s="19" t="str">
        <x:v>场景=2036-01-07_9；方法=META_CONTEXT4</x:v>
      </x:c>
      <x:c r="E3894" s="19" t="str">
        <x:v>完整周成本相对FULL</x:v>
      </x:c>
      <x:c r="F3894" s="19" t="str">
        <x:v>+0.0866%</x:v>
      </x:c>
      <x:c r="G3894" s="19" t="str">
        <x:v>质量/成本</x:v>
      </x:c>
      <x:c r="H3894" s="19" t="str">
        <x:v>D:/Codex/GRL研究/outputs/grid84/GRID84_report.md</x:v>
      </x:c>
    </x:row>
    <x:row r="3895" ht="36" customHeight="1">
      <x:c r="A3895" s="19" t="str">
        <x:v>GRID84</x:v>
      </x:c>
      <x:c r="B3895" s="19" t="str">
        <x:v>GRID84_report.md</x:v>
      </x:c>
      <x:c r="C3895" s="19" t="str">
        <x:v>5. 逐日期与计时</x:v>
      </x:c>
      <x:c r="D3895" s="19" t="str">
        <x:v>场景=2036-01-07_9；方法=META_CONTEXT4</x:v>
      </x:c>
      <x:c r="E3895" s="19" t="str">
        <x:v>质量通过</x:v>
      </x:c>
      <x:c r="F3895" s="19" t="str">
        <x:v>True</x:v>
      </x:c>
      <x:c r="G3895" s="19" t="str">
        <x:v>质量/成本</x:v>
      </x:c>
      <x:c r="H3895" s="19" t="str">
        <x:v>D:/Codex/GRL研究/outputs/grid84/GRID84_report.md</x:v>
      </x:c>
    </x:row>
    <x:row r="3896" ht="36" customHeight="1">
      <x:c r="A3896" s="19" t="str">
        <x:v>GRID84</x:v>
      </x:c>
      <x:c r="B3896" s="19" t="str">
        <x:v>GRID84_report.md</x:v>
      </x:c>
      <x:c r="C3896" s="19" t="str">
        <x:v>5. 逐日期与计时</x:v>
      </x:c>
      <x:c r="D3896" s="19" t="str">
        <x:v>场景=2036-01-07_9；方法=META_CONTEXT4</x:v>
      </x:c>
      <x:c r="E3896" s="19" t="str">
        <x:v>查询</x:v>
      </x:c>
      <x:c r="F3896" s="19" t="str">
        <x:v>1359</x:v>
      </x:c>
      <x:c r="G3896" s="19" t="str">
        <x:v>速度/计算</x:v>
      </x:c>
      <x:c r="H3896" s="19" t="str">
        <x:v>D:/Codex/GRL研究/outputs/grid84/GRID84_report.md</x:v>
      </x:c>
    </x:row>
    <x:row r="3897" ht="36" customHeight="1">
      <x:c r="A3897" s="19" t="str">
        <x:v>GRID84</x:v>
      </x:c>
      <x:c r="B3897" s="19" t="str">
        <x:v>GRID84_report.md</x:v>
      </x:c>
      <x:c r="C3897" s="19" t="str">
        <x:v>5. 逐日期与计时</x:v>
      </x:c>
      <x:c r="D3897" s="19" t="str">
        <x:v>场景=2036-01-07_9；方法=META_CONTEXT4</x:v>
      </x:c>
      <x:c r="E3897" s="19" t="str">
        <x:v>控制秒均值[最小,最大]</x:v>
      </x:c>
      <x:c r="F3897" s="19" t="str">
        <x:v>83.681[80.981,86.381]</x:v>
      </x:c>
      <x:c r="G3897" s="19" t="str">
        <x:v>速度/计算</x:v>
      </x:c>
      <x:c r="H3897" s="19" t="str">
        <x:v>D:/Codex/GRL研究/outputs/grid84/GRID84_report.md</x:v>
      </x:c>
    </x:row>
    <x:row r="3898" ht="36" customHeight="1">
      <x:c r="A3898" s="19" t="str">
        <x:v>GRID84</x:v>
      </x:c>
      <x:c r="B3898" s="19" t="str">
        <x:v>GRID84_report.md</x:v>
      </x:c>
      <x:c r="C3898" s="19" t="str">
        <x:v>5. 逐日期与计时</x:v>
      </x:c>
      <x:c r="D3898" s="19" t="str">
        <x:v>场景=2036-01-07_9；方法=META_CONTEXT4</x:v>
      </x:c>
      <x:c r="E3898" s="19" t="str">
        <x:v>P95秒</x:v>
      </x:c>
      <x:c r="F3898" s="19" t="str">
        <x:v>0.0349</x:v>
      </x:c>
      <x:c r="G3898" s="19" t="str">
        <x:v>速度/计算</x:v>
      </x:c>
      <x:c r="H3898" s="19" t="str">
        <x:v>D:/Codex/GRL研究/outputs/grid84/GRID84_report.md</x:v>
      </x:c>
    </x:row>
    <x:row r="3899" ht="36" customHeight="1">
      <x:c r="A3899" s="19" t="str">
        <x:v>GRID84</x:v>
      </x:c>
      <x:c r="B3899" s="19" t="str">
        <x:v>GRID84_report.md</x:v>
      </x:c>
      <x:c r="C3899" s="19" t="str">
        <x:v>5. 逐日期与计时</x:v>
      </x:c>
      <x:c r="D3899" s="19" t="str">
        <x:v>场景=2036-03-03_9；方法=FRAME_GUARD</x:v>
      </x:c>
      <x:c r="E3899" s="19" t="str">
        <x:v>方法</x:v>
      </x:c>
      <x:c r="F3899" s="19" t="str">
        <x:v>FRAME_GUARD</x:v>
      </x:c>
      <x:c r="G3899" s="19" t="str">
        <x:v>其他/配置</x:v>
      </x:c>
      <x:c r="H3899" s="19" t="str">
        <x:v>D:/Codex/GRL研究/outputs/grid84/GRID84_report.md</x:v>
      </x:c>
    </x:row>
    <x:row r="3900" ht="36" customHeight="1">
      <x:c r="A3900" s="19" t="str">
        <x:v>GRID84</x:v>
      </x:c>
      <x:c r="B3900" s="19" t="str">
        <x:v>GRID84_report.md</x:v>
      </x:c>
      <x:c r="C3900" s="19" t="str">
        <x:v>5. 逐日期与计时</x:v>
      </x:c>
      <x:c r="D3900" s="19" t="str">
        <x:v>场景=2036-03-03_9；方法=FRAME_GUARD</x:v>
      </x:c>
      <x:c r="E3900" s="19" t="str">
        <x:v>完成/步数</x:v>
      </x:c>
      <x:c r="F3900" s="19" t="str">
        <x:v>False/1720</x:v>
      </x:c>
      <x:c r="G3900" s="19" t="str">
        <x:v>质量/成本</x:v>
      </x:c>
      <x:c r="H3900" s="19" t="str">
        <x:v>D:/Codex/GRL研究/outputs/grid84/GRID84_report.md</x:v>
      </x:c>
    </x:row>
    <x:row r="3901" ht="36" customHeight="1">
      <x:c r="A3901" s="19" t="str">
        <x:v>GRID84</x:v>
      </x:c>
      <x:c r="B3901" s="19" t="str">
        <x:v>GRID84_report.md</x:v>
      </x:c>
      <x:c r="C3901" s="19" t="str">
        <x:v>5. 逐日期与计时</x:v>
      </x:c>
      <x:c r="D3901" s="19" t="str">
        <x:v>场景=2036-03-03_9；方法=FRAME_GUARD</x:v>
      </x:c>
      <x:c r="E3901" s="19" t="str">
        <x:v>完整周成本相对FULL</x:v>
      </x:c>
      <x:c r="F3901" s="19" t="str">
        <x:v>未双方完成</x:v>
      </x:c>
      <x:c r="G3901" s="19" t="str">
        <x:v>质量/成本</x:v>
      </x:c>
      <x:c r="H3901" s="19" t="str">
        <x:v>D:/Codex/GRL研究/outputs/grid84/GRID84_report.md</x:v>
      </x:c>
    </x:row>
    <x:row r="3902" ht="36" customHeight="1">
      <x:c r="A3902" s="19" t="str">
        <x:v>GRID84</x:v>
      </x:c>
      <x:c r="B3902" s="19" t="str">
        <x:v>GRID84_report.md</x:v>
      </x:c>
      <x:c r="C3902" s="19" t="str">
        <x:v>5. 逐日期与计时</x:v>
      </x:c>
      <x:c r="D3902" s="19" t="str">
        <x:v>场景=2036-03-03_9；方法=FRAME_GUARD</x:v>
      </x:c>
      <x:c r="E3902" s="19" t="str">
        <x:v>质量通过</x:v>
      </x:c>
      <x:c r="F3902" s="19" t="str">
        <x:v>True</x:v>
      </x:c>
      <x:c r="G3902" s="19" t="str">
        <x:v>质量/成本</x:v>
      </x:c>
      <x:c r="H3902" s="19" t="str">
        <x:v>D:/Codex/GRL研究/outputs/grid84/GRID84_report.md</x:v>
      </x:c>
    </x:row>
    <x:row r="3903" ht="36" customHeight="1">
      <x:c r="A3903" s="19" t="str">
        <x:v>GRID84</x:v>
      </x:c>
      <x:c r="B3903" s="19" t="str">
        <x:v>GRID84_report.md</x:v>
      </x:c>
      <x:c r="C3903" s="19" t="str">
        <x:v>5. 逐日期与计时</x:v>
      </x:c>
      <x:c r="D3903" s="19" t="str">
        <x:v>场景=2036-03-03_9；方法=FRAME_GUARD</x:v>
      </x:c>
      <x:c r="E3903" s="19" t="str">
        <x:v>查询</x:v>
      </x:c>
      <x:c r="F3903" s="19" t="str">
        <x:v>5109</x:v>
      </x:c>
      <x:c r="G3903" s="19" t="str">
        <x:v>速度/计算</x:v>
      </x:c>
      <x:c r="H3903" s="19" t="str">
        <x:v>D:/Codex/GRL研究/outputs/grid84/GRID84_report.md</x:v>
      </x:c>
    </x:row>
    <x:row r="3904" ht="36" customHeight="1">
      <x:c r="A3904" s="19" t="str">
        <x:v>GRID84</x:v>
      </x:c>
      <x:c r="B3904" s="19" t="str">
        <x:v>GRID84_report.md</x:v>
      </x:c>
      <x:c r="C3904" s="19" t="str">
        <x:v>5. 逐日期与计时</x:v>
      </x:c>
      <x:c r="D3904" s="19" t="str">
        <x:v>场景=2036-03-03_9；方法=FRAME_GUARD</x:v>
      </x:c>
      <x:c r="E3904" s="19" t="str">
        <x:v>控制秒均值[最小,最大]</x:v>
      </x:c>
      <x:c r="F3904" s="19" t="str">
        <x:v>68.870[68.581,69.159]</x:v>
      </x:c>
      <x:c r="G3904" s="19" t="str">
        <x:v>速度/计算</x:v>
      </x:c>
      <x:c r="H3904" s="19" t="str">
        <x:v>D:/Codex/GRL研究/outputs/grid84/GRID84_report.md</x:v>
      </x:c>
    </x:row>
    <x:row r="3905" ht="36" customHeight="1">
      <x:c r="A3905" s="19" t="str">
        <x:v>GRID84</x:v>
      </x:c>
      <x:c r="B3905" s="19" t="str">
        <x:v>GRID84_report.md</x:v>
      </x:c>
      <x:c r="C3905" s="19" t="str">
        <x:v>5. 逐日期与计时</x:v>
      </x:c>
      <x:c r="D3905" s="19" t="str">
        <x:v>场景=2036-03-03_9；方法=FRAME_GUARD</x:v>
      </x:c>
      <x:c r="E3905" s="19" t="str">
        <x:v>P95秒</x:v>
      </x:c>
      <x:c r="F3905" s="19" t="str">
        <x:v>0.0348</x:v>
      </x:c>
      <x:c r="G3905" s="19" t="str">
        <x:v>速度/计算</x:v>
      </x:c>
      <x:c r="H3905" s="19" t="str">
        <x:v>D:/Codex/GRL研究/outputs/grid84/GRID84_report.md</x:v>
      </x:c>
    </x:row>
    <x:row r="3906" ht="36" customHeight="1">
      <x:c r="A3906" s="19" t="str">
        <x:v>GRID84</x:v>
      </x:c>
      <x:c r="B3906" s="19" t="str">
        <x:v>GRID84_report.md</x:v>
      </x:c>
      <x:c r="C3906" s="19" t="str">
        <x:v>5. 逐日期与计时</x:v>
      </x:c>
      <x:c r="D3906" s="19" t="str">
        <x:v>场景=2036-03-03_9；方法=META_CONTEXT0</x:v>
      </x:c>
      <x:c r="E3906" s="19" t="str">
        <x:v>方法</x:v>
      </x:c>
      <x:c r="F3906" s="19" t="str">
        <x:v>META_CONTEXT0</x:v>
      </x:c>
      <x:c r="G3906" s="19" t="str">
        <x:v>其他/配置</x:v>
      </x:c>
      <x:c r="H3906" s="19" t="str">
        <x:v>D:/Codex/GRL研究/outputs/grid84/GRID84_report.md</x:v>
      </x:c>
    </x:row>
    <x:row r="3907" ht="36" customHeight="1">
      <x:c r="A3907" s="19" t="str">
        <x:v>GRID84</x:v>
      </x:c>
      <x:c r="B3907" s="19" t="str">
        <x:v>GRID84_report.md</x:v>
      </x:c>
      <x:c r="C3907" s="19" t="str">
        <x:v>5. 逐日期与计时</x:v>
      </x:c>
      <x:c r="D3907" s="19" t="str">
        <x:v>场景=2036-03-03_9；方法=META_CONTEXT0</x:v>
      </x:c>
      <x:c r="E3907" s="19" t="str">
        <x:v>完成/步数</x:v>
      </x:c>
      <x:c r="F3907" s="19" t="str">
        <x:v>False/1720</x:v>
      </x:c>
      <x:c r="G3907" s="19" t="str">
        <x:v>质量/成本</x:v>
      </x:c>
      <x:c r="H3907" s="19" t="str">
        <x:v>D:/Codex/GRL研究/outputs/grid84/GRID84_report.md</x:v>
      </x:c>
    </x:row>
    <x:row r="3908" ht="36" customHeight="1">
      <x:c r="A3908" s="19" t="str">
        <x:v>GRID84</x:v>
      </x:c>
      <x:c r="B3908" s="19" t="str">
        <x:v>GRID84_report.md</x:v>
      </x:c>
      <x:c r="C3908" s="19" t="str">
        <x:v>5. 逐日期与计时</x:v>
      </x:c>
      <x:c r="D3908" s="19" t="str">
        <x:v>场景=2036-03-03_9；方法=META_CONTEXT0</x:v>
      </x:c>
      <x:c r="E3908" s="19" t="str">
        <x:v>完整周成本相对FULL</x:v>
      </x:c>
      <x:c r="F3908" s="19" t="str">
        <x:v>未双方完成</x:v>
      </x:c>
      <x:c r="G3908" s="19" t="str">
        <x:v>质量/成本</x:v>
      </x:c>
      <x:c r="H3908" s="19" t="str">
        <x:v>D:/Codex/GRL研究/outputs/grid84/GRID84_report.md</x:v>
      </x:c>
    </x:row>
    <x:row r="3909" ht="36" customHeight="1">
      <x:c r="A3909" s="19" t="str">
        <x:v>GRID84</x:v>
      </x:c>
      <x:c r="B3909" s="19" t="str">
        <x:v>GRID84_report.md</x:v>
      </x:c>
      <x:c r="C3909" s="19" t="str">
        <x:v>5. 逐日期与计时</x:v>
      </x:c>
      <x:c r="D3909" s="19" t="str">
        <x:v>场景=2036-03-03_9；方法=META_CONTEXT0</x:v>
      </x:c>
      <x:c r="E3909" s="19" t="str">
        <x:v>质量通过</x:v>
      </x:c>
      <x:c r="F3909" s="19" t="str">
        <x:v>True</x:v>
      </x:c>
      <x:c r="G3909" s="19" t="str">
        <x:v>质量/成本</x:v>
      </x:c>
      <x:c r="H3909" s="19" t="str">
        <x:v>D:/Codex/GRL研究/outputs/grid84/GRID84_report.md</x:v>
      </x:c>
    </x:row>
    <x:row r="3910" ht="36" customHeight="1">
      <x:c r="A3910" s="19" t="str">
        <x:v>GRID84</x:v>
      </x:c>
      <x:c r="B3910" s="19" t="str">
        <x:v>GRID84_report.md</x:v>
      </x:c>
      <x:c r="C3910" s="19" t="str">
        <x:v>5. 逐日期与计时</x:v>
      </x:c>
      <x:c r="D3910" s="19" t="str">
        <x:v>场景=2036-03-03_9；方法=META_CONTEXT0</x:v>
      </x:c>
      <x:c r="E3910" s="19" t="str">
        <x:v>查询</x:v>
      </x:c>
      <x:c r="F3910" s="19" t="str">
        <x:v>5964</x:v>
      </x:c>
      <x:c r="G3910" s="19" t="str">
        <x:v>速度/计算</x:v>
      </x:c>
      <x:c r="H3910" s="19" t="str">
        <x:v>D:/Codex/GRL研究/outputs/grid84/GRID84_report.md</x:v>
      </x:c>
    </x:row>
    <x:row r="3911" ht="36" customHeight="1">
      <x:c r="A3911" s="19" t="str">
        <x:v>GRID84</x:v>
      </x:c>
      <x:c r="B3911" s="19" t="str">
        <x:v>GRID84_report.md</x:v>
      </x:c>
      <x:c r="C3911" s="19" t="str">
        <x:v>5. 逐日期与计时</x:v>
      </x:c>
      <x:c r="D3911" s="19" t="str">
        <x:v>场景=2036-03-03_9；方法=META_CONTEXT0</x:v>
      </x:c>
      <x:c r="E3911" s="19" t="str">
        <x:v>控制秒均值[最小,最大]</x:v>
      </x:c>
      <x:c r="F3911" s="19" t="str">
        <x:v>70.919[68.731,73.106]</x:v>
      </x:c>
      <x:c r="G3911" s="19" t="str">
        <x:v>速度/计算</x:v>
      </x:c>
      <x:c r="H3911" s="19" t="str">
        <x:v>D:/Codex/GRL研究/outputs/grid84/GRID84_report.md</x:v>
      </x:c>
    </x:row>
    <x:row r="3912" ht="36" customHeight="1">
      <x:c r="A3912" s="19" t="str">
        <x:v>GRID84</x:v>
      </x:c>
      <x:c r="B3912" s="19" t="str">
        <x:v>GRID84_report.md</x:v>
      </x:c>
      <x:c r="C3912" s="19" t="str">
        <x:v>5. 逐日期与计时</x:v>
      </x:c>
      <x:c r="D3912" s="19" t="str">
        <x:v>场景=2036-03-03_9；方法=META_CONTEXT0</x:v>
      </x:c>
      <x:c r="E3912" s="19" t="str">
        <x:v>P95秒</x:v>
      </x:c>
      <x:c r="F3912" s="19" t="str">
        <x:v>0.0343</x:v>
      </x:c>
      <x:c r="G3912" s="19" t="str">
        <x:v>速度/计算</x:v>
      </x:c>
      <x:c r="H3912" s="19" t="str">
        <x:v>D:/Codex/GRL研究/outputs/grid84/GRID84_report.md</x:v>
      </x:c>
    </x:row>
    <x:row r="3913" ht="36" customHeight="1">
      <x:c r="A3913" s="19" t="str">
        <x:v>GRID84</x:v>
      </x:c>
      <x:c r="B3913" s="19" t="str">
        <x:v>GRID84_report.md</x:v>
      </x:c>
      <x:c r="C3913" s="19" t="str">
        <x:v>5. 逐日期与计时</x:v>
      </x:c>
      <x:c r="D3913" s="19" t="str">
        <x:v>场景=2036-03-03_9；方法=META_CONTEXT1</x:v>
      </x:c>
      <x:c r="E3913" s="19" t="str">
        <x:v>方法</x:v>
      </x:c>
      <x:c r="F3913" s="19" t="str">
        <x:v>META_CONTEXT1</x:v>
      </x:c>
      <x:c r="G3913" s="19" t="str">
        <x:v>其他/配置</x:v>
      </x:c>
      <x:c r="H3913" s="19" t="str">
        <x:v>D:/Codex/GRL研究/outputs/grid84/GRID84_report.md</x:v>
      </x:c>
    </x:row>
    <x:row r="3914" ht="36" customHeight="1">
      <x:c r="A3914" s="19" t="str">
        <x:v>GRID84</x:v>
      </x:c>
      <x:c r="B3914" s="19" t="str">
        <x:v>GRID84_report.md</x:v>
      </x:c>
      <x:c r="C3914" s="19" t="str">
        <x:v>5. 逐日期与计时</x:v>
      </x:c>
      <x:c r="D3914" s="19" t="str">
        <x:v>场景=2036-03-03_9；方法=META_CONTEXT1</x:v>
      </x:c>
      <x:c r="E3914" s="19" t="str">
        <x:v>完成/步数</x:v>
      </x:c>
      <x:c r="F3914" s="19" t="str">
        <x:v>False/1720</x:v>
      </x:c>
      <x:c r="G3914" s="19" t="str">
        <x:v>质量/成本</x:v>
      </x:c>
      <x:c r="H3914" s="19" t="str">
        <x:v>D:/Codex/GRL研究/outputs/grid84/GRID84_report.md</x:v>
      </x:c>
    </x:row>
    <x:row r="3915" ht="36" customHeight="1">
      <x:c r="A3915" s="19" t="str">
        <x:v>GRID84</x:v>
      </x:c>
      <x:c r="B3915" s="19" t="str">
        <x:v>GRID84_report.md</x:v>
      </x:c>
      <x:c r="C3915" s="19" t="str">
        <x:v>5. 逐日期与计时</x:v>
      </x:c>
      <x:c r="D3915" s="19" t="str">
        <x:v>场景=2036-03-03_9；方法=META_CONTEXT1</x:v>
      </x:c>
      <x:c r="E3915" s="19" t="str">
        <x:v>完整周成本相对FULL</x:v>
      </x:c>
      <x:c r="F3915" s="19" t="str">
        <x:v>未双方完成</x:v>
      </x:c>
      <x:c r="G3915" s="19" t="str">
        <x:v>质量/成本</x:v>
      </x:c>
      <x:c r="H3915" s="19" t="str">
        <x:v>D:/Codex/GRL研究/outputs/grid84/GRID84_report.md</x:v>
      </x:c>
    </x:row>
    <x:row r="3916" ht="36" customHeight="1">
      <x:c r="A3916" s="19" t="str">
        <x:v>GRID84</x:v>
      </x:c>
      <x:c r="B3916" s="19" t="str">
        <x:v>GRID84_report.md</x:v>
      </x:c>
      <x:c r="C3916" s="19" t="str">
        <x:v>5. 逐日期与计时</x:v>
      </x:c>
      <x:c r="D3916" s="19" t="str">
        <x:v>场景=2036-03-03_9；方法=META_CONTEXT1</x:v>
      </x:c>
      <x:c r="E3916" s="19" t="str">
        <x:v>质量通过</x:v>
      </x:c>
      <x:c r="F3916" s="19" t="str">
        <x:v>True</x:v>
      </x:c>
      <x:c r="G3916" s="19" t="str">
        <x:v>质量/成本</x:v>
      </x:c>
      <x:c r="H3916" s="19" t="str">
        <x:v>D:/Codex/GRL研究/outputs/grid84/GRID84_report.md</x:v>
      </x:c>
    </x:row>
    <x:row r="3917" ht="36" customHeight="1">
      <x:c r="A3917" s="19" t="str">
        <x:v>GRID84</x:v>
      </x:c>
      <x:c r="B3917" s="19" t="str">
        <x:v>GRID84_report.md</x:v>
      </x:c>
      <x:c r="C3917" s="19" t="str">
        <x:v>5. 逐日期与计时</x:v>
      </x:c>
      <x:c r="D3917" s="19" t="str">
        <x:v>场景=2036-03-03_9；方法=META_CONTEXT1</x:v>
      </x:c>
      <x:c r="E3917" s="19" t="str">
        <x:v>查询</x:v>
      </x:c>
      <x:c r="F3917" s="19" t="str">
        <x:v>5109</x:v>
      </x:c>
      <x:c r="G3917" s="19" t="str">
        <x:v>速度/计算</x:v>
      </x:c>
      <x:c r="H3917" s="19" t="str">
        <x:v>D:/Codex/GRL研究/outputs/grid84/GRID84_report.md</x:v>
      </x:c>
    </x:row>
    <x:row r="3918" ht="36" customHeight="1">
      <x:c r="A3918" s="19" t="str">
        <x:v>GRID84</x:v>
      </x:c>
      <x:c r="B3918" s="19" t="str">
        <x:v>GRID84_report.md</x:v>
      </x:c>
      <x:c r="C3918" s="19" t="str">
        <x:v>5. 逐日期与计时</x:v>
      </x:c>
      <x:c r="D3918" s="19" t="str">
        <x:v>场景=2036-03-03_9；方法=META_CONTEXT1</x:v>
      </x:c>
      <x:c r="E3918" s="19" t="str">
        <x:v>控制秒均值[最小,最大]</x:v>
      </x:c>
      <x:c r="F3918" s="19" t="str">
        <x:v>70.953[68.512,73.394]</x:v>
      </x:c>
      <x:c r="G3918" s="19" t="str">
        <x:v>速度/计算</x:v>
      </x:c>
      <x:c r="H3918" s="19" t="str">
        <x:v>D:/Codex/GRL研究/outputs/grid84/GRID84_report.md</x:v>
      </x:c>
    </x:row>
    <x:row r="3919" ht="36" customHeight="1">
      <x:c r="A3919" s="19" t="str">
        <x:v>GRID84</x:v>
      </x:c>
      <x:c r="B3919" s="19" t="str">
        <x:v>GRID84_report.md</x:v>
      </x:c>
      <x:c r="C3919" s="19" t="str">
        <x:v>5. 逐日期与计时</x:v>
      </x:c>
      <x:c r="D3919" s="19" t="str">
        <x:v>场景=2036-03-03_9；方法=META_CONTEXT1</x:v>
      </x:c>
      <x:c r="E3919" s="19" t="str">
        <x:v>P95秒</x:v>
      </x:c>
      <x:c r="F3919" s="19" t="str">
        <x:v>0.0358</x:v>
      </x:c>
      <x:c r="G3919" s="19" t="str">
        <x:v>速度/计算</x:v>
      </x:c>
      <x:c r="H3919" s="19" t="str">
        <x:v>D:/Codex/GRL研究/outputs/grid84/GRID84_report.md</x:v>
      </x:c>
    </x:row>
    <x:row r="3920" ht="36" customHeight="1">
      <x:c r="A3920" s="19" t="str">
        <x:v>GRID84</x:v>
      </x:c>
      <x:c r="B3920" s="19" t="str">
        <x:v>GRID84_report.md</x:v>
      </x:c>
      <x:c r="C3920" s="19" t="str">
        <x:v>5. 逐日期与计时</x:v>
      </x:c>
      <x:c r="D3920" s="19" t="str">
        <x:v>场景=2036-03-03_9；方法=META_CONTEXT2</x:v>
      </x:c>
      <x:c r="E3920" s="19" t="str">
        <x:v>方法</x:v>
      </x:c>
      <x:c r="F3920" s="19" t="str">
        <x:v>META_CONTEXT2</x:v>
      </x:c>
      <x:c r="G3920" s="19" t="str">
        <x:v>其他/配置</x:v>
      </x:c>
      <x:c r="H3920" s="19" t="str">
        <x:v>D:/Codex/GRL研究/outputs/grid84/GRID84_report.md</x:v>
      </x:c>
    </x:row>
    <x:row r="3921" ht="36" customHeight="1">
      <x:c r="A3921" s="19" t="str">
        <x:v>GRID84</x:v>
      </x:c>
      <x:c r="B3921" s="19" t="str">
        <x:v>GRID84_report.md</x:v>
      </x:c>
      <x:c r="C3921" s="19" t="str">
        <x:v>5. 逐日期与计时</x:v>
      </x:c>
      <x:c r="D3921" s="19" t="str">
        <x:v>场景=2036-03-03_9；方法=META_CONTEXT2</x:v>
      </x:c>
      <x:c r="E3921" s="19" t="str">
        <x:v>完成/步数</x:v>
      </x:c>
      <x:c r="F3921" s="19" t="str">
        <x:v>False/1720</x:v>
      </x:c>
      <x:c r="G3921" s="19" t="str">
        <x:v>质量/成本</x:v>
      </x:c>
      <x:c r="H3921" s="19" t="str">
        <x:v>D:/Codex/GRL研究/outputs/grid84/GRID84_report.md</x:v>
      </x:c>
    </x:row>
    <x:row r="3922" ht="36" customHeight="1">
      <x:c r="A3922" s="19" t="str">
        <x:v>GRID84</x:v>
      </x:c>
      <x:c r="B3922" s="19" t="str">
        <x:v>GRID84_report.md</x:v>
      </x:c>
      <x:c r="C3922" s="19" t="str">
        <x:v>5. 逐日期与计时</x:v>
      </x:c>
      <x:c r="D3922" s="19" t="str">
        <x:v>场景=2036-03-03_9；方法=META_CONTEXT2</x:v>
      </x:c>
      <x:c r="E3922" s="19" t="str">
        <x:v>完整周成本相对FULL</x:v>
      </x:c>
      <x:c r="F3922" s="19" t="str">
        <x:v>未双方完成</x:v>
      </x:c>
      <x:c r="G3922" s="19" t="str">
        <x:v>质量/成本</x:v>
      </x:c>
      <x:c r="H3922" s="19" t="str">
        <x:v>D:/Codex/GRL研究/outputs/grid84/GRID84_report.md</x:v>
      </x:c>
    </x:row>
    <x:row r="3923" ht="36" customHeight="1">
      <x:c r="A3923" s="19" t="str">
        <x:v>GRID84</x:v>
      </x:c>
      <x:c r="B3923" s="19" t="str">
        <x:v>GRID84_report.md</x:v>
      </x:c>
      <x:c r="C3923" s="19" t="str">
        <x:v>5. 逐日期与计时</x:v>
      </x:c>
      <x:c r="D3923" s="19" t="str">
        <x:v>场景=2036-03-03_9；方法=META_CONTEXT2</x:v>
      </x:c>
      <x:c r="E3923" s="19" t="str">
        <x:v>质量通过</x:v>
      </x:c>
      <x:c r="F3923" s="19" t="str">
        <x:v>True</x:v>
      </x:c>
      <x:c r="G3923" s="19" t="str">
        <x:v>质量/成本</x:v>
      </x:c>
      <x:c r="H3923" s="19" t="str">
        <x:v>D:/Codex/GRL研究/outputs/grid84/GRID84_report.md</x:v>
      </x:c>
    </x:row>
    <x:row r="3924" ht="36" customHeight="1">
      <x:c r="A3924" s="19" t="str">
        <x:v>GRID84</x:v>
      </x:c>
      <x:c r="B3924" s="19" t="str">
        <x:v>GRID84_report.md</x:v>
      </x:c>
      <x:c r="C3924" s="19" t="str">
        <x:v>5. 逐日期与计时</x:v>
      </x:c>
      <x:c r="D3924" s="19" t="str">
        <x:v>场景=2036-03-03_9；方法=META_CONTEXT2</x:v>
      </x:c>
      <x:c r="E3924" s="19" t="str">
        <x:v>查询</x:v>
      </x:c>
      <x:c r="F3924" s="19" t="str">
        <x:v>4521</x:v>
      </x:c>
      <x:c r="G3924" s="19" t="str">
        <x:v>速度/计算</x:v>
      </x:c>
      <x:c r="H3924" s="19" t="str">
        <x:v>D:/Codex/GRL研究/outputs/grid84/GRID84_report.md</x:v>
      </x:c>
    </x:row>
    <x:row r="3925" ht="36" customHeight="1">
      <x:c r="A3925" s="19" t="str">
        <x:v>GRID84</x:v>
      </x:c>
      <x:c r="B3925" s="19" t="str">
        <x:v>GRID84_report.md</x:v>
      </x:c>
      <x:c r="C3925" s="19" t="str">
        <x:v>5. 逐日期与计时</x:v>
      </x:c>
      <x:c r="D3925" s="19" t="str">
        <x:v>场景=2036-03-03_9；方法=META_CONTEXT2</x:v>
      </x:c>
      <x:c r="E3925" s="19" t="str">
        <x:v>控制秒均值[最小,最大]</x:v>
      </x:c>
      <x:c r="F3925" s="19" t="str">
        <x:v>72.773[66.814,78.733]</x:v>
      </x:c>
      <x:c r="G3925" s="19" t="str">
        <x:v>速度/计算</x:v>
      </x:c>
      <x:c r="H3925" s="19" t="str">
        <x:v>D:/Codex/GRL研究/outputs/grid84/GRID84_report.md</x:v>
      </x:c>
    </x:row>
    <x:row r="3926" ht="36" customHeight="1">
      <x:c r="A3926" s="19" t="str">
        <x:v>GRID84</x:v>
      </x:c>
      <x:c r="B3926" s="19" t="str">
        <x:v>GRID84_report.md</x:v>
      </x:c>
      <x:c r="C3926" s="19" t="str">
        <x:v>5. 逐日期与计时</x:v>
      </x:c>
      <x:c r="D3926" s="19" t="str">
        <x:v>场景=2036-03-03_9；方法=META_CONTEXT2</x:v>
      </x:c>
      <x:c r="E3926" s="19" t="str">
        <x:v>P95秒</x:v>
      </x:c>
      <x:c r="F3926" s="19" t="str">
        <x:v>0.0384</x:v>
      </x:c>
      <x:c r="G3926" s="19" t="str">
        <x:v>速度/计算</x:v>
      </x:c>
      <x:c r="H3926" s="19" t="str">
        <x:v>D:/Codex/GRL研究/outputs/grid84/GRID84_report.md</x:v>
      </x:c>
    </x:row>
    <x:row r="3927" ht="36" customHeight="1">
      <x:c r="A3927" s="19" t="str">
        <x:v>GRID84</x:v>
      </x:c>
      <x:c r="B3927" s="19" t="str">
        <x:v>GRID84_report.md</x:v>
      </x:c>
      <x:c r="C3927" s="19" t="str">
        <x:v>5. 逐日期与计时</x:v>
      </x:c>
      <x:c r="D3927" s="19" t="str">
        <x:v>场景=2036-03-03_9；方法=META_CONTEXT3</x:v>
      </x:c>
      <x:c r="E3927" s="19" t="str">
        <x:v>方法</x:v>
      </x:c>
      <x:c r="F3927" s="19" t="str">
        <x:v>META_CONTEXT3</x:v>
      </x:c>
      <x:c r="G3927" s="19" t="str">
        <x:v>其他/配置</x:v>
      </x:c>
      <x:c r="H3927" s="19" t="str">
        <x:v>D:/Codex/GRL研究/outputs/grid84/GRID84_report.md</x:v>
      </x:c>
    </x:row>
    <x:row r="3928" ht="36" customHeight="1">
      <x:c r="A3928" s="19" t="str">
        <x:v>GRID84</x:v>
      </x:c>
      <x:c r="B3928" s="19" t="str">
        <x:v>GRID84_report.md</x:v>
      </x:c>
      <x:c r="C3928" s="19" t="str">
        <x:v>5. 逐日期与计时</x:v>
      </x:c>
      <x:c r="D3928" s="19" t="str">
        <x:v>场景=2036-03-03_9；方法=META_CONTEXT3</x:v>
      </x:c>
      <x:c r="E3928" s="19" t="str">
        <x:v>完成/步数</x:v>
      </x:c>
      <x:c r="F3928" s="19" t="str">
        <x:v>False/1720</x:v>
      </x:c>
      <x:c r="G3928" s="19" t="str">
        <x:v>质量/成本</x:v>
      </x:c>
      <x:c r="H3928" s="19" t="str">
        <x:v>D:/Codex/GRL研究/outputs/grid84/GRID84_report.md</x:v>
      </x:c>
    </x:row>
    <x:row r="3929" ht="36" customHeight="1">
      <x:c r="A3929" s="19" t="str">
        <x:v>GRID84</x:v>
      </x:c>
      <x:c r="B3929" s="19" t="str">
        <x:v>GRID84_report.md</x:v>
      </x:c>
      <x:c r="C3929" s="19" t="str">
        <x:v>5. 逐日期与计时</x:v>
      </x:c>
      <x:c r="D3929" s="19" t="str">
        <x:v>场景=2036-03-03_9；方法=META_CONTEXT3</x:v>
      </x:c>
      <x:c r="E3929" s="19" t="str">
        <x:v>完整周成本相对FULL</x:v>
      </x:c>
      <x:c r="F3929" s="19" t="str">
        <x:v>未双方完成</x:v>
      </x:c>
      <x:c r="G3929" s="19" t="str">
        <x:v>质量/成本</x:v>
      </x:c>
      <x:c r="H3929" s="19" t="str">
        <x:v>D:/Codex/GRL研究/outputs/grid84/GRID84_report.md</x:v>
      </x:c>
    </x:row>
    <x:row r="3930" ht="36" customHeight="1">
      <x:c r="A3930" s="19" t="str">
        <x:v>GRID84</x:v>
      </x:c>
      <x:c r="B3930" s="19" t="str">
        <x:v>GRID84_report.md</x:v>
      </x:c>
      <x:c r="C3930" s="19" t="str">
        <x:v>5. 逐日期与计时</x:v>
      </x:c>
      <x:c r="D3930" s="19" t="str">
        <x:v>场景=2036-03-03_9；方法=META_CONTEXT3</x:v>
      </x:c>
      <x:c r="E3930" s="19" t="str">
        <x:v>质量通过</x:v>
      </x:c>
      <x:c r="F3930" s="19" t="str">
        <x:v>True</x:v>
      </x:c>
      <x:c r="G3930" s="19" t="str">
        <x:v>质量/成本</x:v>
      </x:c>
      <x:c r="H3930" s="19" t="str">
        <x:v>D:/Codex/GRL研究/outputs/grid84/GRID84_report.md</x:v>
      </x:c>
    </x:row>
    <x:row r="3931" ht="36" customHeight="1">
      <x:c r="A3931" s="19" t="str">
        <x:v>GRID84</x:v>
      </x:c>
      <x:c r="B3931" s="19" t="str">
        <x:v>GRID84_report.md</x:v>
      </x:c>
      <x:c r="C3931" s="19" t="str">
        <x:v>5. 逐日期与计时</x:v>
      </x:c>
      <x:c r="D3931" s="19" t="str">
        <x:v>场景=2036-03-03_9；方法=META_CONTEXT3</x:v>
      </x:c>
      <x:c r="E3931" s="19" t="str">
        <x:v>查询</x:v>
      </x:c>
      <x:c r="F3931" s="19" t="str">
        <x:v>3788</x:v>
      </x:c>
      <x:c r="G3931" s="19" t="str">
        <x:v>速度/计算</x:v>
      </x:c>
      <x:c r="H3931" s="19" t="str">
        <x:v>D:/Codex/GRL研究/outputs/grid84/GRID84_report.md</x:v>
      </x:c>
    </x:row>
    <x:row r="3932" ht="36" customHeight="1">
      <x:c r="A3932" s="19" t="str">
        <x:v>GRID84</x:v>
      </x:c>
      <x:c r="B3932" s="19" t="str">
        <x:v>GRID84_report.md</x:v>
      </x:c>
      <x:c r="C3932" s="19" t="str">
        <x:v>5. 逐日期与计时</x:v>
      </x:c>
      <x:c r="D3932" s="19" t="str">
        <x:v>场景=2036-03-03_9；方法=META_CONTEXT3</x:v>
      </x:c>
      <x:c r="E3932" s="19" t="str">
        <x:v>控制秒均值[最小,最大]</x:v>
      </x:c>
      <x:c r="F3932" s="19" t="str">
        <x:v>65.272[65.270,65.273]</x:v>
      </x:c>
      <x:c r="G3932" s="19" t="str">
        <x:v>速度/计算</x:v>
      </x:c>
      <x:c r="H3932" s="19" t="str">
        <x:v>D:/Codex/GRL研究/outputs/grid84/GRID84_report.md</x:v>
      </x:c>
    </x:row>
    <x:row r="3933" ht="36" customHeight="1">
      <x:c r="A3933" s="19" t="str">
        <x:v>GRID84</x:v>
      </x:c>
      <x:c r="B3933" s="19" t="str">
        <x:v>GRID84_report.md</x:v>
      </x:c>
      <x:c r="C3933" s="19" t="str">
        <x:v>5. 逐日期与计时</x:v>
      </x:c>
      <x:c r="D3933" s="19" t="str">
        <x:v>场景=2036-03-03_9；方法=META_CONTEXT3</x:v>
      </x:c>
      <x:c r="E3933" s="19" t="str">
        <x:v>P95秒</x:v>
      </x:c>
      <x:c r="F3933" s="19" t="str">
        <x:v>0.0340</x:v>
      </x:c>
      <x:c r="G3933" s="19" t="str">
        <x:v>速度/计算</x:v>
      </x:c>
      <x:c r="H3933" s="19" t="str">
        <x:v>D:/Codex/GRL研究/outputs/grid84/GRID84_report.md</x:v>
      </x:c>
    </x:row>
    <x:row r="3934" ht="36" customHeight="1">
      <x:c r="A3934" s="19" t="str">
        <x:v>GRID84</x:v>
      </x:c>
      <x:c r="B3934" s="19" t="str">
        <x:v>GRID84_report.md</x:v>
      </x:c>
      <x:c r="C3934" s="19" t="str">
        <x:v>5. 逐日期与计时</x:v>
      </x:c>
      <x:c r="D3934" s="19" t="str">
        <x:v>场景=2036-03-03_9；方法=META_CONTEXT4</x:v>
      </x:c>
      <x:c r="E3934" s="19" t="str">
        <x:v>方法</x:v>
      </x:c>
      <x:c r="F3934" s="19" t="str">
        <x:v>META_CONTEXT4</x:v>
      </x:c>
      <x:c r="G3934" s="19" t="str">
        <x:v>其他/配置</x:v>
      </x:c>
      <x:c r="H3934" s="19" t="str">
        <x:v>D:/Codex/GRL研究/outputs/grid84/GRID84_report.md</x:v>
      </x:c>
    </x:row>
    <x:row r="3935" ht="36" customHeight="1">
      <x:c r="A3935" s="19" t="str">
        <x:v>GRID84</x:v>
      </x:c>
      <x:c r="B3935" s="19" t="str">
        <x:v>GRID84_report.md</x:v>
      </x:c>
      <x:c r="C3935" s="19" t="str">
        <x:v>5. 逐日期与计时</x:v>
      </x:c>
      <x:c r="D3935" s="19" t="str">
        <x:v>场景=2036-03-03_9；方法=META_CONTEXT4</x:v>
      </x:c>
      <x:c r="E3935" s="19" t="str">
        <x:v>完成/步数</x:v>
      </x:c>
      <x:c r="F3935" s="19" t="str">
        <x:v>False/1720</x:v>
      </x:c>
      <x:c r="G3935" s="19" t="str">
        <x:v>质量/成本</x:v>
      </x:c>
      <x:c r="H3935" s="19" t="str">
        <x:v>D:/Codex/GRL研究/outputs/grid84/GRID84_report.md</x:v>
      </x:c>
    </x:row>
    <x:row r="3936" ht="36" customHeight="1">
      <x:c r="A3936" s="19" t="str">
        <x:v>GRID84</x:v>
      </x:c>
      <x:c r="B3936" s="19" t="str">
        <x:v>GRID84_report.md</x:v>
      </x:c>
      <x:c r="C3936" s="19" t="str">
        <x:v>5. 逐日期与计时</x:v>
      </x:c>
      <x:c r="D3936" s="19" t="str">
        <x:v>场景=2036-03-03_9；方法=META_CONTEXT4</x:v>
      </x:c>
      <x:c r="E3936" s="19" t="str">
        <x:v>完整周成本相对FULL</x:v>
      </x:c>
      <x:c r="F3936" s="19" t="str">
        <x:v>未双方完成</x:v>
      </x:c>
      <x:c r="G3936" s="19" t="str">
        <x:v>质量/成本</x:v>
      </x:c>
      <x:c r="H3936" s="19" t="str">
        <x:v>D:/Codex/GRL研究/outputs/grid84/GRID84_report.md</x:v>
      </x:c>
    </x:row>
    <x:row r="3937" ht="36" customHeight="1">
      <x:c r="A3937" s="19" t="str">
        <x:v>GRID84</x:v>
      </x:c>
      <x:c r="B3937" s="19" t="str">
        <x:v>GRID84_report.md</x:v>
      </x:c>
      <x:c r="C3937" s="19" t="str">
        <x:v>5. 逐日期与计时</x:v>
      </x:c>
      <x:c r="D3937" s="19" t="str">
        <x:v>场景=2036-03-03_9；方法=META_CONTEXT4</x:v>
      </x:c>
      <x:c r="E3937" s="19" t="str">
        <x:v>质量通过</x:v>
      </x:c>
      <x:c r="F3937" s="19" t="str">
        <x:v>True</x:v>
      </x:c>
      <x:c r="G3937" s="19" t="str">
        <x:v>质量/成本</x:v>
      </x:c>
      <x:c r="H3937" s="19" t="str">
        <x:v>D:/Codex/GRL研究/outputs/grid84/GRID84_report.md</x:v>
      </x:c>
    </x:row>
    <x:row r="3938" ht="36" customHeight="1">
      <x:c r="A3938" s="19" t="str">
        <x:v>GRID84</x:v>
      </x:c>
      <x:c r="B3938" s="19" t="str">
        <x:v>GRID84_report.md</x:v>
      </x:c>
      <x:c r="C3938" s="19" t="str">
        <x:v>5. 逐日期与计时</x:v>
      </x:c>
      <x:c r="D3938" s="19" t="str">
        <x:v>场景=2036-03-03_9；方法=META_CONTEXT4</x:v>
      </x:c>
      <x:c r="E3938" s="19" t="str">
        <x:v>查询</x:v>
      </x:c>
      <x:c r="F3938" s="19" t="str">
        <x:v>4385</x:v>
      </x:c>
      <x:c r="G3938" s="19" t="str">
        <x:v>速度/计算</x:v>
      </x:c>
      <x:c r="H3938" s="19" t="str">
        <x:v>D:/Codex/GRL研究/outputs/grid84/GRID84_report.md</x:v>
      </x:c>
    </x:row>
    <x:row r="3939" ht="36" customHeight="1">
      <x:c r="A3939" s="19" t="str">
        <x:v>GRID84</x:v>
      </x:c>
      <x:c r="B3939" s="19" t="str">
        <x:v>GRID84_report.md</x:v>
      </x:c>
      <x:c r="C3939" s="19" t="str">
        <x:v>5. 逐日期与计时</x:v>
      </x:c>
      <x:c r="D3939" s="19" t="str">
        <x:v>场景=2036-03-03_9；方法=META_CONTEXT4</x:v>
      </x:c>
      <x:c r="E3939" s="19" t="str">
        <x:v>控制秒均值[最小,最大]</x:v>
      </x:c>
      <x:c r="F3939" s="19" t="str">
        <x:v>66.390[66.368,66.412]</x:v>
      </x:c>
      <x:c r="G3939" s="19" t="str">
        <x:v>速度/计算</x:v>
      </x:c>
      <x:c r="H3939" s="19" t="str">
        <x:v>D:/Codex/GRL研究/outputs/grid84/GRID84_report.md</x:v>
      </x:c>
    </x:row>
    <x:row r="3940" ht="36" customHeight="1">
      <x:c r="A3940" s="19" t="str">
        <x:v>GRID84</x:v>
      </x:c>
      <x:c r="B3940" s="19" t="str">
        <x:v>GRID84_report.md</x:v>
      </x:c>
      <x:c r="C3940" s="19" t="str">
        <x:v>5. 逐日期与计时</x:v>
      </x:c>
      <x:c r="D3940" s="19" t="str">
        <x:v>场景=2036-03-03_9；方法=META_CONTEXT4</x:v>
      </x:c>
      <x:c r="E3940" s="19" t="str">
        <x:v>P95秒</x:v>
      </x:c>
      <x:c r="F3940" s="19" t="str">
        <x:v>0.0341</x:v>
      </x:c>
      <x:c r="G3940" s="19" t="str">
        <x:v>速度/计算</x:v>
      </x:c>
      <x:c r="H3940" s="19" t="str">
        <x:v>D:/Codex/GRL研究/outputs/grid84/GRID84_report.md</x:v>
      </x:c>
    </x:row>
    <x:row r="3941" ht="36" customHeight="1">
      <x:c r="A3941" s="19" t="str">
        <x:v>GRID84</x:v>
      </x:c>
      <x:c r="B3941" s="19" t="str">
        <x:v>GRID84_report.md</x:v>
      </x:c>
      <x:c r="C3941" s="19" t="str">
        <x:v>5. 逐日期与计时</x:v>
      </x:c>
      <x:c r="D3941" s="19" t="str">
        <x:v>场景=2036-05-05_9；方法=FRAME_GUARD</x:v>
      </x:c>
      <x:c r="E3941" s="19" t="str">
        <x:v>方法</x:v>
      </x:c>
      <x:c r="F3941" s="19" t="str">
        <x:v>FRAME_GUARD</x:v>
      </x:c>
      <x:c r="G3941" s="19" t="str">
        <x:v>其他/配置</x:v>
      </x:c>
      <x:c r="H3941" s="19" t="str">
        <x:v>D:/Codex/GRL研究/outputs/grid84/GRID84_report.md</x:v>
      </x:c>
    </x:row>
    <x:row r="3942" ht="36" customHeight="1">
      <x:c r="A3942" s="19" t="str">
        <x:v>GRID84</x:v>
      </x:c>
      <x:c r="B3942" s="19" t="str">
        <x:v>GRID84_report.md</x:v>
      </x:c>
      <x:c r="C3942" s="19" t="str">
        <x:v>5. 逐日期与计时</x:v>
      </x:c>
      <x:c r="D3942" s="19" t="str">
        <x:v>场景=2036-05-05_9；方法=FRAME_GUARD</x:v>
      </x:c>
      <x:c r="E3942" s="19" t="str">
        <x:v>完成/步数</x:v>
      </x:c>
      <x:c r="F3942" s="19" t="str">
        <x:v>True/2017</x:v>
      </x:c>
      <x:c r="G3942" s="19" t="str">
        <x:v>质量/成本</x:v>
      </x:c>
      <x:c r="H3942" s="19" t="str">
        <x:v>D:/Codex/GRL研究/outputs/grid84/GRID84_report.md</x:v>
      </x:c>
    </x:row>
    <x:row r="3943" ht="36" customHeight="1">
      <x:c r="A3943" s="19" t="str">
        <x:v>GRID84</x:v>
      </x:c>
      <x:c r="B3943" s="19" t="str">
        <x:v>GRID84_report.md</x:v>
      </x:c>
      <x:c r="C3943" s="19" t="str">
        <x:v>5. 逐日期与计时</x:v>
      </x:c>
      <x:c r="D3943" s="19" t="str">
        <x:v>场景=2036-05-05_9；方法=FRAME_GUARD</x:v>
      </x:c>
      <x:c r="E3943" s="19" t="str">
        <x:v>完整周成本相对FULL</x:v>
      </x:c>
      <x:c r="F3943" s="19" t="str">
        <x:v>-2.6518%</x:v>
      </x:c>
      <x:c r="G3943" s="19" t="str">
        <x:v>质量/成本</x:v>
      </x:c>
      <x:c r="H3943" s="19" t="str">
        <x:v>D:/Codex/GRL研究/outputs/grid84/GRID84_report.md</x:v>
      </x:c>
    </x:row>
    <x:row r="3944" ht="36" customHeight="1">
      <x:c r="A3944" s="19" t="str">
        <x:v>GRID84</x:v>
      </x:c>
      <x:c r="B3944" s="19" t="str">
        <x:v>GRID84_report.md</x:v>
      </x:c>
      <x:c r="C3944" s="19" t="str">
        <x:v>5. 逐日期与计时</x:v>
      </x:c>
      <x:c r="D3944" s="19" t="str">
        <x:v>场景=2036-05-05_9；方法=FRAME_GUARD</x:v>
      </x:c>
      <x:c r="E3944" s="19" t="str">
        <x:v>质量通过</x:v>
      </x:c>
      <x:c r="F3944" s="19" t="str">
        <x:v>True</x:v>
      </x:c>
      <x:c r="G3944" s="19" t="str">
        <x:v>质量/成本</x:v>
      </x:c>
      <x:c r="H3944" s="19" t="str">
        <x:v>D:/Codex/GRL研究/outputs/grid84/GRID84_report.md</x:v>
      </x:c>
    </x:row>
    <x:row r="3945" ht="36" customHeight="1">
      <x:c r="A3945" s="19" t="str">
        <x:v>GRID84</x:v>
      </x:c>
      <x:c r="B3945" s="19" t="str">
        <x:v>GRID84_report.md</x:v>
      </x:c>
      <x:c r="C3945" s="19" t="str">
        <x:v>5. 逐日期与计时</x:v>
      </x:c>
      <x:c r="D3945" s="19" t="str">
        <x:v>场景=2036-05-05_9；方法=FRAME_GUARD</x:v>
      </x:c>
      <x:c r="E3945" s="19" t="str">
        <x:v>查询</x:v>
      </x:c>
      <x:c r="F3945" s="19" t="str">
        <x:v>454</x:v>
      </x:c>
      <x:c r="G3945" s="19" t="str">
        <x:v>速度/计算</x:v>
      </x:c>
      <x:c r="H3945" s="19" t="str">
        <x:v>D:/Codex/GRL研究/outputs/grid84/GRID84_report.md</x:v>
      </x:c>
    </x:row>
    <x:row r="3946" ht="36" customHeight="1">
      <x:c r="A3946" s="19" t="str">
        <x:v>GRID84</x:v>
      </x:c>
      <x:c r="B3946" s="19" t="str">
        <x:v>GRID84_report.md</x:v>
      </x:c>
      <x:c r="C3946" s="19" t="str">
        <x:v>5. 逐日期与计时</x:v>
      </x:c>
      <x:c r="D3946" s="19" t="str">
        <x:v>场景=2036-05-05_9；方法=FRAME_GUARD</x:v>
      </x:c>
      <x:c r="E3946" s="19" t="str">
        <x:v>控制秒均值[最小,最大]</x:v>
      </x:c>
      <x:c r="F3946" s="19" t="str">
        <x:v>35.745[35.565,35.926]</x:v>
      </x:c>
      <x:c r="G3946" s="19" t="str">
        <x:v>速度/计算</x:v>
      </x:c>
      <x:c r="H3946" s="19" t="str">
        <x:v>D:/Codex/GRL研究/outputs/grid84/GRID84_report.md</x:v>
      </x:c>
    </x:row>
    <x:row r="3947" ht="36" customHeight="1">
      <x:c r="A3947" s="19" t="str">
        <x:v>GRID84</x:v>
      </x:c>
      <x:c r="B3947" s="19" t="str">
        <x:v>GRID84_report.md</x:v>
      </x:c>
      <x:c r="C3947" s="19" t="str">
        <x:v>5. 逐日期与计时</x:v>
      </x:c>
      <x:c r="D3947" s="19" t="str">
        <x:v>场景=2036-05-05_9；方法=FRAME_GUARD</x:v>
      </x:c>
      <x:c r="E3947" s="19" t="str">
        <x:v>P95秒</x:v>
      </x:c>
      <x:c r="F3947" s="19" t="str">
        <x:v>0.0283</x:v>
      </x:c>
      <x:c r="G3947" s="19" t="str">
        <x:v>速度/计算</x:v>
      </x:c>
      <x:c r="H3947" s="19" t="str">
        <x:v>D:/Codex/GRL研究/outputs/grid84/GRID84_report.md</x:v>
      </x:c>
    </x:row>
    <x:row r="3948" ht="36" customHeight="1">
      <x:c r="A3948" s="19" t="str">
        <x:v>GRID84</x:v>
      </x:c>
      <x:c r="B3948" s="19" t="str">
        <x:v>GRID84_report.md</x:v>
      </x:c>
      <x:c r="C3948" s="19" t="str">
        <x:v>5. 逐日期与计时</x:v>
      </x:c>
      <x:c r="D3948" s="19" t="str">
        <x:v>场景=2036-05-05_9；方法=META_CONTEXT0</x:v>
      </x:c>
      <x:c r="E3948" s="19" t="str">
        <x:v>方法</x:v>
      </x:c>
      <x:c r="F3948" s="19" t="str">
        <x:v>META_CONTEXT0</x:v>
      </x:c>
      <x:c r="G3948" s="19" t="str">
        <x:v>其他/配置</x:v>
      </x:c>
      <x:c r="H3948" s="19" t="str">
        <x:v>D:/Codex/GRL研究/outputs/grid84/GRID84_report.md</x:v>
      </x:c>
    </x:row>
    <x:row r="3949" ht="36" customHeight="1">
      <x:c r="A3949" s="19" t="str">
        <x:v>GRID84</x:v>
      </x:c>
      <x:c r="B3949" s="19" t="str">
        <x:v>GRID84_report.md</x:v>
      </x:c>
      <x:c r="C3949" s="19" t="str">
        <x:v>5. 逐日期与计时</x:v>
      </x:c>
      <x:c r="D3949" s="19" t="str">
        <x:v>场景=2036-05-05_9；方法=META_CONTEXT0</x:v>
      </x:c>
      <x:c r="E3949" s="19" t="str">
        <x:v>完成/步数</x:v>
      </x:c>
      <x:c r="F3949" s="19" t="str">
        <x:v>True/2017</x:v>
      </x:c>
      <x:c r="G3949" s="19" t="str">
        <x:v>质量/成本</x:v>
      </x:c>
      <x:c r="H3949" s="19" t="str">
        <x:v>D:/Codex/GRL研究/outputs/grid84/GRID84_report.md</x:v>
      </x:c>
    </x:row>
    <x:row r="3950" ht="36" customHeight="1">
      <x:c r="A3950" s="19" t="str">
        <x:v>GRID84</x:v>
      </x:c>
      <x:c r="B3950" s="19" t="str">
        <x:v>GRID84_report.md</x:v>
      </x:c>
      <x:c r="C3950" s="19" t="str">
        <x:v>5. 逐日期与计时</x:v>
      </x:c>
      <x:c r="D3950" s="19" t="str">
        <x:v>场景=2036-05-05_9；方法=META_CONTEXT0</x:v>
      </x:c>
      <x:c r="E3950" s="19" t="str">
        <x:v>完整周成本相对FULL</x:v>
      </x:c>
      <x:c r="F3950" s="19" t="str">
        <x:v>+0.0000%</x:v>
      </x:c>
      <x:c r="G3950" s="19" t="str">
        <x:v>质量/成本</x:v>
      </x:c>
      <x:c r="H3950" s="19" t="str">
        <x:v>D:/Codex/GRL研究/outputs/grid84/GRID84_report.md</x:v>
      </x:c>
    </x:row>
    <x:row r="3951" ht="36" customHeight="1">
      <x:c r="A3951" s="19" t="str">
        <x:v>GRID84</x:v>
      </x:c>
      <x:c r="B3951" s="19" t="str">
        <x:v>GRID84_report.md</x:v>
      </x:c>
      <x:c r="C3951" s="19" t="str">
        <x:v>5. 逐日期与计时</x:v>
      </x:c>
      <x:c r="D3951" s="19" t="str">
        <x:v>场景=2036-05-05_9；方法=META_CONTEXT0</x:v>
      </x:c>
      <x:c r="E3951" s="19" t="str">
        <x:v>质量通过</x:v>
      </x:c>
      <x:c r="F3951" s="19" t="str">
        <x:v>True</x:v>
      </x:c>
      <x:c r="G3951" s="19" t="str">
        <x:v>质量/成本</x:v>
      </x:c>
      <x:c r="H3951" s="19" t="str">
        <x:v>D:/Codex/GRL研究/outputs/grid84/GRID84_report.md</x:v>
      </x:c>
    </x:row>
    <x:row r="3952" ht="36" customHeight="1">
      <x:c r="A3952" s="19" t="str">
        <x:v>GRID84</x:v>
      </x:c>
      <x:c r="B3952" s="19" t="str">
        <x:v>GRID84_report.md</x:v>
      </x:c>
      <x:c r="C3952" s="19" t="str">
        <x:v>5. 逐日期与计时</x:v>
      </x:c>
      <x:c r="D3952" s="19" t="str">
        <x:v>场景=2036-05-05_9；方法=META_CONTEXT0</x:v>
      </x:c>
      <x:c r="E3952" s="19" t="str">
        <x:v>查询</x:v>
      </x:c>
      <x:c r="F3952" s="19" t="str">
        <x:v>1536</x:v>
      </x:c>
      <x:c r="G3952" s="19" t="str">
        <x:v>速度/计算</x:v>
      </x:c>
      <x:c r="H3952" s="19" t="str">
        <x:v>D:/Codex/GRL研究/outputs/grid84/GRID84_report.md</x:v>
      </x:c>
    </x:row>
    <x:row r="3953" ht="36" customHeight="1">
      <x:c r="A3953" s="19" t="str">
        <x:v>GRID84</x:v>
      </x:c>
      <x:c r="B3953" s="19" t="str">
        <x:v>GRID84_report.md</x:v>
      </x:c>
      <x:c r="C3953" s="19" t="str">
        <x:v>5. 逐日期与计时</x:v>
      </x:c>
      <x:c r="D3953" s="19" t="str">
        <x:v>场景=2036-05-05_9；方法=META_CONTEXT0</x:v>
      </x:c>
      <x:c r="E3953" s="19" t="str">
        <x:v>控制秒均值[最小,最大]</x:v>
      </x:c>
      <x:c r="F3953" s="19" t="str">
        <x:v>45.330[44.537,46.122]</x:v>
      </x:c>
      <x:c r="G3953" s="19" t="str">
        <x:v>速度/计算</x:v>
      </x:c>
      <x:c r="H3953" s="19" t="str">
        <x:v>D:/Codex/GRL研究/outputs/grid84/GRID84_report.md</x:v>
      </x:c>
    </x:row>
    <x:row r="3954" ht="36" customHeight="1">
      <x:c r="A3954" s="19" t="str">
        <x:v>GRID84</x:v>
      </x:c>
      <x:c r="B3954" s="19" t="str">
        <x:v>GRID84_report.md</x:v>
      </x:c>
      <x:c r="C3954" s="19" t="str">
        <x:v>5. 逐日期与计时</x:v>
      </x:c>
      <x:c r="D3954" s="19" t="str">
        <x:v>场景=2036-05-05_9；方法=META_CONTEXT0</x:v>
      </x:c>
      <x:c r="E3954" s="19" t="str">
        <x:v>P95秒</x:v>
      </x:c>
      <x:c r="F3954" s="19" t="str">
        <x:v>0.0316</x:v>
      </x:c>
      <x:c r="G3954" s="19" t="str">
        <x:v>速度/计算</x:v>
      </x:c>
      <x:c r="H3954" s="19" t="str">
        <x:v>D:/Codex/GRL研究/outputs/grid84/GRID84_report.md</x:v>
      </x:c>
    </x:row>
    <x:row r="3955" ht="36" customHeight="1">
      <x:c r="A3955" s="19" t="str">
        <x:v>GRID84</x:v>
      </x:c>
      <x:c r="B3955" s="19" t="str">
        <x:v>GRID84_report.md</x:v>
      </x:c>
      <x:c r="C3955" s="19" t="str">
        <x:v>5. 逐日期与计时</x:v>
      </x:c>
      <x:c r="D3955" s="19" t="str">
        <x:v>场景=2036-05-05_9；方法=META_CONTEXT1</x:v>
      </x:c>
      <x:c r="E3955" s="19" t="str">
        <x:v>方法</x:v>
      </x:c>
      <x:c r="F3955" s="19" t="str">
        <x:v>META_CONTEXT1</x:v>
      </x:c>
      <x:c r="G3955" s="19" t="str">
        <x:v>其他/配置</x:v>
      </x:c>
      <x:c r="H3955" s="19" t="str">
        <x:v>D:/Codex/GRL研究/outputs/grid84/GRID84_report.md</x:v>
      </x:c>
    </x:row>
    <x:row r="3956" ht="36" customHeight="1">
      <x:c r="A3956" s="19" t="str">
        <x:v>GRID84</x:v>
      </x:c>
      <x:c r="B3956" s="19" t="str">
        <x:v>GRID84_report.md</x:v>
      </x:c>
      <x:c r="C3956" s="19" t="str">
        <x:v>5. 逐日期与计时</x:v>
      </x:c>
      <x:c r="D3956" s="19" t="str">
        <x:v>场景=2036-05-05_9；方法=META_CONTEXT1</x:v>
      </x:c>
      <x:c r="E3956" s="19" t="str">
        <x:v>完成/步数</x:v>
      </x:c>
      <x:c r="F3956" s="19" t="str">
        <x:v>True/2017</x:v>
      </x:c>
      <x:c r="G3956" s="19" t="str">
        <x:v>质量/成本</x:v>
      </x:c>
      <x:c r="H3956" s="19" t="str">
        <x:v>D:/Codex/GRL研究/outputs/grid84/GRID84_report.md</x:v>
      </x:c>
    </x:row>
    <x:row r="3957" ht="36" customHeight="1">
      <x:c r="A3957" s="19" t="str">
        <x:v>GRID84</x:v>
      </x:c>
      <x:c r="B3957" s="19" t="str">
        <x:v>GRID84_report.md</x:v>
      </x:c>
      <x:c r="C3957" s="19" t="str">
        <x:v>5. 逐日期与计时</x:v>
      </x:c>
      <x:c r="D3957" s="19" t="str">
        <x:v>场景=2036-05-05_9；方法=META_CONTEXT1</x:v>
      </x:c>
      <x:c r="E3957" s="19" t="str">
        <x:v>完整周成本相对FULL</x:v>
      </x:c>
      <x:c r="F3957" s="19" t="str">
        <x:v>-2.6518%</x:v>
      </x:c>
      <x:c r="G3957" s="19" t="str">
        <x:v>质量/成本</x:v>
      </x:c>
      <x:c r="H3957" s="19" t="str">
        <x:v>D:/Codex/GRL研究/outputs/grid84/GRID84_report.md</x:v>
      </x:c>
    </x:row>
    <x:row r="3958" ht="36" customHeight="1">
      <x:c r="A3958" s="19" t="str">
        <x:v>GRID84</x:v>
      </x:c>
      <x:c r="B3958" s="19" t="str">
        <x:v>GRID84_report.md</x:v>
      </x:c>
      <x:c r="C3958" s="19" t="str">
        <x:v>5. 逐日期与计时</x:v>
      </x:c>
      <x:c r="D3958" s="19" t="str">
        <x:v>场景=2036-05-05_9；方法=META_CONTEXT1</x:v>
      </x:c>
      <x:c r="E3958" s="19" t="str">
        <x:v>质量通过</x:v>
      </x:c>
      <x:c r="F3958" s="19" t="str">
        <x:v>True</x:v>
      </x:c>
      <x:c r="G3958" s="19" t="str">
        <x:v>质量/成本</x:v>
      </x:c>
      <x:c r="H3958" s="19" t="str">
        <x:v>D:/Codex/GRL研究/outputs/grid84/GRID84_report.md</x:v>
      </x:c>
    </x:row>
    <x:row r="3959" ht="36" customHeight="1">
      <x:c r="A3959" s="19" t="str">
        <x:v>GRID84</x:v>
      </x:c>
      <x:c r="B3959" s="19" t="str">
        <x:v>GRID84_report.md</x:v>
      </x:c>
      <x:c r="C3959" s="19" t="str">
        <x:v>5. 逐日期与计时</x:v>
      </x:c>
      <x:c r="D3959" s="19" t="str">
        <x:v>场景=2036-05-05_9；方法=META_CONTEXT1</x:v>
      </x:c>
      <x:c r="E3959" s="19" t="str">
        <x:v>查询</x:v>
      </x:c>
      <x:c r="F3959" s="19" t="str">
        <x:v>454</x:v>
      </x:c>
      <x:c r="G3959" s="19" t="str">
        <x:v>速度/计算</x:v>
      </x:c>
      <x:c r="H3959" s="19" t="str">
        <x:v>D:/Codex/GRL研究/outputs/grid84/GRID84_report.md</x:v>
      </x:c>
    </x:row>
    <x:row r="3960" ht="36" customHeight="1">
      <x:c r="A3960" s="19" t="str">
        <x:v>GRID84</x:v>
      </x:c>
      <x:c r="B3960" s="19" t="str">
        <x:v>GRID84_report.md</x:v>
      </x:c>
      <x:c r="C3960" s="19" t="str">
        <x:v>5. 逐日期与计时</x:v>
      </x:c>
      <x:c r="D3960" s="19" t="str">
        <x:v>场景=2036-05-05_9；方法=META_CONTEXT1</x:v>
      </x:c>
      <x:c r="E3960" s="19" t="str">
        <x:v>控制秒均值[最小,最大]</x:v>
      </x:c>
      <x:c r="F3960" s="19" t="str">
        <x:v>35.649[35.600,35.697]</x:v>
      </x:c>
      <x:c r="G3960" s="19" t="str">
        <x:v>速度/计算</x:v>
      </x:c>
      <x:c r="H3960" s="19" t="str">
        <x:v>D:/Codex/GRL研究/outputs/grid84/GRID84_report.md</x:v>
      </x:c>
    </x:row>
    <x:row r="3961" ht="36" customHeight="1">
      <x:c r="A3961" s="19" t="str">
        <x:v>GRID84</x:v>
      </x:c>
      <x:c r="B3961" s="19" t="str">
        <x:v>GRID84_report.md</x:v>
      </x:c>
      <x:c r="C3961" s="19" t="str">
        <x:v>5. 逐日期与计时</x:v>
      </x:c>
      <x:c r="D3961" s="19" t="str">
        <x:v>场景=2036-05-05_9；方法=META_CONTEXT1</x:v>
      </x:c>
      <x:c r="E3961" s="19" t="str">
        <x:v>P95秒</x:v>
      </x:c>
      <x:c r="F3961" s="19" t="str">
        <x:v>0.0280</x:v>
      </x:c>
      <x:c r="G3961" s="19" t="str">
        <x:v>速度/计算</x:v>
      </x:c>
      <x:c r="H3961" s="19" t="str">
        <x:v>D:/Codex/GRL研究/outputs/grid84/GRID84_report.md</x:v>
      </x:c>
    </x:row>
    <x:row r="3962" ht="36" customHeight="1">
      <x:c r="A3962" s="19" t="str">
        <x:v>GRID84</x:v>
      </x:c>
      <x:c r="B3962" s="19" t="str">
        <x:v>GRID84_report.md</x:v>
      </x:c>
      <x:c r="C3962" s="19" t="str">
        <x:v>5. 逐日期与计时</x:v>
      </x:c>
      <x:c r="D3962" s="19" t="str">
        <x:v>场景=2036-05-05_9；方法=META_CONTEXT2</x:v>
      </x:c>
      <x:c r="E3962" s="19" t="str">
        <x:v>方法</x:v>
      </x:c>
      <x:c r="F3962" s="19" t="str">
        <x:v>META_CONTEXT2</x:v>
      </x:c>
      <x:c r="G3962" s="19" t="str">
        <x:v>其他/配置</x:v>
      </x:c>
      <x:c r="H3962" s="19" t="str">
        <x:v>D:/Codex/GRL研究/outputs/grid84/GRID84_report.md</x:v>
      </x:c>
    </x:row>
    <x:row r="3963" ht="36" customHeight="1">
      <x:c r="A3963" s="19" t="str">
        <x:v>GRID84</x:v>
      </x:c>
      <x:c r="B3963" s="19" t="str">
        <x:v>GRID84_report.md</x:v>
      </x:c>
      <x:c r="C3963" s="19" t="str">
        <x:v>5. 逐日期与计时</x:v>
      </x:c>
      <x:c r="D3963" s="19" t="str">
        <x:v>场景=2036-05-05_9；方法=META_CONTEXT2</x:v>
      </x:c>
      <x:c r="E3963" s="19" t="str">
        <x:v>完成/步数</x:v>
      </x:c>
      <x:c r="F3963" s="19" t="str">
        <x:v>True/2017</x:v>
      </x:c>
      <x:c r="G3963" s="19" t="str">
        <x:v>质量/成本</x:v>
      </x:c>
      <x:c r="H3963" s="19" t="str">
        <x:v>D:/Codex/GRL研究/outputs/grid84/GRID84_report.md</x:v>
      </x:c>
    </x:row>
    <x:row r="3964" ht="36" customHeight="1">
      <x:c r="A3964" s="19" t="str">
        <x:v>GRID84</x:v>
      </x:c>
      <x:c r="B3964" s="19" t="str">
        <x:v>GRID84_report.md</x:v>
      </x:c>
      <x:c r="C3964" s="19" t="str">
        <x:v>5. 逐日期与计时</x:v>
      </x:c>
      <x:c r="D3964" s="19" t="str">
        <x:v>场景=2036-05-05_9；方法=META_CONTEXT2</x:v>
      </x:c>
      <x:c r="E3964" s="19" t="str">
        <x:v>完整周成本相对FULL</x:v>
      </x:c>
      <x:c r="F3964" s="19" t="str">
        <x:v>-2.6518%</x:v>
      </x:c>
      <x:c r="G3964" s="19" t="str">
        <x:v>质量/成本</x:v>
      </x:c>
      <x:c r="H3964" s="19" t="str">
        <x:v>D:/Codex/GRL研究/outputs/grid84/GRID84_report.md</x:v>
      </x:c>
    </x:row>
    <x:row r="3965" ht="36" customHeight="1">
      <x:c r="A3965" s="19" t="str">
        <x:v>GRID84</x:v>
      </x:c>
      <x:c r="B3965" s="19" t="str">
        <x:v>GRID84_report.md</x:v>
      </x:c>
      <x:c r="C3965" s="19" t="str">
        <x:v>5. 逐日期与计时</x:v>
      </x:c>
      <x:c r="D3965" s="19" t="str">
        <x:v>场景=2036-05-05_9；方法=META_CONTEXT2</x:v>
      </x:c>
      <x:c r="E3965" s="19" t="str">
        <x:v>质量通过</x:v>
      </x:c>
      <x:c r="F3965" s="19" t="str">
        <x:v>True</x:v>
      </x:c>
      <x:c r="G3965" s="19" t="str">
        <x:v>质量/成本</x:v>
      </x:c>
      <x:c r="H3965" s="19" t="str">
        <x:v>D:/Codex/GRL研究/outputs/grid84/GRID84_report.md</x:v>
      </x:c>
    </x:row>
    <x:row r="3966" ht="36" customHeight="1">
      <x:c r="A3966" s="19" t="str">
        <x:v>GRID84</x:v>
      </x:c>
      <x:c r="B3966" s="19" t="str">
        <x:v>GRID84_report.md</x:v>
      </x:c>
      <x:c r="C3966" s="19" t="str">
        <x:v>5. 逐日期与计时</x:v>
      </x:c>
      <x:c r="D3966" s="19" t="str">
        <x:v>场景=2036-05-05_9；方法=META_CONTEXT2</x:v>
      </x:c>
      <x:c r="E3966" s="19" t="str">
        <x:v>查询</x:v>
      </x:c>
      <x:c r="F3966" s="19" t="str">
        <x:v>454</x:v>
      </x:c>
      <x:c r="G3966" s="19" t="str">
        <x:v>速度/计算</x:v>
      </x:c>
      <x:c r="H3966" s="19" t="str">
        <x:v>D:/Codex/GRL研究/outputs/grid84/GRID84_report.md</x:v>
      </x:c>
    </x:row>
    <x:row r="3967" ht="36" customHeight="1">
      <x:c r="A3967" s="19" t="str">
        <x:v>GRID84</x:v>
      </x:c>
      <x:c r="B3967" s="19" t="str">
        <x:v>GRID84_report.md</x:v>
      </x:c>
      <x:c r="C3967" s="19" t="str">
        <x:v>5. 逐日期与计时</x:v>
      </x:c>
      <x:c r="D3967" s="19" t="str">
        <x:v>场景=2036-05-05_9；方法=META_CONTEXT2</x:v>
      </x:c>
      <x:c r="E3967" s="19" t="str">
        <x:v>控制秒均值[最小,最大]</x:v>
      </x:c>
      <x:c r="F3967" s="19" t="str">
        <x:v>35.741[35.579,35.902]</x:v>
      </x:c>
      <x:c r="G3967" s="19" t="str">
        <x:v>速度/计算</x:v>
      </x:c>
      <x:c r="H3967" s="19" t="str">
        <x:v>D:/Codex/GRL研究/outputs/grid84/GRID84_report.md</x:v>
      </x:c>
    </x:row>
    <x:row r="3968" ht="36" customHeight="1">
      <x:c r="A3968" s="19" t="str">
        <x:v>GRID84</x:v>
      </x:c>
      <x:c r="B3968" s="19" t="str">
        <x:v>GRID84_report.md</x:v>
      </x:c>
      <x:c r="C3968" s="19" t="str">
        <x:v>5. 逐日期与计时</x:v>
      </x:c>
      <x:c r="D3968" s="19" t="str">
        <x:v>场景=2036-05-05_9；方法=META_CONTEXT2</x:v>
      </x:c>
      <x:c r="E3968" s="19" t="str">
        <x:v>P95秒</x:v>
      </x:c>
      <x:c r="F3968" s="19" t="str">
        <x:v>0.0280</x:v>
      </x:c>
      <x:c r="G3968" s="19" t="str">
        <x:v>速度/计算</x:v>
      </x:c>
      <x:c r="H3968" s="19" t="str">
        <x:v>D:/Codex/GRL研究/outputs/grid84/GRID84_report.md</x:v>
      </x:c>
    </x:row>
    <x:row r="3969" ht="36" customHeight="1">
      <x:c r="A3969" s="19" t="str">
        <x:v>GRID84</x:v>
      </x:c>
      <x:c r="B3969" s="19" t="str">
        <x:v>GRID84_report.md</x:v>
      </x:c>
      <x:c r="C3969" s="19" t="str">
        <x:v>5. 逐日期与计时</x:v>
      </x:c>
      <x:c r="D3969" s="19" t="str">
        <x:v>场景=2036-05-05_9；方法=META_CONTEXT3</x:v>
      </x:c>
      <x:c r="E3969" s="19" t="str">
        <x:v>方法</x:v>
      </x:c>
      <x:c r="F3969" s="19" t="str">
        <x:v>META_CONTEXT3</x:v>
      </x:c>
      <x:c r="G3969" s="19" t="str">
        <x:v>其他/配置</x:v>
      </x:c>
      <x:c r="H3969" s="19" t="str">
        <x:v>D:/Codex/GRL研究/outputs/grid84/GRID84_report.md</x:v>
      </x:c>
    </x:row>
    <x:row r="3970" ht="36" customHeight="1">
      <x:c r="A3970" s="19" t="str">
        <x:v>GRID84</x:v>
      </x:c>
      <x:c r="B3970" s="19" t="str">
        <x:v>GRID84_report.md</x:v>
      </x:c>
      <x:c r="C3970" s="19" t="str">
        <x:v>5. 逐日期与计时</x:v>
      </x:c>
      <x:c r="D3970" s="19" t="str">
        <x:v>场景=2036-05-05_9；方法=META_CONTEXT3</x:v>
      </x:c>
      <x:c r="E3970" s="19" t="str">
        <x:v>完成/步数</x:v>
      </x:c>
      <x:c r="F3970" s="19" t="str">
        <x:v>True/2017</x:v>
      </x:c>
      <x:c r="G3970" s="19" t="str">
        <x:v>质量/成本</x:v>
      </x:c>
      <x:c r="H3970" s="19" t="str">
        <x:v>D:/Codex/GRL研究/outputs/grid84/GRID84_report.md</x:v>
      </x:c>
    </x:row>
    <x:row r="3971" ht="36" customHeight="1">
      <x:c r="A3971" s="19" t="str">
        <x:v>GRID84</x:v>
      </x:c>
      <x:c r="B3971" s="19" t="str">
        <x:v>GRID84_report.md</x:v>
      </x:c>
      <x:c r="C3971" s="19" t="str">
        <x:v>5. 逐日期与计时</x:v>
      </x:c>
      <x:c r="D3971" s="19" t="str">
        <x:v>场景=2036-05-05_9；方法=META_CONTEXT3</x:v>
      </x:c>
      <x:c r="E3971" s="19" t="str">
        <x:v>完整周成本相对FULL</x:v>
      </x:c>
      <x:c r="F3971" s="19" t="str">
        <x:v>-2.6518%</x:v>
      </x:c>
      <x:c r="G3971" s="19" t="str">
        <x:v>质量/成本</x:v>
      </x:c>
      <x:c r="H3971" s="19" t="str">
        <x:v>D:/Codex/GRL研究/outputs/grid84/GRID84_report.md</x:v>
      </x:c>
    </x:row>
    <x:row r="3972" ht="36" customHeight="1">
      <x:c r="A3972" s="19" t="str">
        <x:v>GRID84</x:v>
      </x:c>
      <x:c r="B3972" s="19" t="str">
        <x:v>GRID84_report.md</x:v>
      </x:c>
      <x:c r="C3972" s="19" t="str">
        <x:v>5. 逐日期与计时</x:v>
      </x:c>
      <x:c r="D3972" s="19" t="str">
        <x:v>场景=2036-05-05_9；方法=META_CONTEXT3</x:v>
      </x:c>
      <x:c r="E3972" s="19" t="str">
        <x:v>质量通过</x:v>
      </x:c>
      <x:c r="F3972" s="19" t="str">
        <x:v>True</x:v>
      </x:c>
      <x:c r="G3972" s="19" t="str">
        <x:v>质量/成本</x:v>
      </x:c>
      <x:c r="H3972" s="19" t="str">
        <x:v>D:/Codex/GRL研究/outputs/grid84/GRID84_report.md</x:v>
      </x:c>
    </x:row>
    <x:row r="3973" ht="36" customHeight="1">
      <x:c r="A3973" s="19" t="str">
        <x:v>GRID84</x:v>
      </x:c>
      <x:c r="B3973" s="19" t="str">
        <x:v>GRID84_report.md</x:v>
      </x:c>
      <x:c r="C3973" s="19" t="str">
        <x:v>5. 逐日期与计时</x:v>
      </x:c>
      <x:c r="D3973" s="19" t="str">
        <x:v>场景=2036-05-05_9；方法=META_CONTEXT3</x:v>
      </x:c>
      <x:c r="E3973" s="19" t="str">
        <x:v>查询</x:v>
      </x:c>
      <x:c r="F3973" s="19" t="str">
        <x:v>454</x:v>
      </x:c>
      <x:c r="G3973" s="19" t="str">
        <x:v>速度/计算</x:v>
      </x:c>
      <x:c r="H3973" s="19" t="str">
        <x:v>D:/Codex/GRL研究/outputs/grid84/GRID84_report.md</x:v>
      </x:c>
    </x:row>
    <x:row r="3974" ht="36" customHeight="1">
      <x:c r="A3974" s="19" t="str">
        <x:v>GRID84</x:v>
      </x:c>
      <x:c r="B3974" s="19" t="str">
        <x:v>GRID84_report.md</x:v>
      </x:c>
      <x:c r="C3974" s="19" t="str">
        <x:v>5. 逐日期与计时</x:v>
      </x:c>
      <x:c r="D3974" s="19" t="str">
        <x:v>场景=2036-05-05_9；方法=META_CONTEXT3</x:v>
      </x:c>
      <x:c r="E3974" s="19" t="str">
        <x:v>控制秒均值[最小,最大]</x:v>
      </x:c>
      <x:c r="F3974" s="19" t="str">
        <x:v>35.618[35.493,35.743]</x:v>
      </x:c>
      <x:c r="G3974" s="19" t="str">
        <x:v>速度/计算</x:v>
      </x:c>
      <x:c r="H3974" s="19" t="str">
        <x:v>D:/Codex/GRL研究/outputs/grid84/GRID84_report.md</x:v>
      </x:c>
    </x:row>
    <x:row r="3975" ht="36" customHeight="1">
      <x:c r="A3975" s="19" t="str">
        <x:v>GRID84</x:v>
      </x:c>
      <x:c r="B3975" s="19" t="str">
        <x:v>GRID84_report.md</x:v>
      </x:c>
      <x:c r="C3975" s="19" t="str">
        <x:v>5. 逐日期与计时</x:v>
      </x:c>
      <x:c r="D3975" s="19" t="str">
        <x:v>场景=2036-05-05_9；方法=META_CONTEXT3</x:v>
      </x:c>
      <x:c r="E3975" s="19" t="str">
        <x:v>P95秒</x:v>
      </x:c>
      <x:c r="F3975" s="19" t="str">
        <x:v>0.0279</x:v>
      </x:c>
      <x:c r="G3975" s="19" t="str">
        <x:v>速度/计算</x:v>
      </x:c>
      <x:c r="H3975" s="19" t="str">
        <x:v>D:/Codex/GRL研究/outputs/grid84/GRID84_report.md</x:v>
      </x:c>
    </x:row>
    <x:row r="3976" ht="36" customHeight="1">
      <x:c r="A3976" s="19" t="str">
        <x:v>GRID84</x:v>
      </x:c>
      <x:c r="B3976" s="19" t="str">
        <x:v>GRID84_report.md</x:v>
      </x:c>
      <x:c r="C3976" s="19" t="str">
        <x:v>5. 逐日期与计时</x:v>
      </x:c>
      <x:c r="D3976" s="19" t="str">
        <x:v>场景=2036-05-05_9；方法=META_CONTEXT4</x:v>
      </x:c>
      <x:c r="E3976" s="19" t="str">
        <x:v>方法</x:v>
      </x:c>
      <x:c r="F3976" s="19" t="str">
        <x:v>META_CONTEXT4</x:v>
      </x:c>
      <x:c r="G3976" s="19" t="str">
        <x:v>其他/配置</x:v>
      </x:c>
      <x:c r="H3976" s="19" t="str">
        <x:v>D:/Codex/GRL研究/outputs/grid84/GRID84_report.md</x:v>
      </x:c>
    </x:row>
    <x:row r="3977" ht="36" customHeight="1">
      <x:c r="A3977" s="19" t="str">
        <x:v>GRID84</x:v>
      </x:c>
      <x:c r="B3977" s="19" t="str">
        <x:v>GRID84_report.md</x:v>
      </x:c>
      <x:c r="C3977" s="19" t="str">
        <x:v>5. 逐日期与计时</x:v>
      </x:c>
      <x:c r="D3977" s="19" t="str">
        <x:v>场景=2036-05-05_9；方法=META_CONTEXT4</x:v>
      </x:c>
      <x:c r="E3977" s="19" t="str">
        <x:v>完成/步数</x:v>
      </x:c>
      <x:c r="F3977" s="19" t="str">
        <x:v>True/2017</x:v>
      </x:c>
      <x:c r="G3977" s="19" t="str">
        <x:v>质量/成本</x:v>
      </x:c>
      <x:c r="H3977" s="19" t="str">
        <x:v>D:/Codex/GRL研究/outputs/grid84/GRID84_report.md</x:v>
      </x:c>
    </x:row>
    <x:row r="3978" ht="36" customHeight="1">
      <x:c r="A3978" s="19" t="str">
        <x:v>GRID84</x:v>
      </x:c>
      <x:c r="B3978" s="19" t="str">
        <x:v>GRID84_report.md</x:v>
      </x:c>
      <x:c r="C3978" s="19" t="str">
        <x:v>5. 逐日期与计时</x:v>
      </x:c>
      <x:c r="D3978" s="19" t="str">
        <x:v>场景=2036-05-05_9；方法=META_CONTEXT4</x:v>
      </x:c>
      <x:c r="E3978" s="19" t="str">
        <x:v>完整周成本相对FULL</x:v>
      </x:c>
      <x:c r="F3978" s="19" t="str">
        <x:v>-2.3331%</x:v>
      </x:c>
      <x:c r="G3978" s="19" t="str">
        <x:v>质量/成本</x:v>
      </x:c>
      <x:c r="H3978" s="19" t="str">
        <x:v>D:/Codex/GRL研究/outputs/grid84/GRID84_report.md</x:v>
      </x:c>
    </x:row>
    <x:row r="3979" ht="36" customHeight="1">
      <x:c r="A3979" s="19" t="str">
        <x:v>GRID84</x:v>
      </x:c>
      <x:c r="B3979" s="19" t="str">
        <x:v>GRID84_report.md</x:v>
      </x:c>
      <x:c r="C3979" s="19" t="str">
        <x:v>5. 逐日期与计时</x:v>
      </x:c>
      <x:c r="D3979" s="19" t="str">
        <x:v>场景=2036-05-05_9；方法=META_CONTEXT4</x:v>
      </x:c>
      <x:c r="E3979" s="19" t="str">
        <x:v>质量通过</x:v>
      </x:c>
      <x:c r="F3979" s="19" t="str">
        <x:v>True</x:v>
      </x:c>
      <x:c r="G3979" s="19" t="str">
        <x:v>质量/成本</x:v>
      </x:c>
      <x:c r="H3979" s="19" t="str">
        <x:v>D:/Codex/GRL研究/outputs/grid84/GRID84_report.md</x:v>
      </x:c>
    </x:row>
    <x:row r="3980" ht="36" customHeight="1">
      <x:c r="A3980" s="19" t="str">
        <x:v>GRID84</x:v>
      </x:c>
      <x:c r="B3980" s="19" t="str">
        <x:v>GRID84_report.md</x:v>
      </x:c>
      <x:c r="C3980" s="19" t="str">
        <x:v>5. 逐日期与计时</x:v>
      </x:c>
      <x:c r="D3980" s="19" t="str">
        <x:v>场景=2036-05-05_9；方法=META_CONTEXT4</x:v>
      </x:c>
      <x:c r="E3980" s="19" t="str">
        <x:v>查询</x:v>
      </x:c>
      <x:c r="F3980" s="19" t="str">
        <x:v>128</x:v>
      </x:c>
      <x:c r="G3980" s="19" t="str">
        <x:v>速度/计算</x:v>
      </x:c>
      <x:c r="H3980" s="19" t="str">
        <x:v>D:/Codex/GRL研究/outputs/grid84/GRID84_report.md</x:v>
      </x:c>
    </x:row>
    <x:row r="3981" ht="36" customHeight="1">
      <x:c r="A3981" s="19" t="str">
        <x:v>GRID84</x:v>
      </x:c>
      <x:c r="B3981" s="19" t="str">
        <x:v>GRID84_report.md</x:v>
      </x:c>
      <x:c r="C3981" s="19" t="str">
        <x:v>5. 逐日期与计时</x:v>
      </x:c>
      <x:c r="D3981" s="19" t="str">
        <x:v>场景=2036-05-05_9；方法=META_CONTEXT4</x:v>
      </x:c>
      <x:c r="E3981" s="19" t="str">
        <x:v>控制秒均值[最小,最大]</x:v>
      </x:c>
      <x:c r="F3981" s="19" t="str">
        <x:v>37.612[37.432,37.792]</x:v>
      </x:c>
      <x:c r="G3981" s="19" t="str">
        <x:v>速度/计算</x:v>
      </x:c>
      <x:c r="H3981" s="19" t="str">
        <x:v>D:/Codex/GRL研究/outputs/grid84/GRID84_report.md</x:v>
      </x:c>
    </x:row>
    <x:row r="3982" ht="36" customHeight="1">
      <x:c r="A3982" s="19" t="str">
        <x:v>GRID84</x:v>
      </x:c>
      <x:c r="B3982" s="19" t="str">
        <x:v>GRID84_report.md</x:v>
      </x:c>
      <x:c r="C3982" s="19" t="str">
        <x:v>5. 逐日期与计时</x:v>
      </x:c>
      <x:c r="D3982" s="19" t="str">
        <x:v>场景=2036-05-05_9；方法=META_CONTEXT4</x:v>
      </x:c>
      <x:c r="E3982" s="19" t="str">
        <x:v>P95秒</x:v>
      </x:c>
      <x:c r="F3982" s="19" t="str">
        <x:v>0.0279</x:v>
      </x:c>
      <x:c r="G3982" s="19" t="str">
        <x:v>速度/计算</x:v>
      </x:c>
      <x:c r="H3982" s="19" t="str">
        <x:v>D:/Codex/GRL研究/outputs/grid84/GRID84_report.md</x:v>
      </x:c>
    </x:row>
    <x:row r="3983" ht="36" customHeight="1">
      <x:c r="A3983" s="19" t="str">
        <x:v>GRID84</x:v>
      </x:c>
      <x:c r="B3983" s="19" t="str">
        <x:v>GRID84_report.md</x:v>
      </x:c>
      <x:c r="C3983" s="19" t="str">
        <x:v>5. 逐日期与计时</x:v>
      </x:c>
      <x:c r="D3983" s="19" t="str">
        <x:v>场景=2036-07-07_9；方法=FRAME_GUARD</x:v>
      </x:c>
      <x:c r="E3983" s="19" t="str">
        <x:v>方法</x:v>
      </x:c>
      <x:c r="F3983" s="19" t="str">
        <x:v>FRAME_GUARD</x:v>
      </x:c>
      <x:c r="G3983" s="19" t="str">
        <x:v>其他/配置</x:v>
      </x:c>
      <x:c r="H3983" s="19" t="str">
        <x:v>D:/Codex/GRL研究/outputs/grid84/GRID84_report.md</x:v>
      </x:c>
    </x:row>
    <x:row r="3984" ht="36" customHeight="1">
      <x:c r="A3984" s="19" t="str">
        <x:v>GRID84</x:v>
      </x:c>
      <x:c r="B3984" s="19" t="str">
        <x:v>GRID84_report.md</x:v>
      </x:c>
      <x:c r="C3984" s="19" t="str">
        <x:v>5. 逐日期与计时</x:v>
      </x:c>
      <x:c r="D3984" s="19" t="str">
        <x:v>场景=2036-07-07_9；方法=FRAME_GUARD</x:v>
      </x:c>
      <x:c r="E3984" s="19" t="str">
        <x:v>完成/步数</x:v>
      </x:c>
      <x:c r="F3984" s="19" t="str">
        <x:v>True/2017</x:v>
      </x:c>
      <x:c r="G3984" s="19" t="str">
        <x:v>质量/成本</x:v>
      </x:c>
      <x:c r="H3984" s="19" t="str">
        <x:v>D:/Codex/GRL研究/outputs/grid84/GRID84_report.md</x:v>
      </x:c>
    </x:row>
    <x:row r="3985" ht="36" customHeight="1">
      <x:c r="A3985" s="19" t="str">
        <x:v>GRID84</x:v>
      </x:c>
      <x:c r="B3985" s="19" t="str">
        <x:v>GRID84_report.md</x:v>
      </x:c>
      <x:c r="C3985" s="19" t="str">
        <x:v>5. 逐日期与计时</x:v>
      </x:c>
      <x:c r="D3985" s="19" t="str">
        <x:v>场景=2036-07-07_9；方法=FRAME_GUARD</x:v>
      </x:c>
      <x:c r="E3985" s="19" t="str">
        <x:v>完整周成本相对FULL</x:v>
      </x:c>
      <x:c r="F3985" s="19" t="str">
        <x:v>-1.0881%</x:v>
      </x:c>
      <x:c r="G3985" s="19" t="str">
        <x:v>质量/成本</x:v>
      </x:c>
      <x:c r="H3985" s="19" t="str">
        <x:v>D:/Codex/GRL研究/outputs/grid84/GRID84_report.md</x:v>
      </x:c>
    </x:row>
    <x:row r="3986" ht="36" customHeight="1">
      <x:c r="A3986" s="19" t="str">
        <x:v>GRID84</x:v>
      </x:c>
      <x:c r="B3986" s="19" t="str">
        <x:v>GRID84_report.md</x:v>
      </x:c>
      <x:c r="C3986" s="19" t="str">
        <x:v>5. 逐日期与计时</x:v>
      </x:c>
      <x:c r="D3986" s="19" t="str">
        <x:v>场景=2036-07-07_9；方法=FRAME_GUARD</x:v>
      </x:c>
      <x:c r="E3986" s="19" t="str">
        <x:v>质量通过</x:v>
      </x:c>
      <x:c r="F3986" s="19" t="str">
        <x:v>True</x:v>
      </x:c>
      <x:c r="G3986" s="19" t="str">
        <x:v>质量/成本</x:v>
      </x:c>
      <x:c r="H3986" s="19" t="str">
        <x:v>D:/Codex/GRL研究/outputs/grid84/GRID84_report.md</x:v>
      </x:c>
    </x:row>
    <x:row r="3987" ht="36" customHeight="1">
      <x:c r="A3987" s="19" t="str">
        <x:v>GRID84</x:v>
      </x:c>
      <x:c r="B3987" s="19" t="str">
        <x:v>GRID84_report.md</x:v>
      </x:c>
      <x:c r="C3987" s="19" t="str">
        <x:v>5. 逐日期与计时</x:v>
      </x:c>
      <x:c r="D3987" s="19" t="str">
        <x:v>场景=2036-07-07_9；方法=FRAME_GUARD</x:v>
      </x:c>
      <x:c r="E3987" s="19" t="str">
        <x:v>查询</x:v>
      </x:c>
      <x:c r="F3987" s="19" t="str">
        <x:v>3470</x:v>
      </x:c>
      <x:c r="G3987" s="19" t="str">
        <x:v>速度/计算</x:v>
      </x:c>
      <x:c r="H3987" s="19" t="str">
        <x:v>D:/Codex/GRL研究/outputs/grid84/GRID84_report.md</x:v>
      </x:c>
    </x:row>
    <x:row r="3988" ht="36" customHeight="1">
      <x:c r="A3988" s="19" t="str">
        <x:v>GRID84</x:v>
      </x:c>
      <x:c r="B3988" s="19" t="str">
        <x:v>GRID84_report.md</x:v>
      </x:c>
      <x:c r="C3988" s="19" t="str">
        <x:v>5. 逐日期与计时</x:v>
      </x:c>
      <x:c r="D3988" s="19" t="str">
        <x:v>场景=2036-07-07_9；方法=FRAME_GUARD</x:v>
      </x:c>
      <x:c r="E3988" s="19" t="str">
        <x:v>控制秒均值[最小,最大]</x:v>
      </x:c>
      <x:c r="F3988" s="19" t="str">
        <x:v>43.211[42.951,43.470]</x:v>
      </x:c>
      <x:c r="G3988" s="19" t="str">
        <x:v>速度/计算</x:v>
      </x:c>
      <x:c r="H3988" s="19" t="str">
        <x:v>D:/Codex/GRL研究/outputs/grid84/GRID84_report.md</x:v>
      </x:c>
    </x:row>
    <x:row r="3989" ht="36" customHeight="1">
      <x:c r="A3989" s="19" t="str">
        <x:v>GRID84</x:v>
      </x:c>
      <x:c r="B3989" s="19" t="str">
        <x:v>GRID84_report.md</x:v>
      </x:c>
      <x:c r="C3989" s="19" t="str">
        <x:v>5. 逐日期与计时</x:v>
      </x:c>
      <x:c r="D3989" s="19" t="str">
        <x:v>场景=2036-07-07_9；方法=FRAME_GUARD</x:v>
      </x:c>
      <x:c r="E3989" s="19" t="str">
        <x:v>P95秒</x:v>
      </x:c>
      <x:c r="F3989" s="19" t="str">
        <x:v>0.0338</x:v>
      </x:c>
      <x:c r="G3989" s="19" t="str">
        <x:v>速度/计算</x:v>
      </x:c>
      <x:c r="H3989" s="19" t="str">
        <x:v>D:/Codex/GRL研究/outputs/grid84/GRID84_report.md</x:v>
      </x:c>
    </x:row>
    <x:row r="3990" ht="36" customHeight="1">
      <x:c r="A3990" s="19" t="str">
        <x:v>GRID84</x:v>
      </x:c>
      <x:c r="B3990" s="19" t="str">
        <x:v>GRID84_report.md</x:v>
      </x:c>
      <x:c r="C3990" s="19" t="str">
        <x:v>5. 逐日期与计时</x:v>
      </x:c>
      <x:c r="D3990" s="19" t="str">
        <x:v>场景=2036-07-07_9；方法=META_CONTEXT0</x:v>
      </x:c>
      <x:c r="E3990" s="19" t="str">
        <x:v>方法</x:v>
      </x:c>
      <x:c r="F3990" s="19" t="str">
        <x:v>META_CONTEXT0</x:v>
      </x:c>
      <x:c r="G3990" s="19" t="str">
        <x:v>其他/配置</x:v>
      </x:c>
      <x:c r="H3990" s="19" t="str">
        <x:v>D:/Codex/GRL研究/outputs/grid84/GRID84_report.md</x:v>
      </x:c>
    </x:row>
    <x:row r="3991" ht="36" customHeight="1">
      <x:c r="A3991" s="19" t="str">
        <x:v>GRID84</x:v>
      </x:c>
      <x:c r="B3991" s="19" t="str">
        <x:v>GRID84_report.md</x:v>
      </x:c>
      <x:c r="C3991" s="19" t="str">
        <x:v>5. 逐日期与计时</x:v>
      </x:c>
      <x:c r="D3991" s="19" t="str">
        <x:v>场景=2036-07-07_9；方法=META_CONTEXT0</x:v>
      </x:c>
      <x:c r="E3991" s="19" t="str">
        <x:v>完成/步数</x:v>
      </x:c>
      <x:c r="F3991" s="19" t="str">
        <x:v>True/2017</x:v>
      </x:c>
      <x:c r="G3991" s="19" t="str">
        <x:v>质量/成本</x:v>
      </x:c>
      <x:c r="H3991" s="19" t="str">
        <x:v>D:/Codex/GRL研究/outputs/grid84/GRID84_report.md</x:v>
      </x:c>
    </x:row>
    <x:row r="3992" ht="36" customHeight="1">
      <x:c r="A3992" s="19" t="str">
        <x:v>GRID84</x:v>
      </x:c>
      <x:c r="B3992" s="19" t="str">
        <x:v>GRID84_report.md</x:v>
      </x:c>
      <x:c r="C3992" s="19" t="str">
        <x:v>5. 逐日期与计时</x:v>
      </x:c>
      <x:c r="D3992" s="19" t="str">
        <x:v>场景=2036-07-07_9；方法=META_CONTEXT0</x:v>
      </x:c>
      <x:c r="E3992" s="19" t="str">
        <x:v>完整周成本相对FULL</x:v>
      </x:c>
      <x:c r="F3992" s="19" t="str">
        <x:v>+0.3776%</x:v>
      </x:c>
      <x:c r="G3992" s="19" t="str">
        <x:v>质量/成本</x:v>
      </x:c>
      <x:c r="H3992" s="19" t="str">
        <x:v>D:/Codex/GRL研究/outputs/grid84/GRID84_report.md</x:v>
      </x:c>
    </x:row>
    <x:row r="3993" ht="36" customHeight="1">
      <x:c r="A3993" s="19" t="str">
        <x:v>GRID84</x:v>
      </x:c>
      <x:c r="B3993" s="19" t="str">
        <x:v>GRID84_report.md</x:v>
      </x:c>
      <x:c r="C3993" s="19" t="str">
        <x:v>5. 逐日期与计时</x:v>
      </x:c>
      <x:c r="D3993" s="19" t="str">
        <x:v>场景=2036-07-07_9；方法=META_CONTEXT0</x:v>
      </x:c>
      <x:c r="E3993" s="19" t="str">
        <x:v>质量通过</x:v>
      </x:c>
      <x:c r="F3993" s="19" t="str">
        <x:v>True</x:v>
      </x:c>
      <x:c r="G3993" s="19" t="str">
        <x:v>质量/成本</x:v>
      </x:c>
      <x:c r="H3993" s="19" t="str">
        <x:v>D:/Codex/GRL研究/outputs/grid84/GRID84_report.md</x:v>
      </x:c>
    </x:row>
    <x:row r="3994" ht="36" customHeight="1">
      <x:c r="A3994" s="19" t="str">
        <x:v>GRID84</x:v>
      </x:c>
      <x:c r="B3994" s="19" t="str">
        <x:v>GRID84_report.md</x:v>
      </x:c>
      <x:c r="C3994" s="19" t="str">
        <x:v>5. 逐日期与计时</x:v>
      </x:c>
      <x:c r="D3994" s="19" t="str">
        <x:v>场景=2036-07-07_9；方法=META_CONTEXT0</x:v>
      </x:c>
      <x:c r="E3994" s="19" t="str">
        <x:v>查询</x:v>
      </x:c>
      <x:c r="F3994" s="19" t="str">
        <x:v>4685</x:v>
      </x:c>
      <x:c r="G3994" s="19" t="str">
        <x:v>速度/计算</x:v>
      </x:c>
      <x:c r="H3994" s="19" t="str">
        <x:v>D:/Codex/GRL研究/outputs/grid84/GRID84_report.md</x:v>
      </x:c>
    </x:row>
    <x:row r="3995" ht="36" customHeight="1">
      <x:c r="A3995" s="19" t="str">
        <x:v>GRID84</x:v>
      </x:c>
      <x:c r="B3995" s="19" t="str">
        <x:v>GRID84_report.md</x:v>
      </x:c>
      <x:c r="C3995" s="19" t="str">
        <x:v>5. 逐日期与计时</x:v>
      </x:c>
      <x:c r="D3995" s="19" t="str">
        <x:v>场景=2036-07-07_9；方法=META_CONTEXT0</x:v>
      </x:c>
      <x:c r="E3995" s="19" t="str">
        <x:v>控制秒均值[最小,最大]</x:v>
      </x:c>
      <x:c r="F3995" s="19" t="str">
        <x:v>49.344[49.014,49.675]</x:v>
      </x:c>
      <x:c r="G3995" s="19" t="str">
        <x:v>速度/计算</x:v>
      </x:c>
      <x:c r="H3995" s="19" t="str">
        <x:v>D:/Codex/GRL研究/outputs/grid84/GRID84_report.md</x:v>
      </x:c>
    </x:row>
    <x:row r="3996" ht="36" customHeight="1">
      <x:c r="A3996" s="19" t="str">
        <x:v>GRID84</x:v>
      </x:c>
      <x:c r="B3996" s="19" t="str">
        <x:v>GRID84_report.md</x:v>
      </x:c>
      <x:c r="C3996" s="19" t="str">
        <x:v>5. 逐日期与计时</x:v>
      </x:c>
      <x:c r="D3996" s="19" t="str">
        <x:v>场景=2036-07-07_9；方法=META_CONTEXT0</x:v>
      </x:c>
      <x:c r="E3996" s="19" t="str">
        <x:v>P95秒</x:v>
      </x:c>
      <x:c r="F3996" s="19" t="str">
        <x:v>0.0309</x:v>
      </x:c>
      <x:c r="G3996" s="19" t="str">
        <x:v>速度/计算</x:v>
      </x:c>
      <x:c r="H3996" s="19" t="str">
        <x:v>D:/Codex/GRL研究/outputs/grid84/GRID84_report.md</x:v>
      </x:c>
    </x:row>
    <x:row r="3997" ht="36" customHeight="1">
      <x:c r="A3997" s="19" t="str">
        <x:v>GRID84</x:v>
      </x:c>
      <x:c r="B3997" s="19" t="str">
        <x:v>GRID84_report.md</x:v>
      </x:c>
      <x:c r="C3997" s="19" t="str">
        <x:v>5. 逐日期与计时</x:v>
      </x:c>
      <x:c r="D3997" s="19" t="str">
        <x:v>场景=2036-07-07_9；方法=META_CONTEXT1</x:v>
      </x:c>
      <x:c r="E3997" s="19" t="str">
        <x:v>方法</x:v>
      </x:c>
      <x:c r="F3997" s="19" t="str">
        <x:v>META_CONTEXT1</x:v>
      </x:c>
      <x:c r="G3997" s="19" t="str">
        <x:v>其他/配置</x:v>
      </x:c>
      <x:c r="H3997" s="19" t="str">
        <x:v>D:/Codex/GRL研究/outputs/grid84/GRID84_report.md</x:v>
      </x:c>
    </x:row>
    <x:row r="3998" ht="36" customHeight="1">
      <x:c r="A3998" s="19" t="str">
        <x:v>GRID84</x:v>
      </x:c>
      <x:c r="B3998" s="19" t="str">
        <x:v>GRID84_report.md</x:v>
      </x:c>
      <x:c r="C3998" s="19" t="str">
        <x:v>5. 逐日期与计时</x:v>
      </x:c>
      <x:c r="D3998" s="19" t="str">
        <x:v>场景=2036-07-07_9；方法=META_CONTEXT1</x:v>
      </x:c>
      <x:c r="E3998" s="19" t="str">
        <x:v>完成/步数</x:v>
      </x:c>
      <x:c r="F3998" s="19" t="str">
        <x:v>True/2017</x:v>
      </x:c>
      <x:c r="G3998" s="19" t="str">
        <x:v>质量/成本</x:v>
      </x:c>
      <x:c r="H3998" s="19" t="str">
        <x:v>D:/Codex/GRL研究/outputs/grid84/GRID84_report.md</x:v>
      </x:c>
    </x:row>
    <x:row r="3999" ht="36" customHeight="1">
      <x:c r="A3999" s="19" t="str">
        <x:v>GRID84</x:v>
      </x:c>
      <x:c r="B3999" s="19" t="str">
        <x:v>GRID84_report.md</x:v>
      </x:c>
      <x:c r="C3999" s="19" t="str">
        <x:v>5. 逐日期与计时</x:v>
      </x:c>
      <x:c r="D3999" s="19" t="str">
        <x:v>场景=2036-07-07_9；方法=META_CONTEXT1</x:v>
      </x:c>
      <x:c r="E3999" s="19" t="str">
        <x:v>完整周成本相对FULL</x:v>
      </x:c>
      <x:c r="F3999" s="19" t="str">
        <x:v>-1.0881%</x:v>
      </x:c>
      <x:c r="G3999" s="19" t="str">
        <x:v>质量/成本</x:v>
      </x:c>
      <x:c r="H3999" s="19" t="str">
        <x:v>D:/Codex/GRL研究/outputs/grid84/GRID84_report.md</x:v>
      </x:c>
    </x:row>
    <x:row r="4000" ht="36" customHeight="1">
      <x:c r="A4000" s="19" t="str">
        <x:v>GRID84</x:v>
      </x:c>
      <x:c r="B4000" s="19" t="str">
        <x:v>GRID84_report.md</x:v>
      </x:c>
      <x:c r="C4000" s="19" t="str">
        <x:v>5. 逐日期与计时</x:v>
      </x:c>
      <x:c r="D4000" s="19" t="str">
        <x:v>场景=2036-07-07_9；方法=META_CONTEXT1</x:v>
      </x:c>
      <x:c r="E4000" s="19" t="str">
        <x:v>质量通过</x:v>
      </x:c>
      <x:c r="F4000" s="19" t="str">
        <x:v>True</x:v>
      </x:c>
      <x:c r="G4000" s="19" t="str">
        <x:v>质量/成本</x:v>
      </x:c>
      <x:c r="H4000" s="19" t="str">
        <x:v>D:/Codex/GRL研究/outputs/grid84/GRID84_report.md</x:v>
      </x:c>
    </x:row>
    <x:row r="4001" ht="36" customHeight="1">
      <x:c r="A4001" s="19" t="str">
        <x:v>GRID84</x:v>
      </x:c>
      <x:c r="B4001" s="19" t="str">
        <x:v>GRID84_report.md</x:v>
      </x:c>
      <x:c r="C4001" s="19" t="str">
        <x:v>5. 逐日期与计时</x:v>
      </x:c>
      <x:c r="D4001" s="19" t="str">
        <x:v>场景=2036-07-07_9；方法=META_CONTEXT1</x:v>
      </x:c>
      <x:c r="E4001" s="19" t="str">
        <x:v>查询</x:v>
      </x:c>
      <x:c r="F4001" s="19" t="str">
        <x:v>3470</x:v>
      </x:c>
      <x:c r="G4001" s="19" t="str">
        <x:v>速度/计算</x:v>
      </x:c>
      <x:c r="H4001" s="19" t="str">
        <x:v>D:/Codex/GRL研究/outputs/grid84/GRID84_report.md</x:v>
      </x:c>
    </x:row>
    <x:row r="4002" ht="36" customHeight="1">
      <x:c r="A4002" s="19" t="str">
        <x:v>GRID84</x:v>
      </x:c>
      <x:c r="B4002" s="19" t="str">
        <x:v>GRID84_report.md</x:v>
      </x:c>
      <x:c r="C4002" s="19" t="str">
        <x:v>5. 逐日期与计时</x:v>
      </x:c>
      <x:c r="D4002" s="19" t="str">
        <x:v>场景=2036-07-07_9；方法=META_CONTEXT1</x:v>
      </x:c>
      <x:c r="E4002" s="19" t="str">
        <x:v>控制秒均值[最小,最大]</x:v>
      </x:c>
      <x:c r="F4002" s="19" t="str">
        <x:v>43.292[43.037,43.547]</x:v>
      </x:c>
      <x:c r="G4002" s="19" t="str">
        <x:v>速度/计算</x:v>
      </x:c>
      <x:c r="H4002" s="19" t="str">
        <x:v>D:/Codex/GRL研究/outputs/grid84/GRID84_report.md</x:v>
      </x:c>
    </x:row>
    <x:row r="4003" ht="36" customHeight="1">
      <x:c r="A4003" s="19" t="str">
        <x:v>GRID84</x:v>
      </x:c>
      <x:c r="B4003" s="19" t="str">
        <x:v>GRID84_report.md</x:v>
      </x:c>
      <x:c r="C4003" s="19" t="str">
        <x:v>5. 逐日期与计时</x:v>
      </x:c>
      <x:c r="D4003" s="19" t="str">
        <x:v>场景=2036-07-07_9；方法=META_CONTEXT1</x:v>
      </x:c>
      <x:c r="E4003" s="19" t="str">
        <x:v>P95秒</x:v>
      </x:c>
      <x:c r="F4003" s="19" t="str">
        <x:v>0.0338</x:v>
      </x:c>
      <x:c r="G4003" s="19" t="str">
        <x:v>速度/计算</x:v>
      </x:c>
      <x:c r="H4003" s="19" t="str">
        <x:v>D:/Codex/GRL研究/outputs/grid84/GRID84_report.md</x:v>
      </x:c>
    </x:row>
    <x:row r="4004" ht="36" customHeight="1">
      <x:c r="A4004" s="19" t="str">
        <x:v>GRID84</x:v>
      </x:c>
      <x:c r="B4004" s="19" t="str">
        <x:v>GRID84_report.md</x:v>
      </x:c>
      <x:c r="C4004" s="19" t="str">
        <x:v>5. 逐日期与计时</x:v>
      </x:c>
      <x:c r="D4004" s="19" t="str">
        <x:v>场景=2036-07-07_9；方法=META_CONTEXT2</x:v>
      </x:c>
      <x:c r="E4004" s="19" t="str">
        <x:v>方法</x:v>
      </x:c>
      <x:c r="F4004" s="19" t="str">
        <x:v>META_CONTEXT2</x:v>
      </x:c>
      <x:c r="G4004" s="19" t="str">
        <x:v>其他/配置</x:v>
      </x:c>
      <x:c r="H4004" s="19" t="str">
        <x:v>D:/Codex/GRL研究/outputs/grid84/GRID84_report.md</x:v>
      </x:c>
    </x:row>
    <x:row r="4005" ht="36" customHeight="1">
      <x:c r="A4005" s="19" t="str">
        <x:v>GRID84</x:v>
      </x:c>
      <x:c r="B4005" s="19" t="str">
        <x:v>GRID84_report.md</x:v>
      </x:c>
      <x:c r="C4005" s="19" t="str">
        <x:v>5. 逐日期与计时</x:v>
      </x:c>
      <x:c r="D4005" s="19" t="str">
        <x:v>场景=2036-07-07_9；方法=META_CONTEXT2</x:v>
      </x:c>
      <x:c r="E4005" s="19" t="str">
        <x:v>完成/步数</x:v>
      </x:c>
      <x:c r="F4005" s="19" t="str">
        <x:v>True/2017</x:v>
      </x:c>
      <x:c r="G4005" s="19" t="str">
        <x:v>质量/成本</x:v>
      </x:c>
      <x:c r="H4005" s="19" t="str">
        <x:v>D:/Codex/GRL研究/outputs/grid84/GRID84_report.md</x:v>
      </x:c>
    </x:row>
    <x:row r="4006" ht="36" customHeight="1">
      <x:c r="A4006" s="19" t="str">
        <x:v>GRID84</x:v>
      </x:c>
      <x:c r="B4006" s="19" t="str">
        <x:v>GRID84_report.md</x:v>
      </x:c>
      <x:c r="C4006" s="19" t="str">
        <x:v>5. 逐日期与计时</x:v>
      </x:c>
      <x:c r="D4006" s="19" t="str">
        <x:v>场景=2036-07-07_9；方法=META_CONTEXT2</x:v>
      </x:c>
      <x:c r="E4006" s="19" t="str">
        <x:v>完整周成本相对FULL</x:v>
      </x:c>
      <x:c r="F4006" s="19" t="str">
        <x:v>-1.0881%</x:v>
      </x:c>
      <x:c r="G4006" s="19" t="str">
        <x:v>质量/成本</x:v>
      </x:c>
      <x:c r="H4006" s="19" t="str">
        <x:v>D:/Codex/GRL研究/outputs/grid84/GRID84_report.md</x:v>
      </x:c>
    </x:row>
    <x:row r="4007" ht="36" customHeight="1">
      <x:c r="A4007" s="19" t="str">
        <x:v>GRID84</x:v>
      </x:c>
      <x:c r="B4007" s="19" t="str">
        <x:v>GRID84_report.md</x:v>
      </x:c>
      <x:c r="C4007" s="19" t="str">
        <x:v>5. 逐日期与计时</x:v>
      </x:c>
      <x:c r="D4007" s="19" t="str">
        <x:v>场景=2036-07-07_9；方法=META_CONTEXT2</x:v>
      </x:c>
      <x:c r="E4007" s="19" t="str">
        <x:v>质量通过</x:v>
      </x:c>
      <x:c r="F4007" s="19" t="str">
        <x:v>True</x:v>
      </x:c>
      <x:c r="G4007" s="19" t="str">
        <x:v>质量/成本</x:v>
      </x:c>
      <x:c r="H4007" s="19" t="str">
        <x:v>D:/Codex/GRL研究/outputs/grid84/GRID84_report.md</x:v>
      </x:c>
    </x:row>
    <x:row r="4008" ht="36" customHeight="1">
      <x:c r="A4008" s="19" t="str">
        <x:v>GRID84</x:v>
      </x:c>
      <x:c r="B4008" s="19" t="str">
        <x:v>GRID84_report.md</x:v>
      </x:c>
      <x:c r="C4008" s="19" t="str">
        <x:v>5. 逐日期与计时</x:v>
      </x:c>
      <x:c r="D4008" s="19" t="str">
        <x:v>场景=2036-07-07_9；方法=META_CONTEXT2</x:v>
      </x:c>
      <x:c r="E4008" s="19" t="str">
        <x:v>查询</x:v>
      </x:c>
      <x:c r="F4008" s="19" t="str">
        <x:v>3661</x:v>
      </x:c>
      <x:c r="G4008" s="19" t="str">
        <x:v>速度/计算</x:v>
      </x:c>
      <x:c r="H4008" s="19" t="str">
        <x:v>D:/Codex/GRL研究/outputs/grid84/GRID84_report.md</x:v>
      </x:c>
    </x:row>
    <x:row r="4009" ht="36" customHeight="1">
      <x:c r="A4009" s="19" t="str">
        <x:v>GRID84</x:v>
      </x:c>
      <x:c r="B4009" s="19" t="str">
        <x:v>GRID84_report.md</x:v>
      </x:c>
      <x:c r="C4009" s="19" t="str">
        <x:v>5. 逐日期与计时</x:v>
      </x:c>
      <x:c r="D4009" s="19" t="str">
        <x:v>场景=2036-07-07_9；方法=META_CONTEXT2</x:v>
      </x:c>
      <x:c r="E4009" s="19" t="str">
        <x:v>控制秒均值[最小,最大]</x:v>
      </x:c>
      <x:c r="F4009" s="19" t="str">
        <x:v>44.436[43.693,45.179]</x:v>
      </x:c>
      <x:c r="G4009" s="19" t="str">
        <x:v>速度/计算</x:v>
      </x:c>
      <x:c r="H4009" s="19" t="str">
        <x:v>D:/Codex/GRL研究/outputs/grid84/GRID84_report.md</x:v>
      </x:c>
    </x:row>
    <x:row r="4010" ht="36" customHeight="1">
      <x:c r="A4010" s="19" t="str">
        <x:v>GRID84</x:v>
      </x:c>
      <x:c r="B4010" s="19" t="str">
        <x:v>GRID84_report.md</x:v>
      </x:c>
      <x:c r="C4010" s="19" t="str">
        <x:v>5. 逐日期与计时</x:v>
      </x:c>
      <x:c r="D4010" s="19" t="str">
        <x:v>场景=2036-07-07_9；方法=META_CONTEXT2</x:v>
      </x:c>
      <x:c r="E4010" s="19" t="str">
        <x:v>P95秒</x:v>
      </x:c>
      <x:c r="F4010" s="19" t="str">
        <x:v>0.0345</x:v>
      </x:c>
      <x:c r="G4010" s="19" t="str">
        <x:v>速度/计算</x:v>
      </x:c>
      <x:c r="H4010" s="19" t="str">
        <x:v>D:/Codex/GRL研究/outputs/grid84/GRID84_report.md</x:v>
      </x:c>
    </x:row>
    <x:row r="4011" ht="36" customHeight="1">
      <x:c r="A4011" s="19" t="str">
        <x:v>GRID84</x:v>
      </x:c>
      <x:c r="B4011" s="19" t="str">
        <x:v>GRID84_report.md</x:v>
      </x:c>
      <x:c r="C4011" s="19" t="str">
        <x:v>5. 逐日期与计时</x:v>
      </x:c>
      <x:c r="D4011" s="19" t="str">
        <x:v>场景=2036-07-07_9；方法=META_CONTEXT3</x:v>
      </x:c>
      <x:c r="E4011" s="19" t="str">
        <x:v>方法</x:v>
      </x:c>
      <x:c r="F4011" s="19" t="str">
        <x:v>META_CONTEXT3</x:v>
      </x:c>
      <x:c r="G4011" s="19" t="str">
        <x:v>其他/配置</x:v>
      </x:c>
      <x:c r="H4011" s="19" t="str">
        <x:v>D:/Codex/GRL研究/outputs/grid84/GRID84_report.md</x:v>
      </x:c>
    </x:row>
    <x:row r="4012" ht="36" customHeight="1">
      <x:c r="A4012" s="19" t="str">
        <x:v>GRID84</x:v>
      </x:c>
      <x:c r="B4012" s="19" t="str">
        <x:v>GRID84_report.md</x:v>
      </x:c>
      <x:c r="C4012" s="19" t="str">
        <x:v>5. 逐日期与计时</x:v>
      </x:c>
      <x:c r="D4012" s="19" t="str">
        <x:v>场景=2036-07-07_9；方法=META_CONTEXT3</x:v>
      </x:c>
      <x:c r="E4012" s="19" t="str">
        <x:v>完成/步数</x:v>
      </x:c>
      <x:c r="F4012" s="19" t="str">
        <x:v>True/2017</x:v>
      </x:c>
      <x:c r="G4012" s="19" t="str">
        <x:v>质量/成本</x:v>
      </x:c>
      <x:c r="H4012" s="19" t="str">
        <x:v>D:/Codex/GRL研究/outputs/grid84/GRID84_report.md</x:v>
      </x:c>
    </x:row>
    <x:row r="4013" ht="36" customHeight="1">
      <x:c r="A4013" s="19" t="str">
        <x:v>GRID84</x:v>
      </x:c>
      <x:c r="B4013" s="19" t="str">
        <x:v>GRID84_report.md</x:v>
      </x:c>
      <x:c r="C4013" s="19" t="str">
        <x:v>5. 逐日期与计时</x:v>
      </x:c>
      <x:c r="D4013" s="19" t="str">
        <x:v>场景=2036-07-07_9；方法=META_CONTEXT3</x:v>
      </x:c>
      <x:c r="E4013" s="19" t="str">
        <x:v>完整周成本相对FULL</x:v>
      </x:c>
      <x:c r="F4013" s="19" t="str">
        <x:v>+0.3776%</x:v>
      </x:c>
      <x:c r="G4013" s="19" t="str">
        <x:v>质量/成本</x:v>
      </x:c>
      <x:c r="H4013" s="19" t="str">
        <x:v>D:/Codex/GRL研究/outputs/grid84/GRID84_report.md</x:v>
      </x:c>
    </x:row>
    <x:row r="4014" ht="36" customHeight="1">
      <x:c r="A4014" s="19" t="str">
        <x:v>GRID84</x:v>
      </x:c>
      <x:c r="B4014" s="19" t="str">
        <x:v>GRID84_report.md</x:v>
      </x:c>
      <x:c r="C4014" s="19" t="str">
        <x:v>5. 逐日期与计时</x:v>
      </x:c>
      <x:c r="D4014" s="19" t="str">
        <x:v>场景=2036-07-07_9；方法=META_CONTEXT3</x:v>
      </x:c>
      <x:c r="E4014" s="19" t="str">
        <x:v>质量通过</x:v>
      </x:c>
      <x:c r="F4014" s="19" t="str">
        <x:v>True</x:v>
      </x:c>
      <x:c r="G4014" s="19" t="str">
        <x:v>质量/成本</x:v>
      </x:c>
      <x:c r="H4014" s="19" t="str">
        <x:v>D:/Codex/GRL研究/outputs/grid84/GRID84_report.md</x:v>
      </x:c>
    </x:row>
    <x:row r="4015" ht="36" customHeight="1">
      <x:c r="A4015" s="19" t="str">
        <x:v>GRID84</x:v>
      </x:c>
      <x:c r="B4015" s="19" t="str">
        <x:v>GRID84_report.md</x:v>
      </x:c>
      <x:c r="C4015" s="19" t="str">
        <x:v>5. 逐日期与计时</x:v>
      </x:c>
      <x:c r="D4015" s="19" t="str">
        <x:v>场景=2036-07-07_9；方法=META_CONTEXT3</x:v>
      </x:c>
      <x:c r="E4015" s="19" t="str">
        <x:v>查询</x:v>
      </x:c>
      <x:c r="F4015" s="19" t="str">
        <x:v>4415</x:v>
      </x:c>
      <x:c r="G4015" s="19" t="str">
        <x:v>速度/计算</x:v>
      </x:c>
      <x:c r="H4015" s="19" t="str">
        <x:v>D:/Codex/GRL研究/outputs/grid84/GRID84_report.md</x:v>
      </x:c>
    </x:row>
    <x:row r="4016" ht="36" customHeight="1">
      <x:c r="A4016" s="19" t="str">
        <x:v>GRID84</x:v>
      </x:c>
      <x:c r="B4016" s="19" t="str">
        <x:v>GRID84_report.md</x:v>
      </x:c>
      <x:c r="C4016" s="19" t="str">
        <x:v>5. 逐日期与计时</x:v>
      </x:c>
      <x:c r="D4016" s="19" t="str">
        <x:v>场景=2036-07-07_9；方法=META_CONTEXT3</x:v>
      </x:c>
      <x:c r="E4016" s="19" t="str">
        <x:v>控制秒均值[最小,最大]</x:v>
      </x:c>
      <x:c r="F4016" s="19" t="str">
        <x:v>49.248[48.926,49.570]</x:v>
      </x:c>
      <x:c r="G4016" s="19" t="str">
        <x:v>速度/计算</x:v>
      </x:c>
      <x:c r="H4016" s="19" t="str">
        <x:v>D:/Codex/GRL研究/outputs/grid84/GRID84_report.md</x:v>
      </x:c>
    </x:row>
    <x:row r="4017" ht="36" customHeight="1">
      <x:c r="A4017" s="19" t="str">
        <x:v>GRID84</x:v>
      </x:c>
      <x:c r="B4017" s="19" t="str">
        <x:v>GRID84_report.md</x:v>
      </x:c>
      <x:c r="C4017" s="19" t="str">
        <x:v>5. 逐日期与计时</x:v>
      </x:c>
      <x:c r="D4017" s="19" t="str">
        <x:v>场景=2036-07-07_9；方法=META_CONTEXT3</x:v>
      </x:c>
      <x:c r="E4017" s="19" t="str">
        <x:v>P95秒</x:v>
      </x:c>
      <x:c r="F4017" s="19" t="str">
        <x:v>0.0313</x:v>
      </x:c>
      <x:c r="G4017" s="19" t="str">
        <x:v>速度/计算</x:v>
      </x:c>
      <x:c r="H4017" s="19" t="str">
        <x:v>D:/Codex/GRL研究/outputs/grid84/GRID84_report.md</x:v>
      </x:c>
    </x:row>
    <x:row r="4018" ht="36" customHeight="1">
      <x:c r="A4018" s="19" t="str">
        <x:v>GRID84</x:v>
      </x:c>
      <x:c r="B4018" s="19" t="str">
        <x:v>GRID84_report.md</x:v>
      </x:c>
      <x:c r="C4018" s="19" t="str">
        <x:v>5. 逐日期与计时</x:v>
      </x:c>
      <x:c r="D4018" s="19" t="str">
        <x:v>场景=2036-07-07_9；方法=META_CONTEXT4</x:v>
      </x:c>
      <x:c r="E4018" s="19" t="str">
        <x:v>方法</x:v>
      </x:c>
      <x:c r="F4018" s="19" t="str">
        <x:v>META_CONTEXT4</x:v>
      </x:c>
      <x:c r="G4018" s="19" t="str">
        <x:v>其他/配置</x:v>
      </x:c>
      <x:c r="H4018" s="19" t="str">
        <x:v>D:/Codex/GRL研究/outputs/grid84/GRID84_report.md</x:v>
      </x:c>
    </x:row>
    <x:row r="4019" ht="36" customHeight="1">
      <x:c r="A4019" s="19" t="str">
        <x:v>GRID84</x:v>
      </x:c>
      <x:c r="B4019" s="19" t="str">
        <x:v>GRID84_report.md</x:v>
      </x:c>
      <x:c r="C4019" s="19" t="str">
        <x:v>5. 逐日期与计时</x:v>
      </x:c>
      <x:c r="D4019" s="19" t="str">
        <x:v>场景=2036-07-07_9；方法=META_CONTEXT4</x:v>
      </x:c>
      <x:c r="E4019" s="19" t="str">
        <x:v>完成/步数</x:v>
      </x:c>
      <x:c r="F4019" s="19" t="str">
        <x:v>True/2017</x:v>
      </x:c>
      <x:c r="G4019" s="19" t="str">
        <x:v>质量/成本</x:v>
      </x:c>
      <x:c r="H4019" s="19" t="str">
        <x:v>D:/Codex/GRL研究/outputs/grid84/GRID84_report.md</x:v>
      </x:c>
    </x:row>
    <x:row r="4020" ht="36" customHeight="1">
      <x:c r="A4020" s="19" t="str">
        <x:v>GRID84</x:v>
      </x:c>
      <x:c r="B4020" s="19" t="str">
        <x:v>GRID84_report.md</x:v>
      </x:c>
      <x:c r="C4020" s="19" t="str">
        <x:v>5. 逐日期与计时</x:v>
      </x:c>
      <x:c r="D4020" s="19" t="str">
        <x:v>场景=2036-07-07_9；方法=META_CONTEXT4</x:v>
      </x:c>
      <x:c r="E4020" s="19" t="str">
        <x:v>完整周成本相对FULL</x:v>
      </x:c>
      <x:c r="F4020" s="19" t="str">
        <x:v>-0.7282%</x:v>
      </x:c>
      <x:c r="G4020" s="19" t="str">
        <x:v>质量/成本</x:v>
      </x:c>
      <x:c r="H4020" s="19" t="str">
        <x:v>D:/Codex/GRL研究/outputs/grid84/GRID84_report.md</x:v>
      </x:c>
    </x:row>
    <x:row r="4021" ht="36" customHeight="1">
      <x:c r="A4021" s="19" t="str">
        <x:v>GRID84</x:v>
      </x:c>
      <x:c r="B4021" s="19" t="str">
        <x:v>GRID84_report.md</x:v>
      </x:c>
      <x:c r="C4021" s="19" t="str">
        <x:v>5. 逐日期与计时</x:v>
      </x:c>
      <x:c r="D4021" s="19" t="str">
        <x:v>场景=2036-07-07_9；方法=META_CONTEXT4</x:v>
      </x:c>
      <x:c r="E4021" s="19" t="str">
        <x:v>质量通过</x:v>
      </x:c>
      <x:c r="F4021" s="19" t="str">
        <x:v>True</x:v>
      </x:c>
      <x:c r="G4021" s="19" t="str">
        <x:v>质量/成本</x:v>
      </x:c>
      <x:c r="H4021" s="19" t="str">
        <x:v>D:/Codex/GRL研究/outputs/grid84/GRID84_report.md</x:v>
      </x:c>
    </x:row>
    <x:row r="4022" ht="36" customHeight="1">
      <x:c r="A4022" s="19" t="str">
        <x:v>GRID84</x:v>
      </x:c>
      <x:c r="B4022" s="19" t="str">
        <x:v>GRID84_report.md</x:v>
      </x:c>
      <x:c r="C4022" s="19" t="str">
        <x:v>5. 逐日期与计时</x:v>
      </x:c>
      <x:c r="D4022" s="19" t="str">
        <x:v>场景=2036-07-07_9；方法=META_CONTEXT4</x:v>
      </x:c>
      <x:c r="E4022" s="19" t="str">
        <x:v>查询</x:v>
      </x:c>
      <x:c r="F4022" s="19" t="str">
        <x:v>2729</x:v>
      </x:c>
      <x:c r="G4022" s="19" t="str">
        <x:v>速度/计算</x:v>
      </x:c>
      <x:c r="H4022" s="19" t="str">
        <x:v>D:/Codex/GRL研究/outputs/grid84/GRID84_report.md</x:v>
      </x:c>
    </x:row>
    <x:row r="4023" ht="36" customHeight="1">
      <x:c r="A4023" s="19" t="str">
        <x:v>GRID84</x:v>
      </x:c>
      <x:c r="B4023" s="19" t="str">
        <x:v>GRID84_report.md</x:v>
      </x:c>
      <x:c r="C4023" s="19" t="str">
        <x:v>5. 逐日期与计时</x:v>
      </x:c>
      <x:c r="D4023" s="19" t="str">
        <x:v>场景=2036-07-07_9；方法=META_CONTEXT4</x:v>
      </x:c>
      <x:c r="E4023" s="19" t="str">
        <x:v>控制秒均值[最小,最大]</x:v>
      </x:c>
      <x:c r="F4023" s="19" t="str">
        <x:v>42.517[42.505,42.530]</x:v>
      </x:c>
      <x:c r="G4023" s="19" t="str">
        <x:v>速度/计算</x:v>
      </x:c>
      <x:c r="H4023" s="19" t="str">
        <x:v>D:/Codex/GRL研究/outputs/grid84/GRID84_report.md</x:v>
      </x:c>
    </x:row>
    <x:row r="4024" ht="36" customHeight="1">
      <x:c r="A4024" s="19" t="str">
        <x:v>GRID84</x:v>
      </x:c>
      <x:c r="B4024" s="19" t="str">
        <x:v>GRID84_report.md</x:v>
      </x:c>
      <x:c r="C4024" s="19" t="str">
        <x:v>5. 逐日期与计时</x:v>
      </x:c>
      <x:c r="D4024" s="19" t="str">
        <x:v>场景=2036-07-07_9；方法=META_CONTEXT4</x:v>
      </x:c>
      <x:c r="E4024" s="19" t="str">
        <x:v>P95秒</x:v>
      </x:c>
      <x:c r="F4024" s="19" t="str">
        <x:v>0.0345</x:v>
      </x:c>
      <x:c r="G4024" s="19" t="str">
        <x:v>速度/计算</x:v>
      </x:c>
      <x:c r="H4024" s="19" t="str">
        <x:v>D:/Codex/GRL研究/outputs/grid84/GRID84_report.md</x:v>
      </x:c>
    </x:row>
    <x:row r="4025" ht="36" customHeight="1">
      <x:c r="A4025" s="19" t="str">
        <x:v>GRID84</x:v>
      </x:c>
      <x:c r="B4025" s="19" t="str">
        <x:v>GRID84_report.md</x:v>
      </x:c>
      <x:c r="C4025" s="19" t="str">
        <x:v>5. 逐日期与计时</x:v>
      </x:c>
      <x:c r="D4025" s="19" t="str">
        <x:v>场景=2036-09-01_9；方法=FRAME_GUARD</x:v>
      </x:c>
      <x:c r="E4025" s="19" t="str">
        <x:v>方法</x:v>
      </x:c>
      <x:c r="F4025" s="19" t="str">
        <x:v>FRAME_GUARD</x:v>
      </x:c>
      <x:c r="G4025" s="19" t="str">
        <x:v>其他/配置</x:v>
      </x:c>
      <x:c r="H4025" s="19" t="str">
        <x:v>D:/Codex/GRL研究/outputs/grid84/GRID84_report.md</x:v>
      </x:c>
    </x:row>
    <x:row r="4026" ht="36" customHeight="1">
      <x:c r="A4026" s="19" t="str">
        <x:v>GRID84</x:v>
      </x:c>
      <x:c r="B4026" s="19" t="str">
        <x:v>GRID84_report.md</x:v>
      </x:c>
      <x:c r="C4026" s="19" t="str">
        <x:v>5. 逐日期与计时</x:v>
      </x:c>
      <x:c r="D4026" s="19" t="str">
        <x:v>场景=2036-09-01_9；方法=FRAME_GUARD</x:v>
      </x:c>
      <x:c r="E4026" s="19" t="str">
        <x:v>完成/步数</x:v>
      </x:c>
      <x:c r="F4026" s="19" t="str">
        <x:v>True/2017</x:v>
      </x:c>
      <x:c r="G4026" s="19" t="str">
        <x:v>质量/成本</x:v>
      </x:c>
      <x:c r="H4026" s="19" t="str">
        <x:v>D:/Codex/GRL研究/outputs/grid84/GRID84_report.md</x:v>
      </x:c>
    </x:row>
    <x:row r="4027" ht="36" customHeight="1">
      <x:c r="A4027" s="19" t="str">
        <x:v>GRID84</x:v>
      </x:c>
      <x:c r="B4027" s="19" t="str">
        <x:v>GRID84_report.md</x:v>
      </x:c>
      <x:c r="C4027" s="19" t="str">
        <x:v>5. 逐日期与计时</x:v>
      </x:c>
      <x:c r="D4027" s="19" t="str">
        <x:v>场景=2036-09-01_9；方法=FRAME_GUARD</x:v>
      </x:c>
      <x:c r="E4027" s="19" t="str">
        <x:v>完整周成本相对FULL</x:v>
      </x:c>
      <x:c r="F4027" s="19" t="str">
        <x:v>-0.0234%</x:v>
      </x:c>
      <x:c r="G4027" s="19" t="str">
        <x:v>质量/成本</x:v>
      </x:c>
      <x:c r="H4027" s="19" t="str">
        <x:v>D:/Codex/GRL研究/outputs/grid84/GRID84_report.md</x:v>
      </x:c>
    </x:row>
    <x:row r="4028" ht="36" customHeight="1">
      <x:c r="A4028" s="19" t="str">
        <x:v>GRID84</x:v>
      </x:c>
      <x:c r="B4028" s="19" t="str">
        <x:v>GRID84_report.md</x:v>
      </x:c>
      <x:c r="C4028" s="19" t="str">
        <x:v>5. 逐日期与计时</x:v>
      </x:c>
      <x:c r="D4028" s="19" t="str">
        <x:v>场景=2036-09-01_9；方法=FRAME_GUARD</x:v>
      </x:c>
      <x:c r="E4028" s="19" t="str">
        <x:v>质量通过</x:v>
      </x:c>
      <x:c r="F4028" s="19" t="str">
        <x:v>True</x:v>
      </x:c>
      <x:c r="G4028" s="19" t="str">
        <x:v>质量/成本</x:v>
      </x:c>
      <x:c r="H4028" s="19" t="str">
        <x:v>D:/Codex/GRL研究/outputs/grid84/GRID84_report.md</x:v>
      </x:c>
    </x:row>
    <x:row r="4029" ht="36" customHeight="1">
      <x:c r="A4029" s="19" t="str">
        <x:v>GRID84</x:v>
      </x:c>
      <x:c r="B4029" s="19" t="str">
        <x:v>GRID84_report.md</x:v>
      </x:c>
      <x:c r="C4029" s="19" t="str">
        <x:v>5. 逐日期与计时</x:v>
      </x:c>
      <x:c r="D4029" s="19" t="str">
        <x:v>场景=2036-09-01_9；方法=FRAME_GUARD</x:v>
      </x:c>
      <x:c r="E4029" s="19" t="str">
        <x:v>查询</x:v>
      </x:c>
      <x:c r="F4029" s="19" t="str">
        <x:v>1061</x:v>
      </x:c>
      <x:c r="G4029" s="19" t="str">
        <x:v>速度/计算</x:v>
      </x:c>
      <x:c r="H4029" s="19" t="str">
        <x:v>D:/Codex/GRL研究/outputs/grid84/GRID84_report.md</x:v>
      </x:c>
    </x:row>
    <x:row r="4030" ht="36" customHeight="1">
      <x:c r="A4030" s="19" t="str">
        <x:v>GRID84</x:v>
      </x:c>
      <x:c r="B4030" s="19" t="str">
        <x:v>GRID84_report.md</x:v>
      </x:c>
      <x:c r="C4030" s="19" t="str">
        <x:v>5. 逐日期与计时</x:v>
      </x:c>
      <x:c r="D4030" s="19" t="str">
        <x:v>场景=2036-09-01_9；方法=FRAME_GUARD</x:v>
      </x:c>
      <x:c r="E4030" s="19" t="str">
        <x:v>控制秒均值[最小,最大]</x:v>
      </x:c>
      <x:c r="F4030" s="19" t="str">
        <x:v>38.175[38.174,38.175]</x:v>
      </x:c>
      <x:c r="G4030" s="19" t="str">
        <x:v>速度/计算</x:v>
      </x:c>
      <x:c r="H4030" s="19" t="str">
        <x:v>D:/Codex/GRL研究/outputs/grid84/GRID84_report.md</x:v>
      </x:c>
    </x:row>
    <x:row r="4031" ht="36" customHeight="1">
      <x:c r="A4031" s="19" t="str">
        <x:v>GRID84</x:v>
      </x:c>
      <x:c r="B4031" s="19" t="str">
        <x:v>GRID84_report.md</x:v>
      </x:c>
      <x:c r="C4031" s="19" t="str">
        <x:v>5. 逐日期与计时</x:v>
      </x:c>
      <x:c r="D4031" s="19" t="str">
        <x:v>场景=2036-09-01_9；方法=FRAME_GUARD</x:v>
      </x:c>
      <x:c r="E4031" s="19" t="str">
        <x:v>P95秒</x:v>
      </x:c>
      <x:c r="F4031" s="19" t="str">
        <x:v>0.0281</x:v>
      </x:c>
      <x:c r="G4031" s="19" t="str">
        <x:v>速度/计算</x:v>
      </x:c>
      <x:c r="H4031" s="19" t="str">
        <x:v>D:/Codex/GRL研究/outputs/grid84/GRID84_report.md</x:v>
      </x:c>
    </x:row>
    <x:row r="4032" ht="36" customHeight="1">
      <x:c r="A4032" s="19" t="str">
        <x:v>GRID84</x:v>
      </x:c>
      <x:c r="B4032" s="19" t="str">
        <x:v>GRID84_report.md</x:v>
      </x:c>
      <x:c r="C4032" s="19" t="str">
        <x:v>5. 逐日期与计时</x:v>
      </x:c>
      <x:c r="D4032" s="19" t="str">
        <x:v>场景=2036-09-01_9；方法=META_CONTEXT0</x:v>
      </x:c>
      <x:c r="E4032" s="19" t="str">
        <x:v>方法</x:v>
      </x:c>
      <x:c r="F4032" s="19" t="str">
        <x:v>META_CONTEXT0</x:v>
      </x:c>
      <x:c r="G4032" s="19" t="str">
        <x:v>其他/配置</x:v>
      </x:c>
      <x:c r="H4032" s="19" t="str">
        <x:v>D:/Codex/GRL研究/outputs/grid84/GRID84_report.md</x:v>
      </x:c>
    </x:row>
    <x:row r="4033" ht="36" customHeight="1">
      <x:c r="A4033" s="19" t="str">
        <x:v>GRID84</x:v>
      </x:c>
      <x:c r="B4033" s="19" t="str">
        <x:v>GRID84_report.md</x:v>
      </x:c>
      <x:c r="C4033" s="19" t="str">
        <x:v>5. 逐日期与计时</x:v>
      </x:c>
      <x:c r="D4033" s="19" t="str">
        <x:v>场景=2036-09-01_9；方法=META_CONTEXT0</x:v>
      </x:c>
      <x:c r="E4033" s="19" t="str">
        <x:v>完成/步数</x:v>
      </x:c>
      <x:c r="F4033" s="19" t="str">
        <x:v>True/2017</x:v>
      </x:c>
      <x:c r="G4033" s="19" t="str">
        <x:v>质量/成本</x:v>
      </x:c>
      <x:c r="H4033" s="19" t="str">
        <x:v>D:/Codex/GRL研究/outputs/grid84/GRID84_report.md</x:v>
      </x:c>
    </x:row>
    <x:row r="4034" ht="36" customHeight="1">
      <x:c r="A4034" s="19" t="str">
        <x:v>GRID84</x:v>
      </x:c>
      <x:c r="B4034" s="19" t="str">
        <x:v>GRID84_report.md</x:v>
      </x:c>
      <x:c r="C4034" s="19" t="str">
        <x:v>5. 逐日期与计时</x:v>
      </x:c>
      <x:c r="D4034" s="19" t="str">
        <x:v>场景=2036-09-01_9；方法=META_CONTEXT0</x:v>
      </x:c>
      <x:c r="E4034" s="19" t="str">
        <x:v>完整周成本相对FULL</x:v>
      </x:c>
      <x:c r="F4034" s="19" t="str">
        <x:v>-0.0302%</x:v>
      </x:c>
      <x:c r="G4034" s="19" t="str">
        <x:v>质量/成本</x:v>
      </x:c>
      <x:c r="H4034" s="19" t="str">
        <x:v>D:/Codex/GRL研究/outputs/grid84/GRID84_report.md</x:v>
      </x:c>
    </x:row>
    <x:row r="4035" ht="36" customHeight="1">
      <x:c r="A4035" s="19" t="str">
        <x:v>GRID84</x:v>
      </x:c>
      <x:c r="B4035" s="19" t="str">
        <x:v>GRID84_report.md</x:v>
      </x:c>
      <x:c r="C4035" s="19" t="str">
        <x:v>5. 逐日期与计时</x:v>
      </x:c>
      <x:c r="D4035" s="19" t="str">
        <x:v>场景=2036-09-01_9；方法=META_CONTEXT0</x:v>
      </x:c>
      <x:c r="E4035" s="19" t="str">
        <x:v>质量通过</x:v>
      </x:c>
      <x:c r="F4035" s="19" t="str">
        <x:v>True</x:v>
      </x:c>
      <x:c r="G4035" s="19" t="str">
        <x:v>质量/成本</x:v>
      </x:c>
      <x:c r="H4035" s="19" t="str">
        <x:v>D:/Codex/GRL研究/outputs/grid84/GRID84_report.md</x:v>
      </x:c>
    </x:row>
    <x:row r="4036" ht="36" customHeight="1">
      <x:c r="A4036" s="19" t="str">
        <x:v>GRID84</x:v>
      </x:c>
      <x:c r="B4036" s="19" t="str">
        <x:v>GRID84_report.md</x:v>
      </x:c>
      <x:c r="C4036" s="19" t="str">
        <x:v>5. 逐日期与计时</x:v>
      </x:c>
      <x:c r="D4036" s="19" t="str">
        <x:v>场景=2036-09-01_9；方法=META_CONTEXT0</x:v>
      </x:c>
      <x:c r="E4036" s="19" t="str">
        <x:v>查询</x:v>
      </x:c>
      <x:c r="F4036" s="19" t="str">
        <x:v>1664</x:v>
      </x:c>
      <x:c r="G4036" s="19" t="str">
        <x:v>速度/计算</x:v>
      </x:c>
      <x:c r="H4036" s="19" t="str">
        <x:v>D:/Codex/GRL研究/outputs/grid84/GRID84_report.md</x:v>
      </x:c>
    </x:row>
    <x:row r="4037" ht="36" customHeight="1">
      <x:c r="A4037" s="19" t="str">
        <x:v>GRID84</x:v>
      </x:c>
      <x:c r="B4037" s="19" t="str">
        <x:v>GRID84_report.md</x:v>
      </x:c>
      <x:c r="C4037" s="19" t="str">
        <x:v>5. 逐日期与计时</x:v>
      </x:c>
      <x:c r="D4037" s="19" t="str">
        <x:v>场景=2036-09-01_9；方法=META_CONTEXT0</x:v>
      </x:c>
      <x:c r="E4037" s="19" t="str">
        <x:v>控制秒均值[最小,最大]</x:v>
      </x:c>
      <x:c r="F4037" s="19" t="str">
        <x:v>39.524[39.309,39.738]</x:v>
      </x:c>
      <x:c r="G4037" s="19" t="str">
        <x:v>速度/计算</x:v>
      </x:c>
      <x:c r="H4037" s="19" t="str">
        <x:v>D:/Codex/GRL研究/outputs/grid84/GRID84_report.md</x:v>
      </x:c>
    </x:row>
    <x:row r="4038" ht="36" customHeight="1">
      <x:c r="A4038" s="19" t="str">
        <x:v>GRID84</x:v>
      </x:c>
      <x:c r="B4038" s="19" t="str">
        <x:v>GRID84_report.md</x:v>
      </x:c>
      <x:c r="C4038" s="19" t="str">
        <x:v>5. 逐日期与计时</x:v>
      </x:c>
      <x:c r="D4038" s="19" t="str">
        <x:v>场景=2036-09-01_9；方法=META_CONTEXT0</x:v>
      </x:c>
      <x:c r="E4038" s="19" t="str">
        <x:v>P95秒</x:v>
      </x:c>
      <x:c r="F4038" s="19" t="str">
        <x:v>0.0281</x:v>
      </x:c>
      <x:c r="G4038" s="19" t="str">
        <x:v>速度/计算</x:v>
      </x:c>
      <x:c r="H4038" s="19" t="str">
        <x:v>D:/Codex/GRL研究/outputs/grid84/GRID84_report.md</x:v>
      </x:c>
    </x:row>
    <x:row r="4039" ht="36" customHeight="1">
      <x:c r="A4039" s="19" t="str">
        <x:v>GRID84</x:v>
      </x:c>
      <x:c r="B4039" s="19" t="str">
        <x:v>GRID84_report.md</x:v>
      </x:c>
      <x:c r="C4039" s="19" t="str">
        <x:v>5. 逐日期与计时</x:v>
      </x:c>
      <x:c r="D4039" s="19" t="str">
        <x:v>场景=2036-09-01_9；方法=META_CONTEXT1</x:v>
      </x:c>
      <x:c r="E4039" s="19" t="str">
        <x:v>方法</x:v>
      </x:c>
      <x:c r="F4039" s="19" t="str">
        <x:v>META_CONTEXT1</x:v>
      </x:c>
      <x:c r="G4039" s="19" t="str">
        <x:v>其他/配置</x:v>
      </x:c>
      <x:c r="H4039" s="19" t="str">
        <x:v>D:/Codex/GRL研究/outputs/grid84/GRID84_report.md</x:v>
      </x:c>
    </x:row>
    <x:row r="4040" ht="36" customHeight="1">
      <x:c r="A4040" s="19" t="str">
        <x:v>GRID84</x:v>
      </x:c>
      <x:c r="B4040" s="19" t="str">
        <x:v>GRID84_report.md</x:v>
      </x:c>
      <x:c r="C4040" s="19" t="str">
        <x:v>5. 逐日期与计时</x:v>
      </x:c>
      <x:c r="D4040" s="19" t="str">
        <x:v>场景=2036-09-01_9；方法=META_CONTEXT1</x:v>
      </x:c>
      <x:c r="E4040" s="19" t="str">
        <x:v>完成/步数</x:v>
      </x:c>
      <x:c r="F4040" s="19" t="str">
        <x:v>True/2017</x:v>
      </x:c>
      <x:c r="G4040" s="19" t="str">
        <x:v>质量/成本</x:v>
      </x:c>
      <x:c r="H4040" s="19" t="str">
        <x:v>D:/Codex/GRL研究/outputs/grid84/GRID84_report.md</x:v>
      </x:c>
    </x:row>
    <x:row r="4041" ht="36" customHeight="1">
      <x:c r="A4041" s="19" t="str">
        <x:v>GRID84</x:v>
      </x:c>
      <x:c r="B4041" s="19" t="str">
        <x:v>GRID84_report.md</x:v>
      </x:c>
      <x:c r="C4041" s="19" t="str">
        <x:v>5. 逐日期与计时</x:v>
      </x:c>
      <x:c r="D4041" s="19" t="str">
        <x:v>场景=2036-09-01_9；方法=META_CONTEXT1</x:v>
      </x:c>
      <x:c r="E4041" s="19" t="str">
        <x:v>完整周成本相对FULL</x:v>
      </x:c>
      <x:c r="F4041" s="19" t="str">
        <x:v>-0.0234%</x:v>
      </x:c>
      <x:c r="G4041" s="19" t="str">
        <x:v>质量/成本</x:v>
      </x:c>
      <x:c r="H4041" s="19" t="str">
        <x:v>D:/Codex/GRL研究/outputs/grid84/GRID84_report.md</x:v>
      </x:c>
    </x:row>
    <x:row r="4042" ht="36" customHeight="1">
      <x:c r="A4042" s="19" t="str">
        <x:v>GRID84</x:v>
      </x:c>
      <x:c r="B4042" s="19" t="str">
        <x:v>GRID84_report.md</x:v>
      </x:c>
      <x:c r="C4042" s="19" t="str">
        <x:v>5. 逐日期与计时</x:v>
      </x:c>
      <x:c r="D4042" s="19" t="str">
        <x:v>场景=2036-09-01_9；方法=META_CONTEXT1</x:v>
      </x:c>
      <x:c r="E4042" s="19" t="str">
        <x:v>质量通过</x:v>
      </x:c>
      <x:c r="F4042" s="19" t="str">
        <x:v>True</x:v>
      </x:c>
      <x:c r="G4042" s="19" t="str">
        <x:v>质量/成本</x:v>
      </x:c>
      <x:c r="H4042" s="19" t="str">
        <x:v>D:/Codex/GRL研究/outputs/grid84/GRID84_report.md</x:v>
      </x:c>
    </x:row>
    <x:row r="4043" ht="36" customHeight="1">
      <x:c r="A4043" s="19" t="str">
        <x:v>GRID84</x:v>
      </x:c>
      <x:c r="B4043" s="19" t="str">
        <x:v>GRID84_report.md</x:v>
      </x:c>
      <x:c r="C4043" s="19" t="str">
        <x:v>5. 逐日期与计时</x:v>
      </x:c>
      <x:c r="D4043" s="19" t="str">
        <x:v>场景=2036-09-01_9；方法=META_CONTEXT1</x:v>
      </x:c>
      <x:c r="E4043" s="19" t="str">
        <x:v>查询</x:v>
      </x:c>
      <x:c r="F4043" s="19" t="str">
        <x:v>1061</x:v>
      </x:c>
      <x:c r="G4043" s="19" t="str">
        <x:v>速度/计算</x:v>
      </x:c>
      <x:c r="H4043" s="19" t="str">
        <x:v>D:/Codex/GRL研究/outputs/grid84/GRID84_report.md</x:v>
      </x:c>
    </x:row>
    <x:row r="4044" ht="36" customHeight="1">
      <x:c r="A4044" s="19" t="str">
        <x:v>GRID84</x:v>
      </x:c>
      <x:c r="B4044" s="19" t="str">
        <x:v>GRID84_report.md</x:v>
      </x:c>
      <x:c r="C4044" s="19" t="str">
        <x:v>5. 逐日期与计时</x:v>
      </x:c>
      <x:c r="D4044" s="19" t="str">
        <x:v>场景=2036-09-01_9；方法=META_CONTEXT1</x:v>
      </x:c>
      <x:c r="E4044" s="19" t="str">
        <x:v>控制秒均值[最小,最大]</x:v>
      </x:c>
      <x:c r="F4044" s="19" t="str">
        <x:v>39.279[38.011,40.547]</x:v>
      </x:c>
      <x:c r="G4044" s="19" t="str">
        <x:v>速度/计算</x:v>
      </x:c>
      <x:c r="H4044" s="19" t="str">
        <x:v>D:/Codex/GRL研究/outputs/grid84/GRID84_report.md</x:v>
      </x:c>
    </x:row>
    <x:row r="4045" ht="36" customHeight="1">
      <x:c r="A4045" s="19" t="str">
        <x:v>GRID84</x:v>
      </x:c>
      <x:c r="B4045" s="19" t="str">
        <x:v>GRID84_report.md</x:v>
      </x:c>
      <x:c r="C4045" s="19" t="str">
        <x:v>5. 逐日期与计时</x:v>
      </x:c>
      <x:c r="D4045" s="19" t="str">
        <x:v>场景=2036-09-01_9；方法=META_CONTEXT1</x:v>
      </x:c>
      <x:c r="E4045" s="19" t="str">
        <x:v>P95秒</x:v>
      </x:c>
      <x:c r="F4045" s="19" t="str">
        <x:v>0.0291</x:v>
      </x:c>
      <x:c r="G4045" s="19" t="str">
        <x:v>速度/计算</x:v>
      </x:c>
      <x:c r="H4045" s="19" t="str">
        <x:v>D:/Codex/GRL研究/outputs/grid84/GRID84_report.md</x:v>
      </x:c>
    </x:row>
    <x:row r="4046" ht="36" customHeight="1">
      <x:c r="A4046" s="19" t="str">
        <x:v>GRID84</x:v>
      </x:c>
      <x:c r="B4046" s="19" t="str">
        <x:v>GRID84_report.md</x:v>
      </x:c>
      <x:c r="C4046" s="19" t="str">
        <x:v>5. 逐日期与计时</x:v>
      </x:c>
      <x:c r="D4046" s="19" t="str">
        <x:v>场景=2036-09-01_9；方法=META_CONTEXT2</x:v>
      </x:c>
      <x:c r="E4046" s="19" t="str">
        <x:v>方法</x:v>
      </x:c>
      <x:c r="F4046" s="19" t="str">
        <x:v>META_CONTEXT2</x:v>
      </x:c>
      <x:c r="G4046" s="19" t="str">
        <x:v>其他/配置</x:v>
      </x:c>
      <x:c r="H4046" s="19" t="str">
        <x:v>D:/Codex/GRL研究/outputs/grid84/GRID84_report.md</x:v>
      </x:c>
    </x:row>
    <x:row r="4047" ht="36" customHeight="1">
      <x:c r="A4047" s="19" t="str">
        <x:v>GRID84</x:v>
      </x:c>
      <x:c r="B4047" s="19" t="str">
        <x:v>GRID84_report.md</x:v>
      </x:c>
      <x:c r="C4047" s="19" t="str">
        <x:v>5. 逐日期与计时</x:v>
      </x:c>
      <x:c r="D4047" s="19" t="str">
        <x:v>场景=2036-09-01_9；方法=META_CONTEXT2</x:v>
      </x:c>
      <x:c r="E4047" s="19" t="str">
        <x:v>完成/步数</x:v>
      </x:c>
      <x:c r="F4047" s="19" t="str">
        <x:v>True/2017</x:v>
      </x:c>
      <x:c r="G4047" s="19" t="str">
        <x:v>质量/成本</x:v>
      </x:c>
      <x:c r="H4047" s="19" t="str">
        <x:v>D:/Codex/GRL研究/outputs/grid84/GRID84_report.md</x:v>
      </x:c>
    </x:row>
    <x:row r="4048" ht="36" customHeight="1">
      <x:c r="A4048" s="19" t="str">
        <x:v>GRID84</x:v>
      </x:c>
      <x:c r="B4048" s="19" t="str">
        <x:v>GRID84_report.md</x:v>
      </x:c>
      <x:c r="C4048" s="19" t="str">
        <x:v>5. 逐日期与计时</x:v>
      </x:c>
      <x:c r="D4048" s="19" t="str">
        <x:v>场景=2036-09-01_9；方法=META_CONTEXT2</x:v>
      </x:c>
      <x:c r="E4048" s="19" t="str">
        <x:v>完整周成本相对FULL</x:v>
      </x:c>
      <x:c r="F4048" s="19" t="str">
        <x:v>-0.0234%</x:v>
      </x:c>
      <x:c r="G4048" s="19" t="str">
        <x:v>质量/成本</x:v>
      </x:c>
      <x:c r="H4048" s="19" t="str">
        <x:v>D:/Codex/GRL研究/outputs/grid84/GRID84_report.md</x:v>
      </x:c>
    </x:row>
    <x:row r="4049" ht="36" customHeight="1">
      <x:c r="A4049" s="19" t="str">
        <x:v>GRID84</x:v>
      </x:c>
      <x:c r="B4049" s="19" t="str">
        <x:v>GRID84_report.md</x:v>
      </x:c>
      <x:c r="C4049" s="19" t="str">
        <x:v>5. 逐日期与计时</x:v>
      </x:c>
      <x:c r="D4049" s="19" t="str">
        <x:v>场景=2036-09-01_9；方法=META_CONTEXT2</x:v>
      </x:c>
      <x:c r="E4049" s="19" t="str">
        <x:v>质量通过</x:v>
      </x:c>
      <x:c r="F4049" s="19" t="str">
        <x:v>True</x:v>
      </x:c>
      <x:c r="G4049" s="19" t="str">
        <x:v>质量/成本</x:v>
      </x:c>
      <x:c r="H4049" s="19" t="str">
        <x:v>D:/Codex/GRL研究/outputs/grid84/GRID84_report.md</x:v>
      </x:c>
    </x:row>
    <x:row r="4050" ht="36" customHeight="1">
      <x:c r="A4050" s="19" t="str">
        <x:v>GRID84</x:v>
      </x:c>
      <x:c r="B4050" s="19" t="str">
        <x:v>GRID84_report.md</x:v>
      </x:c>
      <x:c r="C4050" s="19" t="str">
        <x:v>5. 逐日期与计时</x:v>
      </x:c>
      <x:c r="D4050" s="19" t="str">
        <x:v>场景=2036-09-01_9；方法=META_CONTEXT2</x:v>
      </x:c>
      <x:c r="E4050" s="19" t="str">
        <x:v>查询</x:v>
      </x:c>
      <x:c r="F4050" s="19" t="str">
        <x:v>933</x:v>
      </x:c>
      <x:c r="G4050" s="19" t="str">
        <x:v>速度/计算</x:v>
      </x:c>
      <x:c r="H4050" s="19" t="str">
        <x:v>D:/Codex/GRL研究/outputs/grid84/GRID84_report.md</x:v>
      </x:c>
    </x:row>
    <x:row r="4051" ht="36" customHeight="1">
      <x:c r="A4051" s="19" t="str">
        <x:v>GRID84</x:v>
      </x:c>
      <x:c r="B4051" s="19" t="str">
        <x:v>GRID84_report.md</x:v>
      </x:c>
      <x:c r="C4051" s="19" t="str">
        <x:v>5. 逐日期与计时</x:v>
      </x:c>
      <x:c r="D4051" s="19" t="str">
        <x:v>场景=2036-09-01_9；方法=META_CONTEXT2</x:v>
      </x:c>
      <x:c r="E4051" s="19" t="str">
        <x:v>控制秒均值[最小,最大]</x:v>
      </x:c>
      <x:c r="F4051" s="19" t="str">
        <x:v>38.589[37.340,39.837]</x:v>
      </x:c>
      <x:c r="G4051" s="19" t="str">
        <x:v>速度/计算</x:v>
      </x:c>
      <x:c r="H4051" s="19" t="str">
        <x:v>D:/Codex/GRL研究/outputs/grid84/GRID84_report.md</x:v>
      </x:c>
    </x:row>
    <x:row r="4052" ht="36" customHeight="1">
      <x:c r="A4052" s="19" t="str">
        <x:v>GRID84</x:v>
      </x:c>
      <x:c r="B4052" s="19" t="str">
        <x:v>GRID84_report.md</x:v>
      </x:c>
      <x:c r="C4052" s="19" t="str">
        <x:v>5. 逐日期与计时</x:v>
      </x:c>
      <x:c r="D4052" s="19" t="str">
        <x:v>场景=2036-09-01_9；方法=META_CONTEXT2</x:v>
      </x:c>
      <x:c r="E4052" s="19" t="str">
        <x:v>P95秒</x:v>
      </x:c>
      <x:c r="F4052" s="19" t="str">
        <x:v>0.0288</x:v>
      </x:c>
      <x:c r="G4052" s="19" t="str">
        <x:v>速度/计算</x:v>
      </x:c>
      <x:c r="H4052" s="19" t="str">
        <x:v>D:/Codex/GRL研究/outputs/grid84/GRID84_report.md</x:v>
      </x:c>
    </x:row>
    <x:row r="4053" ht="36" customHeight="1">
      <x:c r="A4053" s="19" t="str">
        <x:v>GRID84</x:v>
      </x:c>
      <x:c r="B4053" s="19" t="str">
        <x:v>GRID84_report.md</x:v>
      </x:c>
      <x:c r="C4053" s="19" t="str">
        <x:v>5. 逐日期与计时</x:v>
      </x:c>
      <x:c r="D4053" s="19" t="str">
        <x:v>场景=2036-09-01_9；方法=META_CONTEXT3</x:v>
      </x:c>
      <x:c r="E4053" s="19" t="str">
        <x:v>方法</x:v>
      </x:c>
      <x:c r="F4053" s="19" t="str">
        <x:v>META_CONTEXT3</x:v>
      </x:c>
      <x:c r="G4053" s="19" t="str">
        <x:v>其他/配置</x:v>
      </x:c>
      <x:c r="H4053" s="19" t="str">
        <x:v>D:/Codex/GRL研究/outputs/grid84/GRID84_report.md</x:v>
      </x:c>
    </x:row>
    <x:row r="4054" ht="36" customHeight="1">
      <x:c r="A4054" s="19" t="str">
        <x:v>GRID84</x:v>
      </x:c>
      <x:c r="B4054" s="19" t="str">
        <x:v>GRID84_report.md</x:v>
      </x:c>
      <x:c r="C4054" s="19" t="str">
        <x:v>5. 逐日期与计时</x:v>
      </x:c>
      <x:c r="D4054" s="19" t="str">
        <x:v>场景=2036-09-01_9；方法=META_CONTEXT3</x:v>
      </x:c>
      <x:c r="E4054" s="19" t="str">
        <x:v>完成/步数</x:v>
      </x:c>
      <x:c r="F4054" s="19" t="str">
        <x:v>True/2017</x:v>
      </x:c>
      <x:c r="G4054" s="19" t="str">
        <x:v>质量/成本</x:v>
      </x:c>
      <x:c r="H4054" s="19" t="str">
        <x:v>D:/Codex/GRL研究/outputs/grid84/GRID84_report.md</x:v>
      </x:c>
    </x:row>
    <x:row r="4055" ht="36" customHeight="1">
      <x:c r="A4055" s="19" t="str">
        <x:v>GRID84</x:v>
      </x:c>
      <x:c r="B4055" s="19" t="str">
        <x:v>GRID84_report.md</x:v>
      </x:c>
      <x:c r="C4055" s="19" t="str">
        <x:v>5. 逐日期与计时</x:v>
      </x:c>
      <x:c r="D4055" s="19" t="str">
        <x:v>场景=2036-09-01_9；方法=META_CONTEXT3</x:v>
      </x:c>
      <x:c r="E4055" s="19" t="str">
        <x:v>完整周成本相对FULL</x:v>
      </x:c>
      <x:c r="F4055" s="19" t="str">
        <x:v>-0.0234%</x:v>
      </x:c>
      <x:c r="G4055" s="19" t="str">
        <x:v>质量/成本</x:v>
      </x:c>
      <x:c r="H4055" s="19" t="str">
        <x:v>D:/Codex/GRL研究/outputs/grid84/GRID84_report.md</x:v>
      </x:c>
    </x:row>
    <x:row r="4056" ht="36" customHeight="1">
      <x:c r="A4056" s="19" t="str">
        <x:v>GRID84</x:v>
      </x:c>
      <x:c r="B4056" s="19" t="str">
        <x:v>GRID84_report.md</x:v>
      </x:c>
      <x:c r="C4056" s="19" t="str">
        <x:v>5. 逐日期与计时</x:v>
      </x:c>
      <x:c r="D4056" s="19" t="str">
        <x:v>场景=2036-09-01_9；方法=META_CONTEXT3</x:v>
      </x:c>
      <x:c r="E4056" s="19" t="str">
        <x:v>质量通过</x:v>
      </x:c>
      <x:c r="F4056" s="19" t="str">
        <x:v>True</x:v>
      </x:c>
      <x:c r="G4056" s="19" t="str">
        <x:v>质量/成本</x:v>
      </x:c>
      <x:c r="H4056" s="19" t="str">
        <x:v>D:/Codex/GRL研究/outputs/grid84/GRID84_report.md</x:v>
      </x:c>
    </x:row>
    <x:row r="4057" ht="36" customHeight="1">
      <x:c r="A4057" s="19" t="str">
        <x:v>GRID84</x:v>
      </x:c>
      <x:c r="B4057" s="19" t="str">
        <x:v>GRID84_report.md</x:v>
      </x:c>
      <x:c r="C4057" s="19" t="str">
        <x:v>5. 逐日期与计时</x:v>
      </x:c>
      <x:c r="D4057" s="19" t="str">
        <x:v>场景=2036-09-01_9；方法=META_CONTEXT3</x:v>
      </x:c>
      <x:c r="E4057" s="19" t="str">
        <x:v>查询</x:v>
      </x:c>
      <x:c r="F4057" s="19" t="str">
        <x:v>1586</x:v>
      </x:c>
      <x:c r="G4057" s="19" t="str">
        <x:v>速度/计算</x:v>
      </x:c>
      <x:c r="H4057" s="19" t="str">
        <x:v>D:/Codex/GRL研究/outputs/grid84/GRID84_report.md</x:v>
      </x:c>
    </x:row>
    <x:row r="4058" ht="36" customHeight="1">
      <x:c r="A4058" s="19" t="str">
        <x:v>GRID84</x:v>
      </x:c>
      <x:c r="B4058" s="19" t="str">
        <x:v>GRID84_report.md</x:v>
      </x:c>
      <x:c r="C4058" s="19" t="str">
        <x:v>5. 逐日期与计时</x:v>
      </x:c>
      <x:c r="D4058" s="19" t="str">
        <x:v>场景=2036-09-01_9；方法=META_CONTEXT3</x:v>
      </x:c>
      <x:c r="E4058" s="19" t="str">
        <x:v>控制秒均值[最小,最大]</x:v>
      </x:c>
      <x:c r="F4058" s="19" t="str">
        <x:v>38.867[38.801,38.933]</x:v>
      </x:c>
      <x:c r="G4058" s="19" t="str">
        <x:v>速度/计算</x:v>
      </x:c>
      <x:c r="H4058" s="19" t="str">
        <x:v>D:/Codex/GRL研究/outputs/grid84/GRID84_report.md</x:v>
      </x:c>
    </x:row>
    <x:row r="4059" ht="36" customHeight="1">
      <x:c r="A4059" s="19" t="str">
        <x:v>GRID84</x:v>
      </x:c>
      <x:c r="B4059" s="19" t="str">
        <x:v>GRID84_report.md</x:v>
      </x:c>
      <x:c r="C4059" s="19" t="str">
        <x:v>5. 逐日期与计时</x:v>
      </x:c>
      <x:c r="D4059" s="19" t="str">
        <x:v>场景=2036-09-01_9；方法=META_CONTEXT3</x:v>
      </x:c>
      <x:c r="E4059" s="19" t="str">
        <x:v>P95秒</x:v>
      </x:c>
      <x:c r="F4059" s="19" t="str">
        <x:v>0.0283</x:v>
      </x:c>
      <x:c r="G4059" s="19" t="str">
        <x:v>速度/计算</x:v>
      </x:c>
      <x:c r="H4059" s="19" t="str">
        <x:v>D:/Codex/GRL研究/outputs/grid84/GRID84_report.md</x:v>
      </x:c>
    </x:row>
    <x:row r="4060" ht="36" customHeight="1">
      <x:c r="A4060" s="19" t="str">
        <x:v>GRID84</x:v>
      </x:c>
      <x:c r="B4060" s="19" t="str">
        <x:v>GRID84_report.md</x:v>
      </x:c>
      <x:c r="C4060" s="19" t="str">
        <x:v>5. 逐日期与计时</x:v>
      </x:c>
      <x:c r="D4060" s="19" t="str">
        <x:v>场景=2036-09-01_9；方法=META_CONTEXT4</x:v>
      </x:c>
      <x:c r="E4060" s="19" t="str">
        <x:v>方法</x:v>
      </x:c>
      <x:c r="F4060" s="19" t="str">
        <x:v>META_CONTEXT4</x:v>
      </x:c>
      <x:c r="G4060" s="19" t="str">
        <x:v>其他/配置</x:v>
      </x:c>
      <x:c r="H4060" s="19" t="str">
        <x:v>D:/Codex/GRL研究/outputs/grid84/GRID84_report.md</x:v>
      </x:c>
    </x:row>
    <x:row r="4061" ht="36" customHeight="1">
      <x:c r="A4061" s="19" t="str">
        <x:v>GRID84</x:v>
      </x:c>
      <x:c r="B4061" s="19" t="str">
        <x:v>GRID84_report.md</x:v>
      </x:c>
      <x:c r="C4061" s="19" t="str">
        <x:v>5. 逐日期与计时</x:v>
      </x:c>
      <x:c r="D4061" s="19" t="str">
        <x:v>场景=2036-09-01_9；方法=META_CONTEXT4</x:v>
      </x:c>
      <x:c r="E4061" s="19" t="str">
        <x:v>完成/步数</x:v>
      </x:c>
      <x:c r="F4061" s="19" t="str">
        <x:v>True/2017</x:v>
      </x:c>
      <x:c r="G4061" s="19" t="str">
        <x:v>质量/成本</x:v>
      </x:c>
      <x:c r="H4061" s="19" t="str">
        <x:v>D:/Codex/GRL研究/outputs/grid84/GRID84_report.md</x:v>
      </x:c>
    </x:row>
    <x:row r="4062" ht="36" customHeight="1">
      <x:c r="A4062" s="19" t="str">
        <x:v>GRID84</x:v>
      </x:c>
      <x:c r="B4062" s="19" t="str">
        <x:v>GRID84_report.md</x:v>
      </x:c>
      <x:c r="C4062" s="19" t="str">
        <x:v>5. 逐日期与计时</x:v>
      </x:c>
      <x:c r="D4062" s="19" t="str">
        <x:v>场景=2036-09-01_9；方法=META_CONTEXT4</x:v>
      </x:c>
      <x:c r="E4062" s="19" t="str">
        <x:v>完整周成本相对FULL</x:v>
      </x:c>
      <x:c r="F4062" s="19" t="str">
        <x:v>-0.0302%</x:v>
      </x:c>
      <x:c r="G4062" s="19" t="str">
        <x:v>质量/成本</x:v>
      </x:c>
      <x:c r="H4062" s="19" t="str">
        <x:v>D:/Codex/GRL研究/outputs/grid84/GRID84_report.md</x:v>
      </x:c>
    </x:row>
    <x:row r="4063" ht="36" customHeight="1">
      <x:c r="A4063" s="19" t="str">
        <x:v>GRID84</x:v>
      </x:c>
      <x:c r="B4063" s="19" t="str">
        <x:v>GRID84_report.md</x:v>
      </x:c>
      <x:c r="C4063" s="19" t="str">
        <x:v>5. 逐日期与计时</x:v>
      </x:c>
      <x:c r="D4063" s="19" t="str">
        <x:v>场景=2036-09-01_9；方法=META_CONTEXT4</x:v>
      </x:c>
      <x:c r="E4063" s="19" t="str">
        <x:v>质量通过</x:v>
      </x:c>
      <x:c r="F4063" s="19" t="str">
        <x:v>True</x:v>
      </x:c>
      <x:c r="G4063" s="19" t="str">
        <x:v>质量/成本</x:v>
      </x:c>
      <x:c r="H4063" s="19" t="str">
        <x:v>D:/Codex/GRL研究/outputs/grid84/GRID84_report.md</x:v>
      </x:c>
    </x:row>
    <x:row r="4064" ht="36" customHeight="1">
      <x:c r="A4064" s="19" t="str">
        <x:v>GRID84</x:v>
      </x:c>
      <x:c r="B4064" s="19" t="str">
        <x:v>GRID84_report.md</x:v>
      </x:c>
      <x:c r="C4064" s="19" t="str">
        <x:v>5. 逐日期与计时</x:v>
      </x:c>
      <x:c r="D4064" s="19" t="str">
        <x:v>场景=2036-09-01_9；方法=META_CONTEXT4</x:v>
      </x:c>
      <x:c r="E4064" s="19" t="str">
        <x:v>查询</x:v>
      </x:c>
      <x:c r="F4064" s="19" t="str">
        <x:v>640</x:v>
      </x:c>
      <x:c r="G4064" s="19" t="str">
        <x:v>速度/计算</x:v>
      </x:c>
      <x:c r="H4064" s="19" t="str">
        <x:v>D:/Codex/GRL研究/outputs/grid84/GRID84_report.md</x:v>
      </x:c>
    </x:row>
    <x:row r="4065" ht="36" customHeight="1">
      <x:c r="A4065" s="19" t="str">
        <x:v>GRID84</x:v>
      </x:c>
      <x:c r="B4065" s="19" t="str">
        <x:v>GRID84_report.md</x:v>
      </x:c>
      <x:c r="C4065" s="19" t="str">
        <x:v>5. 逐日期与计时</x:v>
      </x:c>
      <x:c r="D4065" s="19" t="str">
        <x:v>场景=2036-09-01_9；方法=META_CONTEXT4</x:v>
      </x:c>
      <x:c r="E4065" s="19" t="str">
        <x:v>控制秒均值[最小,最大]</x:v>
      </x:c>
      <x:c r="F4065" s="19" t="str">
        <x:v>37.528[37.089,37.967]</x:v>
      </x:c>
      <x:c r="G4065" s="19" t="str">
        <x:v>速度/计算</x:v>
      </x:c>
      <x:c r="H4065" s="19" t="str">
        <x:v>D:/Codex/GRL研究/outputs/grid84/GRID84_report.md</x:v>
      </x:c>
    </x:row>
    <x:row r="4066" ht="36" customHeight="1">
      <x:c r="A4066" s="19" t="str">
        <x:v>GRID84</x:v>
      </x:c>
      <x:c r="B4066" s="19" t="str">
        <x:v>GRID84_report.md</x:v>
      </x:c>
      <x:c r="C4066" s="19" t="str">
        <x:v>5. 逐日期与计时</x:v>
      </x:c>
      <x:c r="D4066" s="19" t="str">
        <x:v>场景=2036-09-01_9；方法=META_CONTEXT4</x:v>
      </x:c>
      <x:c r="E4066" s="19" t="str">
        <x:v>P95秒</x:v>
      </x:c>
      <x:c r="F4066" s="19" t="str">
        <x:v>0.0287</x:v>
      </x:c>
      <x:c r="G4066" s="19" t="str">
        <x:v>速度/计算</x:v>
      </x:c>
      <x:c r="H4066" s="19" t="str">
        <x:v>D:/Codex/GRL研究/outputs/grid84/GRID84_report.md</x:v>
      </x:c>
    </x:row>
    <x:row r="4067" ht="36" customHeight="1">
      <x:c r="A4067" s="19" t="str">
        <x:v>GRID84</x:v>
      </x:c>
      <x:c r="B4067" s="19" t="str">
        <x:v>GRID84_report.md</x:v>
      </x:c>
      <x:c r="C4067" s="19" t="str">
        <x:v>5. 逐日期与计时</x:v>
      </x:c>
      <x:c r="D4067" s="19" t="str">
        <x:v>场景=2036-11-03_9；方法=FRAME_GUARD</x:v>
      </x:c>
      <x:c r="E4067" s="19" t="str">
        <x:v>方法</x:v>
      </x:c>
      <x:c r="F4067" s="19" t="str">
        <x:v>FRAME_GUARD</x:v>
      </x:c>
      <x:c r="G4067" s="19" t="str">
        <x:v>其他/配置</x:v>
      </x:c>
      <x:c r="H4067" s="19" t="str">
        <x:v>D:/Codex/GRL研究/outputs/grid84/GRID84_report.md</x:v>
      </x:c>
    </x:row>
    <x:row r="4068" ht="36" customHeight="1">
      <x:c r="A4068" s="19" t="str">
        <x:v>GRID84</x:v>
      </x:c>
      <x:c r="B4068" s="19" t="str">
        <x:v>GRID84_report.md</x:v>
      </x:c>
      <x:c r="C4068" s="19" t="str">
        <x:v>5. 逐日期与计时</x:v>
      </x:c>
      <x:c r="D4068" s="19" t="str">
        <x:v>场景=2036-11-03_9；方法=FRAME_GUARD</x:v>
      </x:c>
      <x:c r="E4068" s="19" t="str">
        <x:v>完成/步数</x:v>
      </x:c>
      <x:c r="F4068" s="19" t="str">
        <x:v>False/519</x:v>
      </x:c>
      <x:c r="G4068" s="19" t="str">
        <x:v>质量/成本</x:v>
      </x:c>
      <x:c r="H4068" s="19" t="str">
        <x:v>D:/Codex/GRL研究/outputs/grid84/GRID84_report.md</x:v>
      </x:c>
    </x:row>
    <x:row r="4069" ht="36" customHeight="1">
      <x:c r="A4069" s="19" t="str">
        <x:v>GRID84</x:v>
      </x:c>
      <x:c r="B4069" s="19" t="str">
        <x:v>GRID84_report.md</x:v>
      </x:c>
      <x:c r="C4069" s="19" t="str">
        <x:v>5. 逐日期与计时</x:v>
      </x:c>
      <x:c r="D4069" s="19" t="str">
        <x:v>场景=2036-11-03_9；方法=FRAME_GUARD</x:v>
      </x:c>
      <x:c r="E4069" s="19" t="str">
        <x:v>完整周成本相对FULL</x:v>
      </x:c>
      <x:c r="F4069" s="19" t="str">
        <x:v>未双方完成</x:v>
      </x:c>
      <x:c r="G4069" s="19" t="str">
        <x:v>质量/成本</x:v>
      </x:c>
      <x:c r="H4069" s="19" t="str">
        <x:v>D:/Codex/GRL研究/outputs/grid84/GRID84_report.md</x:v>
      </x:c>
    </x:row>
    <x:row r="4070" ht="36" customHeight="1">
      <x:c r="A4070" s="19" t="str">
        <x:v>GRID84</x:v>
      </x:c>
      <x:c r="B4070" s="19" t="str">
        <x:v>GRID84_report.md</x:v>
      </x:c>
      <x:c r="C4070" s="19" t="str">
        <x:v>5. 逐日期与计时</x:v>
      </x:c>
      <x:c r="D4070" s="19" t="str">
        <x:v>场景=2036-11-03_9；方法=FRAME_GUARD</x:v>
      </x:c>
      <x:c r="E4070" s="19" t="str">
        <x:v>质量通过</x:v>
      </x:c>
      <x:c r="F4070" s="19" t="str">
        <x:v>True</x:v>
      </x:c>
      <x:c r="G4070" s="19" t="str">
        <x:v>质量/成本</x:v>
      </x:c>
      <x:c r="H4070" s="19" t="str">
        <x:v>D:/Codex/GRL研究/outputs/grid84/GRID84_report.md</x:v>
      </x:c>
    </x:row>
    <x:row r="4071" ht="36" customHeight="1">
      <x:c r="A4071" s="19" t="str">
        <x:v>GRID84</x:v>
      </x:c>
      <x:c r="B4071" s="19" t="str">
        <x:v>GRID84_report.md</x:v>
      </x:c>
      <x:c r="C4071" s="19" t="str">
        <x:v>5. 逐日期与计时</x:v>
      </x:c>
      <x:c r="D4071" s="19" t="str">
        <x:v>场景=2036-11-03_9；方法=FRAME_GUARD</x:v>
      </x:c>
      <x:c r="E4071" s="19" t="str">
        <x:v>查询</x:v>
      </x:c>
      <x:c r="F4071" s="19" t="str">
        <x:v>0</x:v>
      </x:c>
      <x:c r="G4071" s="19" t="str">
        <x:v>速度/计算</x:v>
      </x:c>
      <x:c r="H4071" s="19" t="str">
        <x:v>D:/Codex/GRL研究/outputs/grid84/GRID84_report.md</x:v>
      </x:c>
    </x:row>
    <x:row r="4072" ht="36" customHeight="1">
      <x:c r="A4072" s="19" t="str">
        <x:v>GRID84</x:v>
      </x:c>
      <x:c r="B4072" s="19" t="str">
        <x:v>GRID84_report.md</x:v>
      </x:c>
      <x:c r="C4072" s="19" t="str">
        <x:v>5. 逐日期与计时</x:v>
      </x:c>
      <x:c r="D4072" s="19" t="str">
        <x:v>场景=2036-11-03_9；方法=FRAME_GUARD</x:v>
      </x:c>
      <x:c r="E4072" s="19" t="str">
        <x:v>控制秒均值[最小,最大]</x:v>
      </x:c>
      <x:c r="F4072" s="19" t="str">
        <x:v>14.527[14.422,14.632]</x:v>
      </x:c>
      <x:c r="G4072" s="19" t="str">
        <x:v>速度/计算</x:v>
      </x:c>
      <x:c r="H4072" s="19" t="str">
        <x:v>D:/Codex/GRL研究/outputs/grid84/GRID84_report.md</x:v>
      </x:c>
    </x:row>
    <x:row r="4073" ht="36" customHeight="1">
      <x:c r="A4073" s="19" t="str">
        <x:v>GRID84</x:v>
      </x:c>
      <x:c r="B4073" s="19" t="str">
        <x:v>GRID84_report.md</x:v>
      </x:c>
      <x:c r="C4073" s="19" t="str">
        <x:v>5. 逐日期与计时</x:v>
      </x:c>
      <x:c r="D4073" s="19" t="str">
        <x:v>场景=2036-11-03_9；方法=FRAME_GUARD</x:v>
      </x:c>
      <x:c r="E4073" s="19" t="str">
        <x:v>P95秒</x:v>
      </x:c>
      <x:c r="F4073" s="19" t="str">
        <x:v>0.0283</x:v>
      </x:c>
      <x:c r="G4073" s="19" t="str">
        <x:v>速度/计算</x:v>
      </x:c>
      <x:c r="H4073" s="19" t="str">
        <x:v>D:/Codex/GRL研究/outputs/grid84/GRID84_report.md</x:v>
      </x:c>
    </x:row>
    <x:row r="4074" ht="36" customHeight="1">
      <x:c r="A4074" s="19" t="str">
        <x:v>GRID84</x:v>
      </x:c>
      <x:c r="B4074" s="19" t="str">
        <x:v>GRID84_report.md</x:v>
      </x:c>
      <x:c r="C4074" s="19" t="str">
        <x:v>5. 逐日期与计时</x:v>
      </x:c>
      <x:c r="D4074" s="19" t="str">
        <x:v>场景=2036-11-03_9；方法=META_CONTEXT0</x:v>
      </x:c>
      <x:c r="E4074" s="19" t="str">
        <x:v>方法</x:v>
      </x:c>
      <x:c r="F4074" s="19" t="str">
        <x:v>META_CONTEXT0</x:v>
      </x:c>
      <x:c r="G4074" s="19" t="str">
        <x:v>其他/配置</x:v>
      </x:c>
      <x:c r="H4074" s="19" t="str">
        <x:v>D:/Codex/GRL研究/outputs/grid84/GRID84_report.md</x:v>
      </x:c>
    </x:row>
    <x:row r="4075" ht="36" customHeight="1">
      <x:c r="A4075" s="19" t="str">
        <x:v>GRID84</x:v>
      </x:c>
      <x:c r="B4075" s="19" t="str">
        <x:v>GRID84_report.md</x:v>
      </x:c>
      <x:c r="C4075" s="19" t="str">
        <x:v>5. 逐日期与计时</x:v>
      </x:c>
      <x:c r="D4075" s="19" t="str">
        <x:v>场景=2036-11-03_9；方法=META_CONTEXT0</x:v>
      </x:c>
      <x:c r="E4075" s="19" t="str">
        <x:v>完成/步数</x:v>
      </x:c>
      <x:c r="F4075" s="19" t="str">
        <x:v>False/519</x:v>
      </x:c>
      <x:c r="G4075" s="19" t="str">
        <x:v>质量/成本</x:v>
      </x:c>
      <x:c r="H4075" s="19" t="str">
        <x:v>D:/Codex/GRL研究/outputs/grid84/GRID84_report.md</x:v>
      </x:c>
    </x:row>
    <x:row r="4076" ht="36" customHeight="1">
      <x:c r="A4076" s="19" t="str">
        <x:v>GRID84</x:v>
      </x:c>
      <x:c r="B4076" s="19" t="str">
        <x:v>GRID84_report.md</x:v>
      </x:c>
      <x:c r="C4076" s="19" t="str">
        <x:v>5. 逐日期与计时</x:v>
      </x:c>
      <x:c r="D4076" s="19" t="str">
        <x:v>场景=2036-11-03_9；方法=META_CONTEXT0</x:v>
      </x:c>
      <x:c r="E4076" s="19" t="str">
        <x:v>完整周成本相对FULL</x:v>
      </x:c>
      <x:c r="F4076" s="19" t="str">
        <x:v>未双方完成</x:v>
      </x:c>
      <x:c r="G4076" s="19" t="str">
        <x:v>质量/成本</x:v>
      </x:c>
      <x:c r="H4076" s="19" t="str">
        <x:v>D:/Codex/GRL研究/outputs/grid84/GRID84_report.md</x:v>
      </x:c>
    </x:row>
    <x:row r="4077" ht="36" customHeight="1">
      <x:c r="A4077" s="19" t="str">
        <x:v>GRID84</x:v>
      </x:c>
      <x:c r="B4077" s="19" t="str">
        <x:v>GRID84_report.md</x:v>
      </x:c>
      <x:c r="C4077" s="19" t="str">
        <x:v>5. 逐日期与计时</x:v>
      </x:c>
      <x:c r="D4077" s="19" t="str">
        <x:v>场景=2036-11-03_9；方法=META_CONTEXT0</x:v>
      </x:c>
      <x:c r="E4077" s="19" t="str">
        <x:v>质量通过</x:v>
      </x:c>
      <x:c r="F4077" s="19" t="str">
        <x:v>True</x:v>
      </x:c>
      <x:c r="G4077" s="19" t="str">
        <x:v>质量/成本</x:v>
      </x:c>
      <x:c r="H4077" s="19" t="str">
        <x:v>D:/Codex/GRL研究/outputs/grid84/GRID84_report.md</x:v>
      </x:c>
    </x:row>
    <x:row r="4078" ht="36" customHeight="1">
      <x:c r="A4078" s="19" t="str">
        <x:v>GRID84</x:v>
      </x:c>
      <x:c r="B4078" s="19" t="str">
        <x:v>GRID84_report.md</x:v>
      </x:c>
      <x:c r="C4078" s="19" t="str">
        <x:v>5. 逐日期与计时</x:v>
      </x:c>
      <x:c r="D4078" s="19" t="str">
        <x:v>场景=2036-11-03_9；方法=META_CONTEXT0</x:v>
      </x:c>
      <x:c r="E4078" s="19" t="str">
        <x:v>查询</x:v>
      </x:c>
      <x:c r="F4078" s="19" t="str">
        <x:v>0</x:v>
      </x:c>
      <x:c r="G4078" s="19" t="str">
        <x:v>速度/计算</x:v>
      </x:c>
      <x:c r="H4078" s="19" t="str">
        <x:v>D:/Codex/GRL研究/outputs/grid84/GRID84_report.md</x:v>
      </x:c>
    </x:row>
    <x:row r="4079" ht="36" customHeight="1">
      <x:c r="A4079" s="19" t="str">
        <x:v>GRID84</x:v>
      </x:c>
      <x:c r="B4079" s="19" t="str">
        <x:v>GRID84_report.md</x:v>
      </x:c>
      <x:c r="C4079" s="19" t="str">
        <x:v>5. 逐日期与计时</x:v>
      </x:c>
      <x:c r="D4079" s="19" t="str">
        <x:v>场景=2036-11-03_9；方法=META_CONTEXT0</x:v>
      </x:c>
      <x:c r="E4079" s="19" t="str">
        <x:v>控制秒均值[最小,最大]</x:v>
      </x:c>
      <x:c r="F4079" s="19" t="str">
        <x:v>14.740[14.568,14.911]</x:v>
      </x:c>
      <x:c r="G4079" s="19" t="str">
        <x:v>速度/计算</x:v>
      </x:c>
      <x:c r="H4079" s="19" t="str">
        <x:v>D:/Codex/GRL研究/outputs/grid84/GRID84_report.md</x:v>
      </x:c>
    </x:row>
    <x:row r="4080" ht="36" customHeight="1">
      <x:c r="A4080" s="19" t="str">
        <x:v>GRID84</x:v>
      </x:c>
      <x:c r="B4080" s="19" t="str">
        <x:v>GRID84_report.md</x:v>
      </x:c>
      <x:c r="C4080" s="19" t="str">
        <x:v>5. 逐日期与计时</x:v>
      </x:c>
      <x:c r="D4080" s="19" t="str">
        <x:v>场景=2036-11-03_9；方法=META_CONTEXT0</x:v>
      </x:c>
      <x:c r="E4080" s="19" t="str">
        <x:v>P95秒</x:v>
      </x:c>
      <x:c r="F4080" s="19" t="str">
        <x:v>0.0282</x:v>
      </x:c>
      <x:c r="G4080" s="19" t="str">
        <x:v>速度/计算</x:v>
      </x:c>
      <x:c r="H4080" s="19" t="str">
        <x:v>D:/Codex/GRL研究/outputs/grid84/GRID84_report.md</x:v>
      </x:c>
    </x:row>
    <x:row r="4081" ht="36" customHeight="1">
      <x:c r="A4081" s="19" t="str">
        <x:v>GRID84</x:v>
      </x:c>
      <x:c r="B4081" s="19" t="str">
        <x:v>GRID84_report.md</x:v>
      </x:c>
      <x:c r="C4081" s="19" t="str">
        <x:v>5. 逐日期与计时</x:v>
      </x:c>
      <x:c r="D4081" s="19" t="str">
        <x:v>场景=2036-11-03_9；方法=META_CONTEXT1</x:v>
      </x:c>
      <x:c r="E4081" s="19" t="str">
        <x:v>方法</x:v>
      </x:c>
      <x:c r="F4081" s="19" t="str">
        <x:v>META_CONTEXT1</x:v>
      </x:c>
      <x:c r="G4081" s="19" t="str">
        <x:v>其他/配置</x:v>
      </x:c>
      <x:c r="H4081" s="19" t="str">
        <x:v>D:/Codex/GRL研究/outputs/grid84/GRID84_report.md</x:v>
      </x:c>
    </x:row>
    <x:row r="4082" ht="36" customHeight="1">
      <x:c r="A4082" s="19" t="str">
        <x:v>GRID84</x:v>
      </x:c>
      <x:c r="B4082" s="19" t="str">
        <x:v>GRID84_report.md</x:v>
      </x:c>
      <x:c r="C4082" s="19" t="str">
        <x:v>5. 逐日期与计时</x:v>
      </x:c>
      <x:c r="D4082" s="19" t="str">
        <x:v>场景=2036-11-03_9；方法=META_CONTEXT1</x:v>
      </x:c>
      <x:c r="E4082" s="19" t="str">
        <x:v>完成/步数</x:v>
      </x:c>
      <x:c r="F4082" s="19" t="str">
        <x:v>False/519</x:v>
      </x:c>
      <x:c r="G4082" s="19" t="str">
        <x:v>质量/成本</x:v>
      </x:c>
      <x:c r="H4082" s="19" t="str">
        <x:v>D:/Codex/GRL研究/outputs/grid84/GRID84_report.md</x:v>
      </x:c>
    </x:row>
    <x:row r="4083" ht="36" customHeight="1">
      <x:c r="A4083" s="19" t="str">
        <x:v>GRID84</x:v>
      </x:c>
      <x:c r="B4083" s="19" t="str">
        <x:v>GRID84_report.md</x:v>
      </x:c>
      <x:c r="C4083" s="19" t="str">
        <x:v>5. 逐日期与计时</x:v>
      </x:c>
      <x:c r="D4083" s="19" t="str">
        <x:v>场景=2036-11-03_9；方法=META_CONTEXT1</x:v>
      </x:c>
      <x:c r="E4083" s="19" t="str">
        <x:v>完整周成本相对FULL</x:v>
      </x:c>
      <x:c r="F4083" s="19" t="str">
        <x:v>未双方完成</x:v>
      </x:c>
      <x:c r="G4083" s="19" t="str">
        <x:v>质量/成本</x:v>
      </x:c>
      <x:c r="H4083" s="19" t="str">
        <x:v>D:/Codex/GRL研究/outputs/grid84/GRID84_report.md</x:v>
      </x:c>
    </x:row>
    <x:row r="4084" ht="36" customHeight="1">
      <x:c r="A4084" s="19" t="str">
        <x:v>GRID84</x:v>
      </x:c>
      <x:c r="B4084" s="19" t="str">
        <x:v>GRID84_report.md</x:v>
      </x:c>
      <x:c r="C4084" s="19" t="str">
        <x:v>5. 逐日期与计时</x:v>
      </x:c>
      <x:c r="D4084" s="19" t="str">
        <x:v>场景=2036-11-03_9；方法=META_CONTEXT1</x:v>
      </x:c>
      <x:c r="E4084" s="19" t="str">
        <x:v>质量通过</x:v>
      </x:c>
      <x:c r="F4084" s="19" t="str">
        <x:v>True</x:v>
      </x:c>
      <x:c r="G4084" s="19" t="str">
        <x:v>质量/成本</x:v>
      </x:c>
      <x:c r="H4084" s="19" t="str">
        <x:v>D:/Codex/GRL研究/outputs/grid84/GRID84_report.md</x:v>
      </x:c>
    </x:row>
    <x:row r="4085" ht="36" customHeight="1">
      <x:c r="A4085" s="19" t="str">
        <x:v>GRID84</x:v>
      </x:c>
      <x:c r="B4085" s="19" t="str">
        <x:v>GRID84_report.md</x:v>
      </x:c>
      <x:c r="C4085" s="19" t="str">
        <x:v>5. 逐日期与计时</x:v>
      </x:c>
      <x:c r="D4085" s="19" t="str">
        <x:v>场景=2036-11-03_9；方法=META_CONTEXT1</x:v>
      </x:c>
      <x:c r="E4085" s="19" t="str">
        <x:v>查询</x:v>
      </x:c>
      <x:c r="F4085" s="19" t="str">
        <x:v>0</x:v>
      </x:c>
      <x:c r="G4085" s="19" t="str">
        <x:v>速度/计算</x:v>
      </x:c>
      <x:c r="H4085" s="19" t="str">
        <x:v>D:/Codex/GRL研究/outputs/grid84/GRID84_report.md</x:v>
      </x:c>
    </x:row>
    <x:row r="4086" ht="36" customHeight="1">
      <x:c r="A4086" s="19" t="str">
        <x:v>GRID84</x:v>
      </x:c>
      <x:c r="B4086" s="19" t="str">
        <x:v>GRID84_report.md</x:v>
      </x:c>
      <x:c r="C4086" s="19" t="str">
        <x:v>5. 逐日期与计时</x:v>
      </x:c>
      <x:c r="D4086" s="19" t="str">
        <x:v>场景=2036-11-03_9；方法=META_CONTEXT1</x:v>
      </x:c>
      <x:c r="E4086" s="19" t="str">
        <x:v>控制秒均值[最小,最大]</x:v>
      </x:c>
      <x:c r="F4086" s="19" t="str">
        <x:v>14.618[14.399,14.837]</x:v>
      </x:c>
      <x:c r="G4086" s="19" t="str">
        <x:v>速度/计算</x:v>
      </x:c>
      <x:c r="H4086" s="19" t="str">
        <x:v>D:/Codex/GRL研究/outputs/grid84/GRID84_report.md</x:v>
      </x:c>
    </x:row>
    <x:row r="4087" ht="36" customHeight="1">
      <x:c r="A4087" s="19" t="str">
        <x:v>GRID84</x:v>
      </x:c>
      <x:c r="B4087" s="19" t="str">
        <x:v>GRID84_report.md</x:v>
      </x:c>
      <x:c r="C4087" s="19" t="str">
        <x:v>5. 逐日期与计时</x:v>
      </x:c>
      <x:c r="D4087" s="19" t="str">
        <x:v>场景=2036-11-03_9；方法=META_CONTEXT1</x:v>
      </x:c>
      <x:c r="E4087" s="19" t="str">
        <x:v>P95秒</x:v>
      </x:c>
      <x:c r="F4087" s="19" t="str">
        <x:v>0.0283</x:v>
      </x:c>
      <x:c r="G4087" s="19" t="str">
        <x:v>速度/计算</x:v>
      </x:c>
      <x:c r="H4087" s="19" t="str">
        <x:v>D:/Codex/GRL研究/outputs/grid84/GRID84_report.md</x:v>
      </x:c>
    </x:row>
    <x:row r="4088" ht="36" customHeight="1">
      <x:c r="A4088" s="19" t="str">
        <x:v>GRID84</x:v>
      </x:c>
      <x:c r="B4088" s="19" t="str">
        <x:v>GRID84_report.md</x:v>
      </x:c>
      <x:c r="C4088" s="19" t="str">
        <x:v>5. 逐日期与计时</x:v>
      </x:c>
      <x:c r="D4088" s="19" t="str">
        <x:v>场景=2036-11-03_9；方法=META_CONTEXT2</x:v>
      </x:c>
      <x:c r="E4088" s="19" t="str">
        <x:v>方法</x:v>
      </x:c>
      <x:c r="F4088" s="19" t="str">
        <x:v>META_CONTEXT2</x:v>
      </x:c>
      <x:c r="G4088" s="19" t="str">
        <x:v>其他/配置</x:v>
      </x:c>
      <x:c r="H4088" s="19" t="str">
        <x:v>D:/Codex/GRL研究/outputs/grid84/GRID84_report.md</x:v>
      </x:c>
    </x:row>
    <x:row r="4089" ht="36" customHeight="1">
      <x:c r="A4089" s="19" t="str">
        <x:v>GRID84</x:v>
      </x:c>
      <x:c r="B4089" s="19" t="str">
        <x:v>GRID84_report.md</x:v>
      </x:c>
      <x:c r="C4089" s="19" t="str">
        <x:v>5. 逐日期与计时</x:v>
      </x:c>
      <x:c r="D4089" s="19" t="str">
        <x:v>场景=2036-11-03_9；方法=META_CONTEXT2</x:v>
      </x:c>
      <x:c r="E4089" s="19" t="str">
        <x:v>完成/步数</x:v>
      </x:c>
      <x:c r="F4089" s="19" t="str">
        <x:v>False/519</x:v>
      </x:c>
      <x:c r="G4089" s="19" t="str">
        <x:v>质量/成本</x:v>
      </x:c>
      <x:c r="H4089" s="19" t="str">
        <x:v>D:/Codex/GRL研究/outputs/grid84/GRID84_report.md</x:v>
      </x:c>
    </x:row>
    <x:row r="4090" ht="36" customHeight="1">
      <x:c r="A4090" s="19" t="str">
        <x:v>GRID84</x:v>
      </x:c>
      <x:c r="B4090" s="19" t="str">
        <x:v>GRID84_report.md</x:v>
      </x:c>
      <x:c r="C4090" s="19" t="str">
        <x:v>5. 逐日期与计时</x:v>
      </x:c>
      <x:c r="D4090" s="19" t="str">
        <x:v>场景=2036-11-03_9；方法=META_CONTEXT2</x:v>
      </x:c>
      <x:c r="E4090" s="19" t="str">
        <x:v>完整周成本相对FULL</x:v>
      </x:c>
      <x:c r="F4090" s="19" t="str">
        <x:v>未双方完成</x:v>
      </x:c>
      <x:c r="G4090" s="19" t="str">
        <x:v>质量/成本</x:v>
      </x:c>
      <x:c r="H4090" s="19" t="str">
        <x:v>D:/Codex/GRL研究/outputs/grid84/GRID84_report.md</x:v>
      </x:c>
    </x:row>
    <x:row r="4091" ht="36" customHeight="1">
      <x:c r="A4091" s="19" t="str">
        <x:v>GRID84</x:v>
      </x:c>
      <x:c r="B4091" s="19" t="str">
        <x:v>GRID84_report.md</x:v>
      </x:c>
      <x:c r="C4091" s="19" t="str">
        <x:v>5. 逐日期与计时</x:v>
      </x:c>
      <x:c r="D4091" s="19" t="str">
        <x:v>场景=2036-11-03_9；方法=META_CONTEXT2</x:v>
      </x:c>
      <x:c r="E4091" s="19" t="str">
        <x:v>质量通过</x:v>
      </x:c>
      <x:c r="F4091" s="19" t="str">
        <x:v>True</x:v>
      </x:c>
      <x:c r="G4091" s="19" t="str">
        <x:v>质量/成本</x:v>
      </x:c>
      <x:c r="H4091" s="19" t="str">
        <x:v>D:/Codex/GRL研究/outputs/grid84/GRID84_report.md</x:v>
      </x:c>
    </x:row>
    <x:row r="4092" ht="36" customHeight="1">
      <x:c r="A4092" s="19" t="str">
        <x:v>GRID84</x:v>
      </x:c>
      <x:c r="B4092" s="19" t="str">
        <x:v>GRID84_report.md</x:v>
      </x:c>
      <x:c r="C4092" s="19" t="str">
        <x:v>5. 逐日期与计时</x:v>
      </x:c>
      <x:c r="D4092" s="19" t="str">
        <x:v>场景=2036-11-03_9；方法=META_CONTEXT2</x:v>
      </x:c>
      <x:c r="E4092" s="19" t="str">
        <x:v>查询</x:v>
      </x:c>
      <x:c r="F4092" s="19" t="str">
        <x:v>0</x:v>
      </x:c>
      <x:c r="G4092" s="19" t="str">
        <x:v>速度/计算</x:v>
      </x:c>
      <x:c r="H4092" s="19" t="str">
        <x:v>D:/Codex/GRL研究/outputs/grid84/GRID84_report.md</x:v>
      </x:c>
    </x:row>
    <x:row r="4093" ht="36" customHeight="1">
      <x:c r="A4093" s="19" t="str">
        <x:v>GRID84</x:v>
      </x:c>
      <x:c r="B4093" s="19" t="str">
        <x:v>GRID84_report.md</x:v>
      </x:c>
      <x:c r="C4093" s="19" t="str">
        <x:v>5. 逐日期与计时</x:v>
      </x:c>
      <x:c r="D4093" s="19" t="str">
        <x:v>场景=2036-11-03_9；方法=META_CONTEXT2</x:v>
      </x:c>
      <x:c r="E4093" s="19" t="str">
        <x:v>控制秒均值[最小,最大]</x:v>
      </x:c>
      <x:c r="F4093" s="19" t="str">
        <x:v>14.584[14.532,14.636]</x:v>
      </x:c>
      <x:c r="G4093" s="19" t="str">
        <x:v>速度/计算</x:v>
      </x:c>
      <x:c r="H4093" s="19" t="str">
        <x:v>D:/Codex/GRL研究/outputs/grid84/GRID84_report.md</x:v>
      </x:c>
    </x:row>
    <x:row r="4094" ht="36" customHeight="1">
      <x:c r="A4094" s="19" t="str">
        <x:v>GRID84</x:v>
      </x:c>
      <x:c r="B4094" s="19" t="str">
        <x:v>GRID84_report.md</x:v>
      </x:c>
      <x:c r="C4094" s="19" t="str">
        <x:v>5. 逐日期与计时</x:v>
      </x:c>
      <x:c r="D4094" s="19" t="str">
        <x:v>场景=2036-11-03_9；方法=META_CONTEXT2</x:v>
      </x:c>
      <x:c r="E4094" s="19" t="str">
        <x:v>P95秒</x:v>
      </x:c>
      <x:c r="F4094" s="19" t="str">
        <x:v>0.0283</x:v>
      </x:c>
      <x:c r="G4094" s="19" t="str">
        <x:v>速度/计算</x:v>
      </x:c>
      <x:c r="H4094" s="19" t="str">
        <x:v>D:/Codex/GRL研究/outputs/grid84/GRID84_report.md</x:v>
      </x:c>
    </x:row>
    <x:row r="4095" ht="36" customHeight="1">
      <x:c r="A4095" s="19" t="str">
        <x:v>GRID84</x:v>
      </x:c>
      <x:c r="B4095" s="19" t="str">
        <x:v>GRID84_report.md</x:v>
      </x:c>
      <x:c r="C4095" s="19" t="str">
        <x:v>5. 逐日期与计时</x:v>
      </x:c>
      <x:c r="D4095" s="19" t="str">
        <x:v>场景=2036-11-03_9；方法=META_CONTEXT3</x:v>
      </x:c>
      <x:c r="E4095" s="19" t="str">
        <x:v>方法</x:v>
      </x:c>
      <x:c r="F4095" s="19" t="str">
        <x:v>META_CONTEXT3</x:v>
      </x:c>
      <x:c r="G4095" s="19" t="str">
        <x:v>其他/配置</x:v>
      </x:c>
      <x:c r="H4095" s="19" t="str">
        <x:v>D:/Codex/GRL研究/outputs/grid84/GRID84_report.md</x:v>
      </x:c>
    </x:row>
    <x:row r="4096" ht="36" customHeight="1">
      <x:c r="A4096" s="19" t="str">
        <x:v>GRID84</x:v>
      </x:c>
      <x:c r="B4096" s="19" t="str">
        <x:v>GRID84_report.md</x:v>
      </x:c>
      <x:c r="C4096" s="19" t="str">
        <x:v>5. 逐日期与计时</x:v>
      </x:c>
      <x:c r="D4096" s="19" t="str">
        <x:v>场景=2036-11-03_9；方法=META_CONTEXT3</x:v>
      </x:c>
      <x:c r="E4096" s="19" t="str">
        <x:v>完成/步数</x:v>
      </x:c>
      <x:c r="F4096" s="19" t="str">
        <x:v>False/519</x:v>
      </x:c>
      <x:c r="G4096" s="19" t="str">
        <x:v>质量/成本</x:v>
      </x:c>
      <x:c r="H4096" s="19" t="str">
        <x:v>D:/Codex/GRL研究/outputs/grid84/GRID84_report.md</x:v>
      </x:c>
    </x:row>
    <x:row r="4097" ht="36" customHeight="1">
      <x:c r="A4097" s="19" t="str">
        <x:v>GRID84</x:v>
      </x:c>
      <x:c r="B4097" s="19" t="str">
        <x:v>GRID84_report.md</x:v>
      </x:c>
      <x:c r="C4097" s="19" t="str">
        <x:v>5. 逐日期与计时</x:v>
      </x:c>
      <x:c r="D4097" s="19" t="str">
        <x:v>场景=2036-11-03_9；方法=META_CONTEXT3</x:v>
      </x:c>
      <x:c r="E4097" s="19" t="str">
        <x:v>完整周成本相对FULL</x:v>
      </x:c>
      <x:c r="F4097" s="19" t="str">
        <x:v>未双方完成</x:v>
      </x:c>
      <x:c r="G4097" s="19" t="str">
        <x:v>质量/成本</x:v>
      </x:c>
      <x:c r="H4097" s="19" t="str">
        <x:v>D:/Codex/GRL研究/outputs/grid84/GRID84_report.md</x:v>
      </x:c>
    </x:row>
    <x:row r="4098" ht="36" customHeight="1">
      <x:c r="A4098" s="19" t="str">
        <x:v>GRID84</x:v>
      </x:c>
      <x:c r="B4098" s="19" t="str">
        <x:v>GRID84_report.md</x:v>
      </x:c>
      <x:c r="C4098" s="19" t="str">
        <x:v>5. 逐日期与计时</x:v>
      </x:c>
      <x:c r="D4098" s="19" t="str">
        <x:v>场景=2036-11-03_9；方法=META_CONTEXT3</x:v>
      </x:c>
      <x:c r="E4098" s="19" t="str">
        <x:v>质量通过</x:v>
      </x:c>
      <x:c r="F4098" s="19" t="str">
        <x:v>True</x:v>
      </x:c>
      <x:c r="G4098" s="19" t="str">
        <x:v>质量/成本</x:v>
      </x:c>
      <x:c r="H4098" s="19" t="str">
        <x:v>D:/Codex/GRL研究/outputs/grid84/GRID84_report.md</x:v>
      </x:c>
    </x:row>
    <x:row r="4099" ht="36" customHeight="1">
      <x:c r="A4099" s="19" t="str">
        <x:v>GRID84</x:v>
      </x:c>
      <x:c r="B4099" s="19" t="str">
        <x:v>GRID84_report.md</x:v>
      </x:c>
      <x:c r="C4099" s="19" t="str">
        <x:v>5. 逐日期与计时</x:v>
      </x:c>
      <x:c r="D4099" s="19" t="str">
        <x:v>场景=2036-11-03_9；方法=META_CONTEXT3</x:v>
      </x:c>
      <x:c r="E4099" s="19" t="str">
        <x:v>查询</x:v>
      </x:c>
      <x:c r="F4099" s="19" t="str">
        <x:v>0</x:v>
      </x:c>
      <x:c r="G4099" s="19" t="str">
        <x:v>速度/计算</x:v>
      </x:c>
      <x:c r="H4099" s="19" t="str">
        <x:v>D:/Codex/GRL研究/outputs/grid84/GRID84_report.md</x:v>
      </x:c>
    </x:row>
    <x:row r="4100" ht="36" customHeight="1">
      <x:c r="A4100" s="19" t="str">
        <x:v>GRID84</x:v>
      </x:c>
      <x:c r="B4100" s="19" t="str">
        <x:v>GRID84_report.md</x:v>
      </x:c>
      <x:c r="C4100" s="19" t="str">
        <x:v>5. 逐日期与计时</x:v>
      </x:c>
      <x:c r="D4100" s="19" t="str">
        <x:v>场景=2036-11-03_9；方法=META_CONTEXT3</x:v>
      </x:c>
      <x:c r="E4100" s="19" t="str">
        <x:v>控制秒均值[最小,最大]</x:v>
      </x:c>
      <x:c r="F4100" s="19" t="str">
        <x:v>14.515[14.451,14.578]</x:v>
      </x:c>
      <x:c r="G4100" s="19" t="str">
        <x:v>速度/计算</x:v>
      </x:c>
      <x:c r="H4100" s="19" t="str">
        <x:v>D:/Codex/GRL研究/outputs/grid84/GRID84_report.md</x:v>
      </x:c>
    </x:row>
    <x:row r="4101" ht="36" customHeight="1">
      <x:c r="A4101" s="19" t="str">
        <x:v>GRID84</x:v>
      </x:c>
      <x:c r="B4101" s="19" t="str">
        <x:v>GRID84_report.md</x:v>
      </x:c>
      <x:c r="C4101" s="19" t="str">
        <x:v>5. 逐日期与计时</x:v>
      </x:c>
      <x:c r="D4101" s="19" t="str">
        <x:v>场景=2036-11-03_9；方法=META_CONTEXT3</x:v>
      </x:c>
      <x:c r="E4101" s="19" t="str">
        <x:v>P95秒</x:v>
      </x:c>
      <x:c r="F4101" s="19" t="str">
        <x:v>0.0276</x:v>
      </x:c>
      <x:c r="G4101" s="19" t="str">
        <x:v>速度/计算</x:v>
      </x:c>
      <x:c r="H4101" s="19" t="str">
        <x:v>D:/Codex/GRL研究/outputs/grid84/GRID84_report.md</x:v>
      </x:c>
    </x:row>
    <x:row r="4102" ht="36" customHeight="1">
      <x:c r="A4102" s="19" t="str">
        <x:v>GRID84</x:v>
      </x:c>
      <x:c r="B4102" s="19" t="str">
        <x:v>GRID84_report.md</x:v>
      </x:c>
      <x:c r="C4102" s="19" t="str">
        <x:v>5. 逐日期与计时</x:v>
      </x:c>
      <x:c r="D4102" s="19" t="str">
        <x:v>场景=2036-11-03_9；方法=META_CONTEXT4</x:v>
      </x:c>
      <x:c r="E4102" s="19" t="str">
        <x:v>方法</x:v>
      </x:c>
      <x:c r="F4102" s="19" t="str">
        <x:v>META_CONTEXT4</x:v>
      </x:c>
      <x:c r="G4102" s="19" t="str">
        <x:v>其他/配置</x:v>
      </x:c>
      <x:c r="H4102" s="19" t="str">
        <x:v>D:/Codex/GRL研究/outputs/grid84/GRID84_report.md</x:v>
      </x:c>
    </x:row>
    <x:row r="4103" ht="36" customHeight="1">
      <x:c r="A4103" s="19" t="str">
        <x:v>GRID84</x:v>
      </x:c>
      <x:c r="B4103" s="19" t="str">
        <x:v>GRID84_report.md</x:v>
      </x:c>
      <x:c r="C4103" s="19" t="str">
        <x:v>5. 逐日期与计时</x:v>
      </x:c>
      <x:c r="D4103" s="19" t="str">
        <x:v>场景=2036-11-03_9；方法=META_CONTEXT4</x:v>
      </x:c>
      <x:c r="E4103" s="19" t="str">
        <x:v>完成/步数</x:v>
      </x:c>
      <x:c r="F4103" s="19" t="str">
        <x:v>False/519</x:v>
      </x:c>
      <x:c r="G4103" s="19" t="str">
        <x:v>质量/成本</x:v>
      </x:c>
      <x:c r="H4103" s="19" t="str">
        <x:v>D:/Codex/GRL研究/outputs/grid84/GRID84_report.md</x:v>
      </x:c>
    </x:row>
    <x:row r="4104" ht="36" customHeight="1">
      <x:c r="A4104" s="19" t="str">
        <x:v>GRID84</x:v>
      </x:c>
      <x:c r="B4104" s="19" t="str">
        <x:v>GRID84_report.md</x:v>
      </x:c>
      <x:c r="C4104" s="19" t="str">
        <x:v>5. 逐日期与计时</x:v>
      </x:c>
      <x:c r="D4104" s="19" t="str">
        <x:v>场景=2036-11-03_9；方法=META_CONTEXT4</x:v>
      </x:c>
      <x:c r="E4104" s="19" t="str">
        <x:v>完整周成本相对FULL</x:v>
      </x:c>
      <x:c r="F4104" s="19" t="str">
        <x:v>未双方完成</x:v>
      </x:c>
      <x:c r="G4104" s="19" t="str">
        <x:v>质量/成本</x:v>
      </x:c>
      <x:c r="H4104" s="19" t="str">
        <x:v>D:/Codex/GRL研究/outputs/grid84/GRID84_report.md</x:v>
      </x:c>
    </x:row>
    <x:row r="4105" ht="36" customHeight="1">
      <x:c r="A4105" s="19" t="str">
        <x:v>GRID84</x:v>
      </x:c>
      <x:c r="B4105" s="19" t="str">
        <x:v>GRID84_report.md</x:v>
      </x:c>
      <x:c r="C4105" s="19" t="str">
        <x:v>5. 逐日期与计时</x:v>
      </x:c>
      <x:c r="D4105" s="19" t="str">
        <x:v>场景=2036-11-03_9；方法=META_CONTEXT4</x:v>
      </x:c>
      <x:c r="E4105" s="19" t="str">
        <x:v>质量通过</x:v>
      </x:c>
      <x:c r="F4105" s="19" t="str">
        <x:v>True</x:v>
      </x:c>
      <x:c r="G4105" s="19" t="str">
        <x:v>质量/成本</x:v>
      </x:c>
      <x:c r="H4105" s="19" t="str">
        <x:v>D:/Codex/GRL研究/outputs/grid84/GRID84_report.md</x:v>
      </x:c>
    </x:row>
    <x:row r="4106" ht="36" customHeight="1">
      <x:c r="A4106" s="19" t="str">
        <x:v>GRID84</x:v>
      </x:c>
      <x:c r="B4106" s="19" t="str">
        <x:v>GRID84_report.md</x:v>
      </x:c>
      <x:c r="C4106" s="19" t="str">
        <x:v>5. 逐日期与计时</x:v>
      </x:c>
      <x:c r="D4106" s="19" t="str">
        <x:v>场景=2036-11-03_9；方法=META_CONTEXT4</x:v>
      </x:c>
      <x:c r="E4106" s="19" t="str">
        <x:v>查询</x:v>
      </x:c>
      <x:c r="F4106" s="19" t="str">
        <x:v>0</x:v>
      </x:c>
      <x:c r="G4106" s="19" t="str">
        <x:v>速度/计算</x:v>
      </x:c>
      <x:c r="H4106" s="19" t="str">
        <x:v>D:/Codex/GRL研究/outputs/grid84/GRID84_report.md</x:v>
      </x:c>
    </x:row>
    <x:row r="4107" ht="36" customHeight="1">
      <x:c r="A4107" s="19" t="str">
        <x:v>GRID84</x:v>
      </x:c>
      <x:c r="B4107" s="19" t="str">
        <x:v>GRID84_report.md</x:v>
      </x:c>
      <x:c r="C4107" s="19" t="str">
        <x:v>5. 逐日期与计时</x:v>
      </x:c>
      <x:c r="D4107" s="19" t="str">
        <x:v>场景=2036-11-03_9；方法=META_CONTEXT4</x:v>
      </x:c>
      <x:c r="E4107" s="19" t="str">
        <x:v>控制秒均值[最小,最大]</x:v>
      </x:c>
      <x:c r="F4107" s="19" t="str">
        <x:v>14.627[14.512,14.742]</x:v>
      </x:c>
      <x:c r="G4107" s="19" t="str">
        <x:v>速度/计算</x:v>
      </x:c>
      <x:c r="H4107" s="19" t="str">
        <x:v>D:/Codex/GRL研究/outputs/grid84/GRID84_report.md</x:v>
      </x:c>
    </x:row>
    <x:row r="4108" ht="36" customHeight="1">
      <x:c r="A4108" s="19" t="str">
        <x:v>GRID84</x:v>
      </x:c>
      <x:c r="B4108" s="19" t="str">
        <x:v>GRID84_report.md</x:v>
      </x:c>
      <x:c r="C4108" s="19" t="str">
        <x:v>5. 逐日期与计时</x:v>
      </x:c>
      <x:c r="D4108" s="19" t="str">
        <x:v>场景=2036-11-03_9；方法=META_CONTEXT4</x:v>
      </x:c>
      <x:c r="E4108" s="19" t="str">
        <x:v>P95秒</x:v>
      </x:c>
      <x:c r="F4108" s="19" t="str">
        <x:v>0.0282</x:v>
      </x:c>
      <x:c r="G4108" s="19" t="str">
        <x:v>速度/计算</x:v>
      </x:c>
      <x:c r="H4108" s="19" t="str">
        <x:v>D:/Codex/GRL研究/outputs/grid84/GRID84_report.md</x:v>
      </x:c>
    </x:row>
    <x:row r="4109" ht="36" customHeight="1">
      <x:c r="A4109" s="19" t="str">
        <x:v>GRID85</x:v>
      </x:c>
      <x:c r="B4109" s="19" t="str">
        <x:v>GRID85_report.md</x:v>
      </x:c>
      <x:c r="C4109" s="19" t="str">
        <x:v>1. 1. 第一条机制：早期候选满足阈值，后续查询仍可能改变动作</x:v>
      </x:c>
      <x:c r="D4109" s="19" t="str">
        <x:v>实际闭环轨迹=搜索调用；原13日期=101</x:v>
      </x:c>
      <x:c r="E4109" s="19" t="str">
        <x:v>原13日期</x:v>
      </x:c>
      <x:c r="F4109" s="19" t="str">
        <x:v>101</x:v>
      </x:c>
      <x:c r="G4109" s="19" t="str">
        <x:v>其他/配置</x:v>
      </x:c>
      <x:c r="H4109" s="19" t="str">
        <x:v>D:/Codex/GRL研究/outputs/grid85_mechanism/GRID85_report.md</x:v>
      </x:c>
    </x:row>
    <x:row r="4110" ht="36" customHeight="1">
      <x:c r="A4110" s="19" t="str">
        <x:v>GRID85</x:v>
      </x:c>
      <x:c r="B4110" s="19" t="str">
        <x:v>GRID85_report.md</x:v>
      </x:c>
      <x:c r="C4110" s="19" t="str">
        <x:v>1. 1. 第一条机制：早期候选满足阈值，后续查询仍可能改变动作</x:v>
      </x:c>
      <x:c r="D4110" s="19" t="str">
        <x:v>实际闭环轨迹=搜索调用；原13日期=101</x:v>
      </x:c>
      <x:c r="E4110" s="19" t="str">
        <x:v>新6日期</x:v>
      </x:c>
      <x:c r="F4110" s="19" t="str">
        <x:v>30</x:v>
      </x:c>
      <x:c r="G4110" s="19" t="str">
        <x:v>其他/配置</x:v>
      </x:c>
      <x:c r="H4110" s="19" t="str">
        <x:v>D:/Codex/GRL研究/outputs/grid85_mechanism/GRID85_report.md</x:v>
      </x:c>
    </x:row>
    <x:row r="4111" ht="36" customHeight="1">
      <x:c r="A4111" s="19" t="str">
        <x:v>GRID85</x:v>
      </x:c>
      <x:c r="B4111" s="19" t="str">
        <x:v>GRID85_report.md</x:v>
      </x:c>
      <x:c r="C4111" s="19" t="str">
        <x:v>1. 1. 第一条机制：早期候选满足阈值，后续查询仍可能改变动作</x:v>
      </x:c>
      <x:c r="D4111" s="19" t="str">
        <x:v>实际闭环轨迹=初始候选rho&lt;0.9的调用；原13日期=39</x:v>
      </x:c>
      <x:c r="E4111" s="19" t="str">
        <x:v>原13日期</x:v>
      </x:c>
      <x:c r="F4111" s="19" t="str">
        <x:v>39</x:v>
      </x:c>
      <x:c r="G4111" s="19" t="str">
        <x:v>其他/配置</x:v>
      </x:c>
      <x:c r="H4111" s="19" t="str">
        <x:v>D:/Codex/GRL研究/outputs/grid85_mechanism/GRID85_report.md</x:v>
      </x:c>
    </x:row>
    <x:row r="4112" ht="36" customHeight="1">
      <x:c r="A4112" s="19" t="str">
        <x:v>GRID85</x:v>
      </x:c>
      <x:c r="B4112" s="19" t="str">
        <x:v>GRID85_report.md</x:v>
      </x:c>
      <x:c r="C4112" s="19" t="str">
        <x:v>1. 1. 第一条机制：早期候选满足阈值，后续查询仍可能改变动作</x:v>
      </x:c>
      <x:c r="D4112" s="19" t="str">
        <x:v>实际闭环轨迹=初始候选rho&lt;0.9的调用；原13日期=39</x:v>
      </x:c>
      <x:c r="E4112" s="19" t="str">
        <x:v>新6日期</x:v>
      </x:c>
      <x:c r="F4112" s="19" t="str">
        <x:v>12</x:v>
      </x:c>
      <x:c r="G4112" s="19" t="str">
        <x:v>其他/配置</x:v>
      </x:c>
      <x:c r="H4112" s="19" t="str">
        <x:v>D:/Codex/GRL研究/outputs/grid85_mechanism/GRID85_report.md</x:v>
      </x:c>
    </x:row>
    <x:row r="4113" ht="36" customHeight="1">
      <x:c r="A4113" s="19" t="str">
        <x:v>GRID85</x:v>
      </x:c>
      <x:c r="B4113" s="19" t="str">
        <x:v>GRID85_report.md</x:v>
      </x:c>
      <x:c r="C4113" s="19" t="str">
        <x:v>1. 1. 第一条机制：早期候选满足阈值，后续查询仍可能改变动作</x:v>
      </x:c>
      <x:c r="D4113" s="19" t="str">
        <x:v>实际闭环轨迹=上述调用经核查后改变动作；原13日期=12/39</x:v>
      </x:c>
      <x:c r="E4113" s="19" t="str">
        <x:v>原13日期</x:v>
      </x:c>
      <x:c r="F4113" s="19" t="str">
        <x:v>12/39</x:v>
      </x:c>
      <x:c r="G4113" s="19" t="str">
        <x:v>其他/配置</x:v>
      </x:c>
      <x:c r="H4113" s="19" t="str">
        <x:v>D:/Codex/GRL研究/outputs/grid85_mechanism/GRID85_report.md</x:v>
      </x:c>
    </x:row>
    <x:row r="4114" ht="36" customHeight="1">
      <x:c r="A4114" s="19" t="str">
        <x:v>GRID85</x:v>
      </x:c>
      <x:c r="B4114" s="19" t="str">
        <x:v>GRID85_report.md</x:v>
      </x:c>
      <x:c r="C4114" s="19" t="str">
        <x:v>1. 1. 第一条机制：早期候选满足阈值，后续查询仍可能改变动作</x:v>
      </x:c>
      <x:c r="D4114" s="19" t="str">
        <x:v>实际闭环轨迹=上述调用经核查后改变动作；原13日期=12/39</x:v>
      </x:c>
      <x:c r="E4114" s="19" t="str">
        <x:v>新6日期</x:v>
      </x:c>
      <x:c r="F4114" s="19" t="str">
        <x:v>2/12</x:v>
      </x:c>
      <x:c r="G4114" s="19" t="str">
        <x:v>其他/配置</x:v>
      </x:c>
      <x:c r="H4114" s="19" t="str">
        <x:v>D:/Codex/GRL研究/outputs/grid85_mechanism/GRID85_report.md</x:v>
      </x:c>
    </x:row>
    <x:row r="4115" ht="36" customHeight="1">
      <x:c r="A4115" s="19" t="str">
        <x:v>GRID85</x:v>
      </x:c>
      <x:c r="B4115" s="19" t="str">
        <x:v>GRID85_report.md</x:v>
      </x:c>
      <x:c r="C4115" s="19" t="str">
        <x:v>1. 1. 第一条机制：早期候选满足阈值，后续查询仍可能改变动作</x:v>
      </x:c>
      <x:c r="D4115" s="19" t="str">
        <x:v>实际闭环轨迹=全部调用中全局核查改变前缀候选；原13日期=36</x:v>
      </x:c>
      <x:c r="E4115" s="19" t="str">
        <x:v>原13日期</x:v>
      </x:c>
      <x:c r="F4115" s="19" t="str">
        <x:v>36</x:v>
      </x:c>
      <x:c r="G4115" s="19" t="str">
        <x:v>其他/配置</x:v>
      </x:c>
      <x:c r="H4115" s="19" t="str">
        <x:v>D:/Codex/GRL研究/outputs/grid85_mechanism/GRID85_report.md</x:v>
      </x:c>
    </x:row>
    <x:row r="4116" ht="36" customHeight="1">
      <x:c r="A4116" s="19" t="str">
        <x:v>GRID85</x:v>
      </x:c>
      <x:c r="B4116" s="19" t="str">
        <x:v>GRID85_report.md</x:v>
      </x:c>
      <x:c r="C4116" s="19" t="str">
        <x:v>1. 1. 第一条机制：早期候选满足阈值，后续查询仍可能改变动作</x:v>
      </x:c>
      <x:c r="D4116" s="19" t="str">
        <x:v>实际闭环轨迹=全部调用中全局核查改变前缀候选；原13日期=36</x:v>
      </x:c>
      <x:c r="E4116" s="19" t="str">
        <x:v>新6日期</x:v>
      </x:c>
      <x:c r="F4116" s="19" t="str">
        <x:v>5</x:v>
      </x:c>
      <x:c r="G4116" s="19" t="str">
        <x:v>其他/配置</x:v>
      </x:c>
      <x:c r="H4116" s="19" t="str">
        <x:v>D:/Codex/GRL研究/outputs/grid85_mechanism/GRID85_report.md</x:v>
      </x:c>
    </x:row>
    <x:row r="4117" ht="36" customHeight="1">
      <x:c r="A4117" s="19" t="str">
        <x:v>GRID85</x:v>
      </x:c>
      <x:c r="B4117" s="19" t="str">
        <x:v>GRID85_report.md</x:v>
      </x:c>
      <x:c r="C4117" s="19" t="str">
        <x:v>1. 1. 第一条机制：早期候选满足阈值，后续查询仍可能改变动作</x:v>
      </x:c>
      <x:c r="D4117" s="19" t="str">
        <x:v>实际闭环轨迹=同站补查改变全局阶段候选；原13日期=24</x:v>
      </x:c>
      <x:c r="E4117" s="19" t="str">
        <x:v>原13日期</x:v>
      </x:c>
      <x:c r="F4117" s="19" t="str">
        <x:v>24</x:v>
      </x:c>
      <x:c r="G4117" s="19" t="str">
        <x:v>其他/配置</x:v>
      </x:c>
      <x:c r="H4117" s="19" t="str">
        <x:v>D:/Codex/GRL研究/outputs/grid85_mechanism/GRID85_report.md</x:v>
      </x:c>
    </x:row>
    <x:row r="4118" ht="36" customHeight="1">
      <x:c r="A4118" s="19" t="str">
        <x:v>GRID85</x:v>
      </x:c>
      <x:c r="B4118" s="19" t="str">
        <x:v>GRID85_report.md</x:v>
      </x:c>
      <x:c r="C4118" s="19" t="str">
        <x:v>1. 1. 第一条机制：早期候选满足阈值，后续查询仍可能改变动作</x:v>
      </x:c>
      <x:c r="D4118" s="19" t="str">
        <x:v>实际闭环轨迹=同站补查改变全局阶段候选；原13日期=24</x:v>
      </x:c>
      <x:c r="E4118" s="19" t="str">
        <x:v>新6日期</x:v>
      </x:c>
      <x:c r="F4118" s="19" t="str">
        <x:v>2</x:v>
      </x:c>
      <x:c r="G4118" s="19" t="str">
        <x:v>其他/配置</x:v>
      </x:c>
      <x:c r="H4118" s="19" t="str">
        <x:v>D:/Codex/GRL研究/outputs/grid85_mechanism/GRID85_report.md</x:v>
      </x:c>
    </x:row>
    <x:row r="4119" ht="36" customHeight="1">
      <x:c r="A4119" s="19" t="str">
        <x:v>GRID85</x:v>
      </x:c>
      <x:c r="B4119" s="19" t="str">
        <x:v>GRID85_report.md</x:v>
      </x:c>
      <x:c r="C4119" s="19" t="str">
        <x:v>1. 1. 第一条机制：早期候选满足阈值，后续查询仍可能改变动作</x:v>
      </x:c>
      <x:c r="D4119" s="19" t="str">
        <x:v>实际闭环轨迹=最终动作与前缀不同；原13日期=42</x:v>
      </x:c>
      <x:c r="E4119" s="19" t="str">
        <x:v>原13日期</x:v>
      </x:c>
      <x:c r="F4119" s="19" t="str">
        <x:v>42</x:v>
      </x:c>
      <x:c r="G4119" s="19" t="str">
        <x:v>其他/配置</x:v>
      </x:c>
      <x:c r="H4119" s="19" t="str">
        <x:v>D:/Codex/GRL研究/outputs/grid85_mechanism/GRID85_report.md</x:v>
      </x:c>
    </x:row>
    <x:row r="4120" ht="36" customHeight="1">
      <x:c r="A4120" s="19" t="str">
        <x:v>GRID85</x:v>
      </x:c>
      <x:c r="B4120" s="19" t="str">
        <x:v>GRID85_report.md</x:v>
      </x:c>
      <x:c r="C4120" s="19" t="str">
        <x:v>1. 1. 第一条机制：早期候选满足阈值，后续查询仍可能改变动作</x:v>
      </x:c>
      <x:c r="D4120" s="19" t="str">
        <x:v>实际闭环轨迹=最终动作与前缀不同；原13日期=42</x:v>
      </x:c>
      <x:c r="E4120" s="19" t="str">
        <x:v>新6日期</x:v>
      </x:c>
      <x:c r="F4120" s="19" t="str">
        <x:v>7</x:v>
      </x:c>
      <x:c r="G4120" s="19" t="str">
        <x:v>其他/配置</x:v>
      </x:c>
      <x:c r="H4120" s="19" t="str">
        <x:v>D:/Codex/GRL研究/outputs/grid85_mechanism/GRID85_report.md</x:v>
      </x:c>
    </x:row>
    <x:row r="4121" ht="42.75" customHeight="1">
      <x:c r="A4121" s="19" t="str">
        <x:v>GRID85</x:v>
      </x:c>
      <x:c r="B4121" s="19" t="str">
        <x:v>GRID85_report.md</x:v>
      </x:c>
      <x:c r="C4121" s="19" t="str">
        <x:v>2. 2. 第二条机制：全局核查承担大部分新增查询，补查占比随场景变化</x:v>
      </x:c>
      <x:c r="D4121" s="19" t="str">
        <x:v>查询阶段=初始前缀；原13日期=12,928</x:v>
      </x:c>
      <x:c r="E4121" s="19" t="str">
        <x:v>原13日期</x:v>
      </x:c>
      <x:c r="F4121" s="19" t="str">
        <x:v>12,928</x:v>
      </x:c>
      <x:c r="G4121" s="19" t="str">
        <x:v>其他/配置</x:v>
      </x:c>
      <x:c r="H4121" s="19" t="str">
        <x:v>D:/Codex/GRL研究/outputs/grid85_mechanism/GRID85_report.md</x:v>
      </x:c>
    </x:row>
    <x:row r="4122" ht="42.75" customHeight="1">
      <x:c r="A4122" s="19" t="str">
        <x:v>GRID85</x:v>
      </x:c>
      <x:c r="B4122" s="19" t="str">
        <x:v>GRID85_report.md</x:v>
      </x:c>
      <x:c r="C4122" s="19" t="str">
        <x:v>2. 2. 第二条机制：全局核查承担大部分新增查询，补查占比随场景变化</x:v>
      </x:c>
      <x:c r="D4122" s="19" t="str">
        <x:v>查询阶段=初始前缀；原13日期=12,928</x:v>
      </x:c>
      <x:c r="E4122" s="19" t="str">
        <x:v>新6日期</x:v>
      </x:c>
      <x:c r="F4122" s="19" t="str">
        <x:v>3,840</x:v>
      </x:c>
      <x:c r="G4122" s="19" t="str">
        <x:v>其他/配置</x:v>
      </x:c>
      <x:c r="H4122" s="19" t="str">
        <x:v>D:/Codex/GRL研究/outputs/grid85_mechanism/GRID85_report.md</x:v>
      </x:c>
    </x:row>
    <x:row r="4123" ht="42.75" customHeight="1">
      <x:c r="A4123" s="19" t="str">
        <x:v>GRID85</x:v>
      </x:c>
      <x:c r="B4123" s="19" t="str">
        <x:v>GRID85_report.md</x:v>
      </x:c>
      <x:c r="C4123" s="19" t="str">
        <x:v>2. 2. 第二条机制：全局核查承担大部分新增查询，补查占比随场景变化</x:v>
      </x:c>
      <x:c r="D4123" s="19" t="str">
        <x:v>查询阶段=后续全局核查/回退；原13日期=18,614</x:v>
      </x:c>
      <x:c r="E4123" s="19" t="str">
        <x:v>原13日期</x:v>
      </x:c>
      <x:c r="F4123" s="19" t="str">
        <x:v>18,614</x:v>
      </x:c>
      <x:c r="G4123" s="19" t="str">
        <x:v>其他/配置</x:v>
      </x:c>
      <x:c r="H4123" s="19" t="str">
        <x:v>D:/Codex/GRL研究/outputs/grid85_mechanism/GRID85_report.md</x:v>
      </x:c>
    </x:row>
    <x:row r="4124" ht="42.75" customHeight="1">
      <x:c r="A4124" s="19" t="str">
        <x:v>GRID85</x:v>
      </x:c>
      <x:c r="B4124" s="19" t="str">
        <x:v>GRID85_report.md</x:v>
      </x:c>
      <x:c r="C4124" s="19" t="str">
        <x:v>2. 2. 第二条机制：全局核查承担大部分新增查询，补查占比随场景变化</x:v>
      </x:c>
      <x:c r="D4124" s="19" t="str">
        <x:v>查询阶段=后续全局核查/回退；原13日期=18,614</x:v>
      </x:c>
      <x:c r="E4124" s="19" t="str">
        <x:v>新6日期</x:v>
      </x:c>
      <x:c r="F4124" s="19" t="str">
        <x:v>7,257</x:v>
      </x:c>
      <x:c r="G4124" s="19" t="str">
        <x:v>其他/配置</x:v>
      </x:c>
      <x:c r="H4124" s="19" t="str">
        <x:v>D:/Codex/GRL研究/outputs/grid85_mechanism/GRID85_report.md</x:v>
      </x:c>
    </x:row>
    <x:row r="4125" ht="42.75" customHeight="1">
      <x:c r="A4125" s="19" t="str">
        <x:v>GRID85</x:v>
      </x:c>
      <x:c r="B4125" s="19" t="str">
        <x:v>GRID85_report.md</x:v>
      </x:c>
      <x:c r="C4125" s="19" t="str">
        <x:v>2. 2. 第二条机制：全局核查承担大部分新增查询，补查占比随场景变化</x:v>
      </x:c>
      <x:c r="D4125" s="19" t="str">
        <x:v>查询阶段=同站补查；原13日期=4,072</x:v>
      </x:c>
      <x:c r="E4125" s="19" t="str">
        <x:v>原13日期</x:v>
      </x:c>
      <x:c r="F4125" s="19" t="str">
        <x:v>4,072</x:v>
      </x:c>
      <x:c r="G4125" s="19" t="str">
        <x:v>其他/配置</x:v>
      </x:c>
      <x:c r="H4125" s="19" t="str">
        <x:v>D:/Codex/GRL研究/outputs/grid85_mechanism/GRID85_report.md</x:v>
      </x:c>
    </x:row>
    <x:row r="4126" ht="42.75" customHeight="1">
      <x:c r="A4126" s="19" t="str">
        <x:v>GRID85</x:v>
      </x:c>
      <x:c r="B4126" s="19" t="str">
        <x:v>GRID85_report.md</x:v>
      </x:c>
      <x:c r="C4126" s="19" t="str">
        <x:v>2. 2. 第二条机制：全局核查承担大部分新增查询，补查占比随场景变化</x:v>
      </x:c>
      <x:c r="D4126" s="19" t="str">
        <x:v>查询阶段=同站补查；原13日期=4,072</x:v>
      </x:c>
      <x:c r="E4126" s="19" t="str">
        <x:v>新6日期</x:v>
      </x:c>
      <x:c r="F4126" s="19" t="str">
        <x:v>429</x:v>
      </x:c>
      <x:c r="G4126" s="19" t="str">
        <x:v>其他/配置</x:v>
      </x:c>
      <x:c r="H4126" s="19" t="str">
        <x:v>D:/Codex/GRL研究/outputs/grid85_mechanism/GRID85_report.md</x:v>
      </x:c>
    </x:row>
    <x:row r="4127" ht="42.75" customHeight="1">
      <x:c r="A4127" s="19" t="str">
        <x:v>GRID85</x:v>
      </x:c>
      <x:c r="B4127" s="19" t="str">
        <x:v>GRID85_report.md</x:v>
      </x:c>
      <x:c r="C4127" s="19" t="str">
        <x:v>2. 2. 第二条机制：全局核查承担大部分新增查询，补查占比随场景变化</x:v>
      </x:c>
      <x:c r="D4127" s="19" t="str">
        <x:v>查询阶段=合计；原13日期=35,614</x:v>
      </x:c>
      <x:c r="E4127" s="19" t="str">
        <x:v>原13日期</x:v>
      </x:c>
      <x:c r="F4127" s="19" t="str">
        <x:v>35,614</x:v>
      </x:c>
      <x:c r="G4127" s="19" t="str">
        <x:v>其他/配置</x:v>
      </x:c>
      <x:c r="H4127" s="19" t="str">
        <x:v>D:/Codex/GRL研究/outputs/grid85_mechanism/GRID85_report.md</x:v>
      </x:c>
    </x:row>
    <x:row r="4128" ht="42.75" customHeight="1">
      <x:c r="A4128" s="19" t="str">
        <x:v>GRID85</x:v>
      </x:c>
      <x:c r="B4128" s="19" t="str">
        <x:v>GRID85_report.md</x:v>
      </x:c>
      <x:c r="C4128" s="19" t="str">
        <x:v>2. 2. 第二条机制：全局核查承担大部分新增查询，补查占比随场景变化</x:v>
      </x:c>
      <x:c r="D4128" s="19" t="str">
        <x:v>查询阶段=合计；原13日期=35,614</x:v>
      </x:c>
      <x:c r="E4128" s="19" t="str">
        <x:v>新6日期</x:v>
      </x:c>
      <x:c r="F4128" s="19" t="str">
        <x:v>11,526</x:v>
      </x:c>
      <x:c r="G4128" s="19" t="str">
        <x:v>其他/配置</x:v>
      </x:c>
      <x:c r="H4128" s="19" t="str">
        <x:v>D:/Codex/GRL研究/outputs/grid85_mechanism/GRID85_report.md</x:v>
      </x:c>
    </x:row>
    <x:row r="4129" ht="42.75" customHeight="1">
      <x:c r="A4129" s="19" t="str">
        <x:v>GRID85</x:v>
      </x:c>
      <x:c r="B4129" s="19" t="str">
        <x:v>GRID85_report.md</x:v>
      </x:c>
      <x:c r="C4129" s="19" t="str">
        <x:v>3. 3. 同状态比较：反馈核查改善一步选择，但没有统一压过所有固定预算</x:v>
      </x:c>
      <x:c r="D4129" s="19" t="str">
        <x:v>方法=固定128；原日期平均查询=128.0</x:v>
      </x:c>
      <x:c r="E4129" s="19" t="str">
        <x:v>原日期平均查询</x:v>
      </x:c>
      <x:c r="F4129" s="19" t="str">
        <x:v>128.0</x:v>
      </x:c>
      <x:c r="G4129" s="19" t="str">
        <x:v>速度/计算</x:v>
      </x:c>
      <x:c r="H4129" s="19" t="str">
        <x:v>D:/Codex/GRL研究/outputs/grid85_mechanism/GRID85_report.md</x:v>
      </x:c>
    </x:row>
    <x:row r="4130" ht="42.75" customHeight="1">
      <x:c r="A4130" s="19" t="str">
        <x:v>GRID85</x:v>
      </x:c>
      <x:c r="B4130" s="19" t="str">
        <x:v>GRID85_report.md</x:v>
      </x:c>
      <x:c r="C4130" s="19" t="str">
        <x:v>3. 3. 同状态比较：反馈核查改善一步选择，但没有统一压过所有固定预算</x:v>
      </x:c>
      <x:c r="D4130" s="19" t="str">
        <x:v>方法=固定128；原日期平均查询=128.0</x:v>
      </x:c>
      <x:c r="E4130" s="19" t="str">
        <x:v>原日期同FULL选择</x:v>
      </x:c>
      <x:c r="F4130" s="19" t="str">
        <x:v>48/100</x:v>
      </x:c>
      <x:c r="G4130" s="19" t="str">
        <x:v>质量/成本</x:v>
      </x:c>
      <x:c r="H4130" s="19" t="str">
        <x:v>D:/Codex/GRL研究/outputs/grid85_mechanism/GRID85_report.md</x:v>
      </x:c>
    </x:row>
    <x:row r="4131" ht="42.75" customHeight="1">
      <x:c r="A4131" s="19" t="str">
        <x:v>GRID85</x:v>
      </x:c>
      <x:c r="B4131" s="19" t="str">
        <x:v>GRID85_report.md</x:v>
      </x:c>
      <x:c r="C4131" s="19" t="str">
        <x:v>3. 3. 同状态比较：反馈核查改善一步选择，但没有统一压过所有固定预算</x:v>
      </x:c>
      <x:c r="D4131" s="19" t="str">
        <x:v>方法=固定128；原日期平均查询=128.0</x:v>
      </x:c>
      <x:c r="E4131" s="19" t="str">
        <x:v>新日期平均查询</x:v>
      </x:c>
      <x:c r="F4131" s="19" t="str">
        <x:v>128.0</x:v>
      </x:c>
      <x:c r="G4131" s="19" t="str">
        <x:v>速度/计算</x:v>
      </x:c>
      <x:c r="H4131" s="19" t="str">
        <x:v>D:/Codex/GRL研究/outputs/grid85_mechanism/GRID85_report.md</x:v>
      </x:c>
    </x:row>
    <x:row r="4132" ht="42.75" customHeight="1">
      <x:c r="A4132" s="19" t="str">
        <x:v>GRID85</x:v>
      </x:c>
      <x:c r="B4132" s="19" t="str">
        <x:v>GRID85_report.md</x:v>
      </x:c>
      <x:c r="C4132" s="19" t="str">
        <x:v>3. 3. 同状态比较：反馈核查改善一步选择，但没有统一压过所有固定预算</x:v>
      </x:c>
      <x:c r="D4132" s="19" t="str">
        <x:v>方法=固定128；原日期平均查询=128.0</x:v>
      </x:c>
      <x:c r="E4132" s="19" t="str">
        <x:v>新日期同FULL选择</x:v>
      </x:c>
      <x:c r="F4132" s="19" t="str">
        <x:v>16/28</x:v>
      </x:c>
      <x:c r="G4132" s="19" t="str">
        <x:v>质量/成本</x:v>
      </x:c>
      <x:c r="H4132" s="19" t="str">
        <x:v>D:/Codex/GRL研究/outputs/grid85_mechanism/GRID85_report.md</x:v>
      </x:c>
    </x:row>
    <x:row r="4133" ht="42.75" customHeight="1">
      <x:c r="A4133" s="19" t="str">
        <x:v>GRID85</x:v>
      </x:c>
      <x:c r="B4133" s="19" t="str">
        <x:v>GRID85_report.md</x:v>
      </x:c>
      <x:c r="C4133" s="19" t="str">
        <x:v>3. 3. 同状态比较：反馈核查改善一步选择，但没有统一压过所有固定预算</x:v>
      </x:c>
      <x:c r="D4133" s="19" t="str">
        <x:v>方法=固定256；原日期平均查询=256.0</x:v>
      </x:c>
      <x:c r="E4133" s="19" t="str">
        <x:v>原日期平均查询</x:v>
      </x:c>
      <x:c r="F4133" s="19" t="str">
        <x:v>256.0</x:v>
      </x:c>
      <x:c r="G4133" s="19" t="str">
        <x:v>速度/计算</x:v>
      </x:c>
      <x:c r="H4133" s="19" t="str">
        <x:v>D:/Codex/GRL研究/outputs/grid85_mechanism/GRID85_report.md</x:v>
      </x:c>
    </x:row>
    <x:row r="4134" ht="42.75" customHeight="1">
      <x:c r="A4134" s="19" t="str">
        <x:v>GRID85</x:v>
      </x:c>
      <x:c r="B4134" s="19" t="str">
        <x:v>GRID85_report.md</x:v>
      </x:c>
      <x:c r="C4134" s="19" t="str">
        <x:v>3. 3. 同状态比较：反馈核查改善一步选择，但没有统一压过所有固定预算</x:v>
      </x:c>
      <x:c r="D4134" s="19" t="str">
        <x:v>方法=固定256；原日期平均查询=256.0</x:v>
      </x:c>
      <x:c r="E4134" s="19" t="str">
        <x:v>原日期同FULL选择</x:v>
      </x:c>
      <x:c r="F4134" s="19" t="str">
        <x:v>61/100</x:v>
      </x:c>
      <x:c r="G4134" s="19" t="str">
        <x:v>质量/成本</x:v>
      </x:c>
      <x:c r="H4134" s="19" t="str">
        <x:v>D:/Codex/GRL研究/outputs/grid85_mechanism/GRID85_report.md</x:v>
      </x:c>
    </x:row>
    <x:row r="4135" ht="42.75" customHeight="1">
      <x:c r="A4135" s="19" t="str">
        <x:v>GRID85</x:v>
      </x:c>
      <x:c r="B4135" s="19" t="str">
        <x:v>GRID85_report.md</x:v>
      </x:c>
      <x:c r="C4135" s="19" t="str">
        <x:v>3. 3. 同状态比较：反馈核查改善一步选择，但没有统一压过所有固定预算</x:v>
      </x:c>
      <x:c r="D4135" s="19" t="str">
        <x:v>方法=固定256；原日期平均查询=256.0</x:v>
      </x:c>
      <x:c r="E4135" s="19" t="str">
        <x:v>新日期平均查询</x:v>
      </x:c>
      <x:c r="F4135" s="19" t="str">
        <x:v>256.0</x:v>
      </x:c>
      <x:c r="G4135" s="19" t="str">
        <x:v>速度/计算</x:v>
      </x:c>
      <x:c r="H4135" s="19" t="str">
        <x:v>D:/Codex/GRL研究/outputs/grid85_mechanism/GRID85_report.md</x:v>
      </x:c>
    </x:row>
    <x:row r="4136" ht="42.75" customHeight="1">
      <x:c r="A4136" s="19" t="str">
        <x:v>GRID85</x:v>
      </x:c>
      <x:c r="B4136" s="19" t="str">
        <x:v>GRID85_report.md</x:v>
      </x:c>
      <x:c r="C4136" s="19" t="str">
        <x:v>3. 3. 同状态比较：反馈核查改善一步选择，但没有统一压过所有固定预算</x:v>
      </x:c>
      <x:c r="D4136" s="19" t="str">
        <x:v>方法=固定256；原日期平均查询=256.0</x:v>
      </x:c>
      <x:c r="E4136" s="19" t="str">
        <x:v>新日期同FULL选择</x:v>
      </x:c>
      <x:c r="F4136" s="19" t="str">
        <x:v>19/28</x:v>
      </x:c>
      <x:c r="G4136" s="19" t="str">
        <x:v>质量/成本</x:v>
      </x:c>
      <x:c r="H4136" s="19" t="str">
        <x:v>D:/Codex/GRL研究/outputs/grid85_mechanism/GRID85_report.md</x:v>
      </x:c>
    </x:row>
    <x:row r="4137" ht="42.75" customHeight="1">
      <x:c r="A4137" s="19" t="str">
        <x:v>GRID85</x:v>
      </x:c>
      <x:c r="B4137" s="19" t="str">
        <x:v>GRID85_report.md</x:v>
      </x:c>
      <x:c r="C4137" s="19" t="str">
        <x:v>3. 3. 同状态比较：反馈核查改善一步选择，但没有统一压过所有固定预算</x:v>
      </x:c>
      <x:c r="D4137" s="19" t="str">
        <x:v>方法=固定512；原日期平均查询=512.0</x:v>
      </x:c>
      <x:c r="E4137" s="19" t="str">
        <x:v>原日期平均查询</x:v>
      </x:c>
      <x:c r="F4137" s="19" t="str">
        <x:v>512.0</x:v>
      </x:c>
      <x:c r="G4137" s="19" t="str">
        <x:v>速度/计算</x:v>
      </x:c>
      <x:c r="H4137" s="19" t="str">
        <x:v>D:/Codex/GRL研究/outputs/grid85_mechanism/GRID85_report.md</x:v>
      </x:c>
    </x:row>
    <x:row r="4138" ht="42.75" customHeight="1">
      <x:c r="A4138" s="19" t="str">
        <x:v>GRID85</x:v>
      </x:c>
      <x:c r="B4138" s="19" t="str">
        <x:v>GRID85_report.md</x:v>
      </x:c>
      <x:c r="C4138" s="19" t="str">
        <x:v>3. 3. 同状态比较：反馈核查改善一步选择，但没有统一压过所有固定预算</x:v>
      </x:c>
      <x:c r="D4138" s="19" t="str">
        <x:v>方法=固定512；原日期平均查询=512.0</x:v>
      </x:c>
      <x:c r="E4138" s="19" t="str">
        <x:v>原日期同FULL选择</x:v>
      </x:c>
      <x:c r="F4138" s="19" t="str">
        <x:v>83/100</x:v>
      </x:c>
      <x:c r="G4138" s="19" t="str">
        <x:v>质量/成本</x:v>
      </x:c>
      <x:c r="H4138" s="19" t="str">
        <x:v>D:/Codex/GRL研究/outputs/grid85_mechanism/GRID85_report.md</x:v>
      </x:c>
    </x:row>
    <x:row r="4139" ht="42.75" customHeight="1">
      <x:c r="A4139" s="19" t="str">
        <x:v>GRID85</x:v>
      </x:c>
      <x:c r="B4139" s="19" t="str">
        <x:v>GRID85_report.md</x:v>
      </x:c>
      <x:c r="C4139" s="19" t="str">
        <x:v>3. 3. 同状态比较：反馈核查改善一步选择，但没有统一压过所有固定预算</x:v>
      </x:c>
      <x:c r="D4139" s="19" t="str">
        <x:v>方法=固定512；原日期平均查询=512.0</x:v>
      </x:c>
      <x:c r="E4139" s="19" t="str">
        <x:v>新日期平均查询</x:v>
      </x:c>
      <x:c r="F4139" s="19" t="str">
        <x:v>512.0</x:v>
      </x:c>
      <x:c r="G4139" s="19" t="str">
        <x:v>速度/计算</x:v>
      </x:c>
      <x:c r="H4139" s="19" t="str">
        <x:v>D:/Codex/GRL研究/outputs/grid85_mechanism/GRID85_report.md</x:v>
      </x:c>
    </x:row>
    <x:row r="4140" ht="42.75" customHeight="1">
      <x:c r="A4140" s="19" t="str">
        <x:v>GRID85</x:v>
      </x:c>
      <x:c r="B4140" s="19" t="str">
        <x:v>GRID85_report.md</x:v>
      </x:c>
      <x:c r="C4140" s="19" t="str">
        <x:v>3. 3. 同状态比较：反馈核查改善一步选择，但没有统一压过所有固定预算</x:v>
      </x:c>
      <x:c r="D4140" s="19" t="str">
        <x:v>方法=固定512；原日期平均查询=512.0</x:v>
      </x:c>
      <x:c r="E4140" s="19" t="str">
        <x:v>新日期同FULL选择</x:v>
      </x:c>
      <x:c r="F4140" s="19" t="str">
        <x:v>26/28</x:v>
      </x:c>
      <x:c r="G4140" s="19" t="str">
        <x:v>质量/成本</x:v>
      </x:c>
      <x:c r="H4140" s="19" t="str">
        <x:v>D:/Codex/GRL研究/outputs/grid85_mechanism/GRID85_report.md</x:v>
      </x:c>
    </x:row>
    <x:row r="4141" ht="42.75" customHeight="1">
      <x:c r="A4141" s="19" t="str">
        <x:v>GRID85</x:v>
      </x:c>
      <x:c r="B4141" s="19" t="str">
        <x:v>GRID85_report.md</x:v>
      </x:c>
      <x:c r="C4141" s="19" t="str">
        <x:v>3. 3. 同状态比较：反馈核查改善一步选择，但没有统一压过所有固定预算</x:v>
      </x:c>
      <x:c r="D4141" s="19" t="str">
        <x:v>方法=旧FRAME；原日期平均查询=276.1</x:v>
      </x:c>
      <x:c r="E4141" s="19" t="str">
        <x:v>原日期平均查询</x:v>
      </x:c>
      <x:c r="F4141" s="19" t="str">
        <x:v>276.1</x:v>
      </x:c>
      <x:c r="G4141" s="19" t="str">
        <x:v>速度/计算</x:v>
      </x:c>
      <x:c r="H4141" s="19" t="str">
        <x:v>D:/Codex/GRL研究/outputs/grid85_mechanism/GRID85_report.md</x:v>
      </x:c>
    </x:row>
    <x:row r="4142" ht="42.75" customHeight="1">
      <x:c r="A4142" s="19" t="str">
        <x:v>GRID85</x:v>
      </x:c>
      <x:c r="B4142" s="19" t="str">
        <x:v>GRID85_report.md</x:v>
      </x:c>
      <x:c r="C4142" s="19" t="str">
        <x:v>3. 3. 同状态比较：反馈核查改善一步选择，但没有统一压过所有固定预算</x:v>
      </x:c>
      <x:c r="D4142" s="19" t="str">
        <x:v>方法=旧FRAME；原日期平均查询=276.1</x:v>
      </x:c>
      <x:c r="E4142" s="19" t="str">
        <x:v>原日期同FULL选择</x:v>
      </x:c>
      <x:c r="F4142" s="19" t="str">
        <x:v>74/100</x:v>
      </x:c>
      <x:c r="G4142" s="19" t="str">
        <x:v>质量/成本</x:v>
      </x:c>
      <x:c r="H4142" s="19" t="str">
        <x:v>D:/Codex/GRL研究/outputs/grid85_mechanism/GRID85_report.md</x:v>
      </x:c>
    </x:row>
    <x:row r="4143" ht="42.75" customHeight="1">
      <x:c r="A4143" s="19" t="str">
        <x:v>GRID85</x:v>
      </x:c>
      <x:c r="B4143" s="19" t="str">
        <x:v>GRID85_report.md</x:v>
      </x:c>
      <x:c r="C4143" s="19" t="str">
        <x:v>3. 3. 同状态比较：反馈核查改善一步选择，但没有统一压过所有固定预算</x:v>
      </x:c>
      <x:c r="D4143" s="19" t="str">
        <x:v>方法=旧FRAME；原日期平均查询=276.1</x:v>
      </x:c>
      <x:c r="E4143" s="19" t="str">
        <x:v>新日期平均查询</x:v>
      </x:c>
      <x:c r="F4143" s="19" t="str">
        <x:v>321.7</x:v>
      </x:c>
      <x:c r="G4143" s="19" t="str">
        <x:v>速度/计算</x:v>
      </x:c>
      <x:c r="H4143" s="19" t="str">
        <x:v>D:/Codex/GRL研究/outputs/grid85_mechanism/GRID85_report.md</x:v>
      </x:c>
    </x:row>
    <x:row r="4144" ht="42.75" customHeight="1">
      <x:c r="A4144" s="19" t="str">
        <x:v>GRID85</x:v>
      </x:c>
      <x:c r="B4144" s="19" t="str">
        <x:v>GRID85_report.md</x:v>
      </x:c>
      <x:c r="C4144" s="19" t="str">
        <x:v>3. 3. 同状态比较：反馈核查改善一步选择，但没有统一压过所有固定预算</x:v>
      </x:c>
      <x:c r="D4144" s="19" t="str">
        <x:v>方法=旧FRAME；原日期平均查询=276.1</x:v>
      </x:c>
      <x:c r="E4144" s="19" t="str">
        <x:v>新日期同FULL选择</x:v>
      </x:c>
      <x:c r="F4144" s="19" t="str">
        <x:v>20/28</x:v>
      </x:c>
      <x:c r="G4144" s="19" t="str">
        <x:v>质量/成本</x:v>
      </x:c>
      <x:c r="H4144" s="19" t="str">
        <x:v>D:/Codex/GRL研究/outputs/grid85_mechanism/GRID85_report.md</x:v>
      </x:c>
    </x:row>
    <x:row r="4145" ht="42.75" customHeight="1">
      <x:c r="A4145" s="19" t="str">
        <x:v>GRID85</x:v>
      </x:c>
      <x:c r="B4145" s="19" t="str">
        <x:v>GRID85_report.md</x:v>
      </x:c>
      <x:c r="C4145" s="19" t="str">
        <x:v>3. 3. 同状态比较：反馈核查改善一步选择，但没有统一压过所有固定预算</x:v>
      </x:c>
      <x:c r="D4145" s="19" t="str">
        <x:v>方法=最终核查、取消同站补查；原日期平均查询=308.2</x:v>
      </x:c>
      <x:c r="E4145" s="19" t="str">
        <x:v>原日期平均查询</x:v>
      </x:c>
      <x:c r="F4145" s="19" t="str">
        <x:v>308.2</x:v>
      </x:c>
      <x:c r="G4145" s="19" t="str">
        <x:v>速度/计算</x:v>
      </x:c>
      <x:c r="H4145" s="19" t="str">
        <x:v>D:/Codex/GRL研究/outputs/grid85_mechanism/GRID85_report.md</x:v>
      </x:c>
    </x:row>
    <x:row r="4146" ht="42.75" customHeight="1">
      <x:c r="A4146" s="19" t="str">
        <x:v>GRID85</x:v>
      </x:c>
      <x:c r="B4146" s="19" t="str">
        <x:v>GRID85_report.md</x:v>
      </x:c>
      <x:c r="C4146" s="19" t="str">
        <x:v>3. 3. 同状态比较：反馈核查改善一步选择，但没有统一压过所有固定预算</x:v>
      </x:c>
      <x:c r="D4146" s="19" t="str">
        <x:v>方法=最终核查、取消同站补查；原日期平均查询=308.2</x:v>
      </x:c>
      <x:c r="E4146" s="19" t="str">
        <x:v>原日期同FULL选择</x:v>
      </x:c>
      <x:c r="F4146" s="19" t="str">
        <x:v>65/100</x:v>
      </x:c>
      <x:c r="G4146" s="19" t="str">
        <x:v>质量/成本</x:v>
      </x:c>
      <x:c r="H4146" s="19" t="str">
        <x:v>D:/Codex/GRL研究/outputs/grid85_mechanism/GRID85_report.md</x:v>
      </x:c>
    </x:row>
    <x:row r="4147" ht="42.75" customHeight="1">
      <x:c r="A4147" s="19" t="str">
        <x:v>GRID85</x:v>
      </x:c>
      <x:c r="B4147" s="19" t="str">
        <x:v>GRID85_report.md</x:v>
      </x:c>
      <x:c r="C4147" s="19" t="str">
        <x:v>3. 3. 同状态比较：反馈核查改善一步选择，但没有统一压过所有固定预算</x:v>
      </x:c>
      <x:c r="D4147" s="19" t="str">
        <x:v>方法=最终核查、取消同站补查；原日期平均查询=308.2</x:v>
      </x:c>
      <x:c r="E4147" s="19" t="str">
        <x:v>新日期平均查询</x:v>
      </x:c>
      <x:c r="F4147" s="19" t="str">
        <x:v>361.5</x:v>
      </x:c>
      <x:c r="G4147" s="19" t="str">
        <x:v>速度/计算</x:v>
      </x:c>
      <x:c r="H4147" s="19" t="str">
        <x:v>D:/Codex/GRL研究/outputs/grid85_mechanism/GRID85_report.md</x:v>
      </x:c>
    </x:row>
    <x:row r="4148" ht="42.75" customHeight="1">
      <x:c r="A4148" s="19" t="str">
        <x:v>GRID85</x:v>
      </x:c>
      <x:c r="B4148" s="19" t="str">
        <x:v>GRID85_report.md</x:v>
      </x:c>
      <x:c r="C4148" s="19" t="str">
        <x:v>3. 3. 同状态比较：反馈核查改善一步选择，但没有统一压过所有固定预算</x:v>
      </x:c>
      <x:c r="D4148" s="19" t="str">
        <x:v>方法=最终核查、取消同站补查；原日期平均查询=308.2</x:v>
      </x:c>
      <x:c r="E4148" s="19" t="str">
        <x:v>新日期同FULL选择</x:v>
      </x:c>
      <x:c r="F4148" s="19" t="str">
        <x:v>21/28</x:v>
      </x:c>
      <x:c r="G4148" s="19" t="str">
        <x:v>质量/成本</x:v>
      </x:c>
      <x:c r="H4148" s="19" t="str">
        <x:v>D:/Codex/GRL研究/outputs/grid85_mechanism/GRID85_report.md</x:v>
      </x:c>
    </x:row>
    <x:row r="4149" ht="42.75" customHeight="1">
      <x:c r="A4149" s="19" t="str">
        <x:v>GRID85</x:v>
      </x:c>
      <x:c r="B4149" s="19" t="str">
        <x:v>GRID85_report.md</x:v>
      </x:c>
      <x:c r="C4149" s="19" t="str">
        <x:v>3. 3. 同状态比较：反馈核查改善一步选择，但没有统一压过所有固定预算</x:v>
      </x:c>
      <x:c r="D4149" s="19" t="str">
        <x:v>方法=最终核查、等预算全局补查；原日期平均查询=347.8</x:v>
      </x:c>
      <x:c r="E4149" s="19" t="str">
        <x:v>原日期平均查询</x:v>
      </x:c>
      <x:c r="F4149" s="19" t="str">
        <x:v>347.8</x:v>
      </x:c>
      <x:c r="G4149" s="19" t="str">
        <x:v>速度/计算</x:v>
      </x:c>
      <x:c r="H4149" s="19" t="str">
        <x:v>D:/Codex/GRL研究/outputs/grid85_mechanism/GRID85_report.md</x:v>
      </x:c>
    </x:row>
    <x:row r="4150" ht="42.75" customHeight="1">
      <x:c r="A4150" s="19" t="str">
        <x:v>GRID85</x:v>
      </x:c>
      <x:c r="B4150" s="19" t="str">
        <x:v>GRID85_report.md</x:v>
      </x:c>
      <x:c r="C4150" s="19" t="str">
        <x:v>3. 3. 同状态比较：反馈核查改善一步选择，但没有统一压过所有固定预算</x:v>
      </x:c>
      <x:c r="D4150" s="19" t="str">
        <x:v>方法=最终核查、等预算全局补查；原日期平均查询=347.8</x:v>
      </x:c>
      <x:c r="E4150" s="19" t="str">
        <x:v>原日期同FULL选择</x:v>
      </x:c>
      <x:c r="F4150" s="19" t="str">
        <x:v>71/100</x:v>
      </x:c>
      <x:c r="G4150" s="19" t="str">
        <x:v>质量/成本</x:v>
      </x:c>
      <x:c r="H4150" s="19" t="str">
        <x:v>D:/Codex/GRL研究/outputs/grid85_mechanism/GRID85_report.md</x:v>
      </x:c>
    </x:row>
    <x:row r="4151" ht="42.75" customHeight="1">
      <x:c r="A4151" s="19" t="str">
        <x:v>GRID85</x:v>
      </x:c>
      <x:c r="B4151" s="19" t="str">
        <x:v>GRID85_report.md</x:v>
      </x:c>
      <x:c r="C4151" s="19" t="str">
        <x:v>3. 3. 同状态比较：反馈核查改善一步选择，但没有统一压过所有固定预算</x:v>
      </x:c>
      <x:c r="D4151" s="19" t="str">
        <x:v>方法=最终核查、等预算全局补查；原日期平均查询=347.8</x:v>
      </x:c>
      <x:c r="E4151" s="19" t="str">
        <x:v>新日期平均查询</x:v>
      </x:c>
      <x:c r="F4151" s="19" t="str">
        <x:v>386.6</x:v>
      </x:c>
      <x:c r="G4151" s="19" t="str">
        <x:v>速度/计算</x:v>
      </x:c>
      <x:c r="H4151" s="19" t="str">
        <x:v>D:/Codex/GRL研究/outputs/grid85_mechanism/GRID85_report.md</x:v>
      </x:c>
    </x:row>
    <x:row r="4152" ht="42.75" customHeight="1">
      <x:c r="A4152" s="19" t="str">
        <x:v>GRID85</x:v>
      </x:c>
      <x:c r="B4152" s="19" t="str">
        <x:v>GRID85_report.md</x:v>
      </x:c>
      <x:c r="C4152" s="19" t="str">
        <x:v>3. 3. 同状态比较：反馈核查改善一步选择，但没有统一压过所有固定预算</x:v>
      </x:c>
      <x:c r="D4152" s="19" t="str">
        <x:v>方法=最终核查、等预算全局补查；原日期平均查询=347.8</x:v>
      </x:c>
      <x:c r="E4152" s="19" t="str">
        <x:v>新日期同FULL选择</x:v>
      </x:c>
      <x:c r="F4152" s="19" t="str">
        <x:v>22/28</x:v>
      </x:c>
      <x:c r="G4152" s="19" t="str">
        <x:v>质量/成本</x:v>
      </x:c>
      <x:c r="H4152" s="19" t="str">
        <x:v>D:/Codex/GRL研究/outputs/grid85_mechanism/GRID85_report.md</x:v>
      </x:c>
    </x:row>
    <x:row r="4153" ht="42.75" customHeight="1">
      <x:c r="A4153" s="19" t="str">
        <x:v>GRID85</x:v>
      </x:c>
      <x:c r="B4153" s="19" t="str">
        <x:v>GRID85_report.md</x:v>
      </x:c>
      <x:c r="C4153" s="19" t="str">
        <x:v>3. 3. 同状态比较：反馈核查改善一步选择，但没有统一压过所有固定预算</x:v>
      </x:c>
      <x:c r="D4153" s="19" t="str">
        <x:v>方法=最终FRAME_GUARD；原日期平均查询=347.8</x:v>
      </x:c>
      <x:c r="E4153" s="19" t="str">
        <x:v>原日期平均查询</x:v>
      </x:c>
      <x:c r="F4153" s="19" t="str">
        <x:v>347.8</x:v>
      </x:c>
      <x:c r="G4153" s="19" t="str">
        <x:v>速度/计算</x:v>
      </x:c>
      <x:c r="H4153" s="19" t="str">
        <x:v>D:/Codex/GRL研究/outputs/grid85_mechanism/GRID85_report.md</x:v>
      </x:c>
    </x:row>
    <x:row r="4154" ht="42.75" customHeight="1">
      <x:c r="A4154" s="19" t="str">
        <x:v>GRID85</x:v>
      </x:c>
      <x:c r="B4154" s="19" t="str">
        <x:v>GRID85_report.md</x:v>
      </x:c>
      <x:c r="C4154" s="19" t="str">
        <x:v>3. 3. 同状态比较：反馈核查改善一步选择，但没有统一压过所有固定预算</x:v>
      </x:c>
      <x:c r="D4154" s="19" t="str">
        <x:v>方法=最终FRAME_GUARD；原日期平均查询=347.8</x:v>
      </x:c>
      <x:c r="E4154" s="19" t="str">
        <x:v>原日期同FULL选择</x:v>
      </x:c>
      <x:c r="F4154" s="19" t="str">
        <x:v>84/100</x:v>
      </x:c>
      <x:c r="G4154" s="19" t="str">
        <x:v>质量/成本</x:v>
      </x:c>
      <x:c r="H4154" s="19" t="str">
        <x:v>D:/Codex/GRL研究/outputs/grid85_mechanism/GRID85_report.md</x:v>
      </x:c>
    </x:row>
    <x:row r="4155" ht="42.75" customHeight="1">
      <x:c r="A4155" s="19" t="str">
        <x:v>GRID85</x:v>
      </x:c>
      <x:c r="B4155" s="19" t="str">
        <x:v>GRID85_report.md</x:v>
      </x:c>
      <x:c r="C4155" s="19" t="str">
        <x:v>3. 3. 同状态比较：反馈核查改善一步选择，但没有统一压过所有固定预算</x:v>
      </x:c>
      <x:c r="D4155" s="19" t="str">
        <x:v>方法=最终FRAME_GUARD；原日期平均查询=347.8</x:v>
      </x:c>
      <x:c r="E4155" s="19" t="str">
        <x:v>新日期平均查询</x:v>
      </x:c>
      <x:c r="F4155" s="19" t="str">
        <x:v>386.6</x:v>
      </x:c>
      <x:c r="G4155" s="19" t="str">
        <x:v>速度/计算</x:v>
      </x:c>
      <x:c r="H4155" s="19" t="str">
        <x:v>D:/Codex/GRL研究/outputs/grid85_mechanism/GRID85_report.md</x:v>
      </x:c>
    </x:row>
    <x:row r="4156" ht="42.75" customHeight="1">
      <x:c r="A4156" s="19" t="str">
        <x:v>GRID85</x:v>
      </x:c>
      <x:c r="B4156" s="19" t="str">
        <x:v>GRID85_report.md</x:v>
      </x:c>
      <x:c r="C4156" s="19" t="str">
        <x:v>3. 3. 同状态比较：反馈核查改善一步选择，但没有统一压过所有固定预算</x:v>
      </x:c>
      <x:c r="D4156" s="19" t="str">
        <x:v>方法=最终FRAME_GUARD；原日期平均查询=347.8</x:v>
      </x:c>
      <x:c r="E4156" s="19" t="str">
        <x:v>新日期同FULL选择</x:v>
      </x:c>
      <x:c r="F4156" s="19" t="str">
        <x:v>23/28</x:v>
      </x:c>
      <x:c r="G4156" s="19" t="str">
        <x:v>质量/成本</x:v>
      </x:c>
      <x:c r="H4156" s="19" t="str">
        <x:v>D:/Codex/GRL研究/outputs/grid85_mechanism/GRID85_report.md</x:v>
      </x:c>
    </x:row>
    <x:row r="4157" ht="36" customHeight="1">
      <x:c r="A4157" s="19" t="str">
        <x:v>GRID85</x:v>
      </x:c>
      <x:c r="B4157" s="19" t="str">
        <x:v>GRID85_report.md</x:v>
      </x:c>
      <x:c r="C4157" s="19" t="str">
        <x:v>4. 4. 结构补查的收益：旧日期较清楚，新日期存在更大的反向例子</x:v>
      </x:c>
      <x:c r="D4157" s="19" t="str">
        <x:v>同状态、同追加预算=存在补查的状态；原日期=70</x:v>
      </x:c>
      <x:c r="E4157" s="19" t="str">
        <x:v>原日期</x:v>
      </x:c>
      <x:c r="F4157" s="19" t="str">
        <x:v>70</x:v>
      </x:c>
      <x:c r="G4157" s="19" t="str">
        <x:v>其他/配置</x:v>
      </x:c>
      <x:c r="H4157" s="19" t="str">
        <x:v>D:/Codex/GRL研究/outputs/grid85_mechanism/GRID85_report.md</x:v>
      </x:c>
    </x:row>
    <x:row r="4158" ht="36" customHeight="1">
      <x:c r="A4158" s="19" t="str">
        <x:v>GRID85</x:v>
      </x:c>
      <x:c r="B4158" s="19" t="str">
        <x:v>GRID85_report.md</x:v>
      </x:c>
      <x:c r="C4158" s="19" t="str">
        <x:v>4. 4. 结构补查的收益：旧日期较清楚，新日期存在更大的反向例子</x:v>
      </x:c>
      <x:c r="D4158" s="19" t="str">
        <x:v>同状态、同追加预算=存在补查的状态；原日期=70</x:v>
      </x:c>
      <x:c r="E4158" s="19" t="str">
        <x:v>新日期</x:v>
      </x:c>
      <x:c r="F4158" s="19" t="str">
        <x:v>18</x:v>
      </x:c>
      <x:c r="G4158" s="19" t="str">
        <x:v>其他/配置</x:v>
      </x:c>
      <x:c r="H4158" s="19" t="str">
        <x:v>D:/Codex/GRL研究/outputs/grid85_mechanism/GRID85_report.md</x:v>
      </x:c>
    </x:row>
    <x:row r="4159" ht="36" customHeight="1">
      <x:c r="A4159" s="19" t="str">
        <x:v>GRID85</x:v>
      </x:c>
      <x:c r="B4159" s="19" t="str">
        <x:v>GRID85_report.md</x:v>
      </x:c>
      <x:c r="C4159" s="19" t="str">
        <x:v>4. 4. 结构补查的收益：旧日期较清楚，新日期存在更大的反向例子</x:v>
      </x:c>
      <x:c r="D4159" s="19" t="str">
        <x:v>同状态、同追加预算=同站版最终排序键更好；原日期=14</x:v>
      </x:c>
      <x:c r="E4159" s="19" t="str">
        <x:v>原日期</x:v>
      </x:c>
      <x:c r="F4159" s="19" t="str">
        <x:v>14</x:v>
      </x:c>
      <x:c r="G4159" s="19" t="str">
        <x:v>其他/配置</x:v>
      </x:c>
      <x:c r="H4159" s="19" t="str">
        <x:v>D:/Codex/GRL研究/outputs/grid85_mechanism/GRID85_report.md</x:v>
      </x:c>
    </x:row>
    <x:row r="4160" ht="36" customHeight="1">
      <x:c r="A4160" s="19" t="str">
        <x:v>GRID85</x:v>
      </x:c>
      <x:c r="B4160" s="19" t="str">
        <x:v>GRID85_report.md</x:v>
      </x:c>
      <x:c r="C4160" s="19" t="str">
        <x:v>4. 4. 结构补查的收益：旧日期较清楚，新日期存在更大的反向例子</x:v>
      </x:c>
      <x:c r="D4160" s="19" t="str">
        <x:v>同状态、同追加预算=同站版最终排序键更好；原日期=14</x:v>
      </x:c>
      <x:c r="E4160" s="19" t="str">
        <x:v>新日期</x:v>
      </x:c>
      <x:c r="F4160" s="19" t="str">
        <x:v>3</x:v>
      </x:c>
      <x:c r="G4160" s="19" t="str">
        <x:v>其他/配置</x:v>
      </x:c>
      <x:c r="H4160" s="19" t="str">
        <x:v>D:/Codex/GRL研究/outputs/grid85_mechanism/GRID85_report.md</x:v>
      </x:c>
    </x:row>
    <x:row r="4161" ht="36" customHeight="1">
      <x:c r="A4161" s="19" t="str">
        <x:v>GRID85</x:v>
      </x:c>
      <x:c r="B4161" s="19" t="str">
        <x:v>GRID85_report.md</x:v>
      </x:c>
      <x:c r="C4161" s="19" t="str">
        <x:v>4. 4. 结构补查的收益：旧日期较清楚，新日期存在更大的反向例子</x:v>
      </x:c>
      <x:c r="D4161" s="19" t="str">
        <x:v>同状态、同追加预算=全局版最终排序键更好；原日期=0</x:v>
      </x:c>
      <x:c r="E4161" s="19" t="str">
        <x:v>原日期</x:v>
      </x:c>
      <x:c r="F4161" s="19" t="str">
        <x:v>0</x:v>
      </x:c>
      <x:c r="G4161" s="19" t="str">
        <x:v>其他/配置</x:v>
      </x:c>
      <x:c r="H4161" s="19" t="str">
        <x:v>D:/Codex/GRL研究/outputs/grid85_mechanism/GRID85_report.md</x:v>
      </x:c>
    </x:row>
    <x:row r="4162" ht="36" customHeight="1">
      <x:c r="A4162" s="19" t="str">
        <x:v>GRID85</x:v>
      </x:c>
      <x:c r="B4162" s="19" t="str">
        <x:v>GRID85_report.md</x:v>
      </x:c>
      <x:c r="C4162" s="19" t="str">
        <x:v>4. 4. 结构补查的收益：旧日期较清楚，新日期存在更大的反向例子</x:v>
      </x:c>
      <x:c r="D4162" s="19" t="str">
        <x:v>同状态、同追加预算=全局版最终排序键更好；原日期=0</x:v>
      </x:c>
      <x:c r="E4162" s="19" t="str">
        <x:v>新日期</x:v>
      </x:c>
      <x:c r="F4162" s="19" t="str">
        <x:v>1</x:v>
      </x:c>
      <x:c r="G4162" s="19" t="str">
        <x:v>其他/配置</x:v>
      </x:c>
      <x:c r="H4162" s="19" t="str">
        <x:v>D:/Codex/GRL研究/outputs/grid85_mechanism/GRID85_report.md</x:v>
      </x:c>
    </x:row>
    <x:row r="4163" ht="36" customHeight="1">
      <x:c r="A4163" s="19" t="str">
        <x:v>GRID85</x:v>
      </x:c>
      <x:c r="B4163" s="19" t="str">
        <x:v>GRID85_report.md</x:v>
      </x:c>
      <x:c r="C4163" s="19" t="str">
        <x:v>4. 4. 结构补查的收益：旧日期较清楚，新日期存在更大的反向例子</x:v>
      </x:c>
      <x:c r="D4163" s="19" t="str">
        <x:v>同状态、同追加预算=同站版有实质一步奖励优势（&gt;1e−6）；原日期=13</x:v>
      </x:c>
      <x:c r="E4163" s="19" t="str">
        <x:v>原日期</x:v>
      </x:c>
      <x:c r="F4163" s="19" t="str">
        <x:v>13</x:v>
      </x:c>
      <x:c r="G4163" s="19" t="str">
        <x:v>其他/配置</x:v>
      </x:c>
      <x:c r="H4163" s="19" t="str">
        <x:v>D:/Codex/GRL研究/outputs/grid85_mechanism/GRID85_report.md</x:v>
      </x:c>
    </x:row>
    <x:row r="4164" ht="36" customHeight="1">
      <x:c r="A4164" s="19" t="str">
        <x:v>GRID85</x:v>
      </x:c>
      <x:c r="B4164" s="19" t="str">
        <x:v>GRID85_report.md</x:v>
      </x:c>
      <x:c r="C4164" s="19" t="str">
        <x:v>4. 4. 结构补查的收益：旧日期较清楚，新日期存在更大的反向例子</x:v>
      </x:c>
      <x:c r="D4164" s="19" t="str">
        <x:v>同状态、同追加预算=同站版有实质一步奖励优势（&gt;1e−6）；原日期=13</x:v>
      </x:c>
      <x:c r="E4164" s="19" t="str">
        <x:v>新日期</x:v>
      </x:c>
      <x:c r="F4164" s="19" t="str">
        <x:v>3</x:v>
      </x:c>
      <x:c r="G4164" s="19" t="str">
        <x:v>其他/配置</x:v>
      </x:c>
      <x:c r="H4164" s="19" t="str">
        <x:v>D:/Codex/GRL研究/outputs/grid85_mechanism/GRID85_report.md</x:v>
      </x:c>
    </x:row>
    <x:row r="4165" ht="36" customHeight="1">
      <x:c r="A4165" s="19" t="str">
        <x:v>GRID85</x:v>
      </x:c>
      <x:c r="B4165" s="19" t="str">
        <x:v>GRID85_report.md</x:v>
      </x:c>
      <x:c r="C4165" s="19" t="str">
        <x:v>4. 4. 结构补查的收益：旧日期较清楚，新日期存在更大的反向例子</x:v>
      </x:c>
      <x:c r="D4165" s="19" t="str">
        <x:v>同状态、同追加预算=全局版有实质一步奖励优势（&gt;1e−6）；原日期=0</x:v>
      </x:c>
      <x:c r="E4165" s="19" t="str">
        <x:v>原日期</x:v>
      </x:c>
      <x:c r="F4165" s="19" t="str">
        <x:v>0</x:v>
      </x:c>
      <x:c r="G4165" s="19" t="str">
        <x:v>其他/配置</x:v>
      </x:c>
      <x:c r="H4165" s="19" t="str">
        <x:v>D:/Codex/GRL研究/outputs/grid85_mechanism/GRID85_report.md</x:v>
      </x:c>
    </x:row>
    <x:row r="4166" ht="36" customHeight="1">
      <x:c r="A4166" s="19" t="str">
        <x:v>GRID85</x:v>
      </x:c>
      <x:c r="B4166" s="19" t="str">
        <x:v>GRID85_report.md</x:v>
      </x:c>
      <x:c r="C4166" s="19" t="str">
        <x:v>4. 4. 结构补查的收益：旧日期较清楚，新日期存在更大的反向例子</x:v>
      </x:c>
      <x:c r="D4166" s="19" t="str">
        <x:v>同状态、同追加预算=全局版有实质一步奖励优势（&gt;1e−6）；原日期=0</x:v>
      </x:c>
      <x:c r="E4166" s="19" t="str">
        <x:v>新日期</x:v>
      </x:c>
      <x:c r="F4166" s="19" t="str">
        <x:v>1</x:v>
      </x:c>
      <x:c r="G4166" s="19" t="str">
        <x:v>其他/配置</x:v>
      </x:c>
      <x:c r="H4166" s="19" t="str">
        <x:v>D:/Codex/GRL研究/outputs/grid85_mechanism/GRID85_report.md</x:v>
      </x:c>
    </x:row>
    <x:row r="4167" ht="36" customHeight="1">
      <x:c r="A4167" s="19" t="str">
        <x:v>GRID85</x:v>
      </x:c>
      <x:c r="B4167" s="19" t="str">
        <x:v>GRID85_report.md</x:v>
      </x:c>
      <x:c r="C4167" s="19" t="str">
        <x:v>5. 6. 实际提速来自哪里</x:v>
      </x:c>
      <x:c r="D4167" s="19" t="str">
        <x:v>不重叠组成=优化模块；FULL秒/日期=32.544</x:v>
      </x:c>
      <x:c r="E4167" s="19" t="str">
        <x:v>FULL秒/日期</x:v>
      </x:c>
      <x:c r="F4167" s="19" t="str">
        <x:v>32.544</x:v>
      </x:c>
      <x:c r="G4167" s="19" t="str">
        <x:v>速度/计算</x:v>
      </x:c>
      <x:c r="H4167" s="19" t="str">
        <x:v>D:/Codex/GRL研究/outputs/grid85_mechanism/GRID85_report.md</x:v>
      </x:c>
    </x:row>
    <x:row r="4168" ht="36" customHeight="1">
      <x:c r="A4168" s="19" t="str">
        <x:v>GRID85</x:v>
      </x:c>
      <x:c r="B4168" s="19" t="str">
        <x:v>GRID85_report.md</x:v>
      </x:c>
      <x:c r="C4168" s="19" t="str">
        <x:v>5. 6. 实际提速来自哪里</x:v>
      </x:c>
      <x:c r="D4168" s="19" t="str">
        <x:v>不重叠组成=优化模块；FULL秒/日期=32.544</x:v>
      </x:c>
      <x:c r="E4168" s="19" t="str">
        <x:v>FRAME_GUARD秒/日期</x:v>
      </x:c>
      <x:c r="F4168" s="19" t="str">
        <x:v>31.226</x:v>
      </x:c>
      <x:c r="G4168" s="19" t="str">
        <x:v>速度/计算</x:v>
      </x:c>
      <x:c r="H4168" s="19" t="str">
        <x:v>D:/Codex/GRL研究/outputs/grid85_mechanism/GRID85_report.md</x:v>
      </x:c>
    </x:row>
    <x:row r="4169" ht="36" customHeight="1">
      <x:c r="A4169" s="19" t="str">
        <x:v>GRID85</x:v>
      </x:c>
      <x:c r="B4169" s="19" t="str">
        <x:v>GRID85_report.md</x:v>
      </x:c>
      <x:c r="C4169" s="19" t="str">
        <x:v>5. 6. 实际提速来自哪里</x:v>
      </x:c>
      <x:c r="D4169" s="19" t="str">
        <x:v>不重叠组成=全部预测调用；FULL秒/日期=20.068</x:v>
      </x:c>
      <x:c r="E4169" s="19" t="str">
        <x:v>FULL秒/日期</x:v>
      </x:c>
      <x:c r="F4169" s="19" t="str">
        <x:v>20.068</x:v>
      </x:c>
      <x:c r="G4169" s="19" t="str">
        <x:v>速度/计算</x:v>
      </x:c>
      <x:c r="H4169" s="19" t="str">
        <x:v>D:/Codex/GRL研究/outputs/grid85_mechanism/GRID85_report.md</x:v>
      </x:c>
    </x:row>
    <x:row r="4170" ht="36" customHeight="1">
      <x:c r="A4170" s="19" t="str">
        <x:v>GRID85</x:v>
      </x:c>
      <x:c r="B4170" s="19" t="str">
        <x:v>GRID85_report.md</x:v>
      </x:c>
      <x:c r="C4170" s="19" t="str">
        <x:v>5. 6. 实际提速来自哪里</x:v>
      </x:c>
      <x:c r="D4170" s="19" t="str">
        <x:v>不重叠组成=全部预测调用；FULL秒/日期=20.068</x:v>
      </x:c>
      <x:c r="E4170" s="19" t="str">
        <x:v>FRAME_GUARD秒/日期</x:v>
      </x:c>
      <x:c r="F4170" s="19" t="str">
        <x:v>12.453</x:v>
      </x:c>
      <x:c r="G4170" s="19" t="str">
        <x:v>速度/计算</x:v>
      </x:c>
      <x:c r="H4170" s="19" t="str">
        <x:v>D:/Codex/GRL研究/outputs/grid85_mechanism/GRID85_report.md</x:v>
      </x:c>
    </x:row>
    <x:row r="4171" ht="36" customHeight="1">
      <x:c r="A4171" s="19" t="str">
        <x:v>GRID85</x:v>
      </x:c>
      <x:c r="B4171" s="19" t="str">
        <x:v>GRID85_report.md</x:v>
      </x:c>
      <x:c r="C4171" s="19" t="str">
        <x:v>5. 6. 实际提速来自哪里</x:v>
      </x:c>
      <x:c r="D4171" s="19" t="str">
        <x:v>不重叠组成=搜索非预测部分；FULL秒/日期=0.642</x:v>
      </x:c>
      <x:c r="E4171" s="19" t="str">
        <x:v>FULL秒/日期</x:v>
      </x:c>
      <x:c r="F4171" s="19" t="str">
        <x:v>0.642</x:v>
      </x:c>
      <x:c r="G4171" s="19" t="str">
        <x:v>速度/计算</x:v>
      </x:c>
      <x:c r="H4171" s="19" t="str">
        <x:v>D:/Codex/GRL研究/outputs/grid85_mechanism/GRID85_report.md</x:v>
      </x:c>
    </x:row>
    <x:row r="4172" ht="36" customHeight="1">
      <x:c r="A4172" s="19" t="str">
        <x:v>GRID85</x:v>
      </x:c>
      <x:c r="B4172" s="19" t="str">
        <x:v>GRID85_report.md</x:v>
      </x:c>
      <x:c r="C4172" s="19" t="str">
        <x:v>5. 6. 实际提速来自哪里</x:v>
      </x:c>
      <x:c r="D4172" s="19" t="str">
        <x:v>不重叠组成=搜索非预测部分；FULL秒/日期=0.642</x:v>
      </x:c>
      <x:c r="E4172" s="19" t="str">
        <x:v>FRAME_GUARD秒/日期</x:v>
      </x:c>
      <x:c r="F4172" s="19" t="str">
        <x:v>0.556</x:v>
      </x:c>
      <x:c r="G4172" s="19" t="str">
        <x:v>速度/计算</x:v>
      </x:c>
      <x:c r="H4172" s="19" t="str">
        <x:v>D:/Codex/GRL研究/outputs/grid85_mechanism/GRID85_report.md</x:v>
      </x:c>
    </x:row>
    <x:row r="4173" ht="36" customHeight="1">
      <x:c r="A4173" s="19" t="str">
        <x:v>GRID85</x:v>
      </x:c>
      <x:c r="B4173" s="19" t="str">
        <x:v>GRID85_report.md</x:v>
      </x:c>
      <x:c r="C4173" s="19" t="str">
        <x:v>5. 6. 实际提速来自哪里</x:v>
      </x:c>
      <x:c r="D4173" s="19" t="str">
        <x:v>不重叠组成=其余控制；FULL秒/日期=4.098</x:v>
      </x:c>
      <x:c r="E4173" s="19" t="str">
        <x:v>FULL秒/日期</x:v>
      </x:c>
      <x:c r="F4173" s="19" t="str">
        <x:v>4.098</x:v>
      </x:c>
      <x:c r="G4173" s="19" t="str">
        <x:v>速度/计算</x:v>
      </x:c>
      <x:c r="H4173" s="19" t="str">
        <x:v>D:/Codex/GRL研究/outputs/grid85_mechanism/GRID85_report.md</x:v>
      </x:c>
    </x:row>
    <x:row r="4174" ht="36" customHeight="1">
      <x:c r="A4174" s="19" t="str">
        <x:v>GRID85</x:v>
      </x:c>
      <x:c r="B4174" s="19" t="str">
        <x:v>GRID85_report.md</x:v>
      </x:c>
      <x:c r="C4174" s="19" t="str">
        <x:v>5. 6. 实际提速来自哪里</x:v>
      </x:c>
      <x:c r="D4174" s="19" t="str">
        <x:v>不重叠组成=其余控制；FULL秒/日期=4.098</x:v>
      </x:c>
      <x:c r="E4174" s="19" t="str">
        <x:v>FRAME_GUARD秒/日期</x:v>
      </x:c>
      <x:c r="F4174" s="19" t="str">
        <x:v>3.756</x:v>
      </x:c>
      <x:c r="G4174" s="19" t="str">
        <x:v>速度/计算</x:v>
      </x:c>
      <x:c r="H4174" s="19" t="str">
        <x:v>D:/Codex/GRL研究/outputs/grid85_mechanism/GRID85_report.md</x:v>
      </x:c>
    </x:row>
    <x:row r="4175" ht="36" customHeight="1">
      <x:c r="A4175" s="19" t="str">
        <x:v>GRID85</x:v>
      </x:c>
      <x:c r="B4175" s="19" t="str">
        <x:v>GRID85_report.md</x:v>
      </x:c>
      <x:c r="C4175" s="19" t="str">
        <x:v>5. 6. 实际提速来自哪里</x:v>
      </x:c>
      <x:c r="D4175" s="19" t="str">
        <x:v>不重叠组成=完整控制；FULL秒/日期=57.353</x:v>
      </x:c>
      <x:c r="E4175" s="19" t="str">
        <x:v>FULL秒/日期</x:v>
      </x:c>
      <x:c r="F4175" s="19" t="str">
        <x:v>57.353</x:v>
      </x:c>
      <x:c r="G4175" s="19" t="str">
        <x:v>速度/计算</x:v>
      </x:c>
      <x:c r="H4175" s="19" t="str">
        <x:v>D:/Codex/GRL研究/outputs/grid85_mechanism/GRID85_report.md</x:v>
      </x:c>
    </x:row>
    <x:row r="4176" ht="36" customHeight="1">
      <x:c r="A4176" s="19" t="str">
        <x:v>GRID85</x:v>
      </x:c>
      <x:c r="B4176" s="19" t="str">
        <x:v>GRID85_report.md</x:v>
      </x:c>
      <x:c r="C4176" s="19" t="str">
        <x:v>5. 6. 实际提速来自哪里</x:v>
      </x:c>
      <x:c r="D4176" s="19" t="str">
        <x:v>不重叠组成=完整控制；FULL秒/日期=57.353</x:v>
      </x:c>
      <x:c r="E4176" s="19" t="str">
        <x:v>FRAME_GUARD秒/日期</x:v>
      </x:c>
      <x:c r="F4176" s="19" t="str">
        <x:v>47.990</x:v>
      </x:c>
      <x:c r="G4176" s="19" t="str">
        <x:v>速度/计算</x:v>
      </x:c>
      <x:c r="H4176" s="19" t="str">
        <x:v>D:/Codex/GRL研究/outputs/grid85_mechanism/GRID85_report.md</x:v>
      </x:c>
    </x:row>
    <x:row r="4177" ht="36" customHeight="1">
      <x:c r="A4177" s="19" t="str">
        <x:v>GRID86</x:v>
      </x:c>
      <x:c r="B4177" s="19" t="str">
        <x:v>GRID86_report.md</x:v>
      </x:c>
      <x:c r="C4177" s="19" t="str">
        <x:v>1. GRID86：反馈核查与固定查询预算的闭环比较</x:v>
      </x:c>
      <x:c r="D4177" s="19" t="str">
        <x:v>方法=FRAME_GUARD；质量通过=6/6</x:v>
      </x:c>
      <x:c r="E4177" s="19" t="str">
        <x:v>质量通过</x:v>
      </x:c>
      <x:c r="F4177" s="19" t="str">
        <x:v>6/6</x:v>
      </x:c>
      <x:c r="G4177" s="19" t="str">
        <x:v>质量/成本</x:v>
      </x:c>
      <x:c r="H4177" s="19" t="str">
        <x:v>D:/Codex/GRL研究/outputs/grid86/GRID86_report.md</x:v>
      </x:c>
    </x:row>
    <x:row r="4178" ht="36" customHeight="1">
      <x:c r="A4178" s="19" t="str">
        <x:v>GRID86</x:v>
      </x:c>
      <x:c r="B4178" s="19" t="str">
        <x:v>GRID86_report.md</x:v>
      </x:c>
      <x:c r="C4178" s="19" t="str">
        <x:v>1. GRID86：反馈核查与固定查询预算的闭环比较</x:v>
      </x:c>
      <x:c r="D4178" s="19" t="str">
        <x:v>方法=FRAME_GUARD；质量通过=6/6</x:v>
      </x:c>
      <x:c r="E4178" s="19" t="str">
        <x:v>完成整周</x:v>
      </x:c>
      <x:c r="F4178" s="19" t="str">
        <x:v>4/6</x:v>
      </x:c>
      <x:c r="G4178" s="19" t="str">
        <x:v>质量/成本</x:v>
      </x:c>
      <x:c r="H4178" s="19" t="str">
        <x:v>D:/Codex/GRL研究/outputs/grid86/GRID86_report.md</x:v>
      </x:c>
    </x:row>
    <x:row r="4179" ht="36" customHeight="1">
      <x:c r="A4179" s="19" t="str">
        <x:v>GRID86</x:v>
      </x:c>
      <x:c r="B4179" s="19" t="str">
        <x:v>GRID86_report.md</x:v>
      </x:c>
      <x:c r="C4179" s="19" t="str">
        <x:v>1. GRID86：反馈核查与固定查询预算的闭环比较</x:v>
      </x:c>
      <x:c r="D4179" s="19" t="str">
        <x:v>方法=FRAME_GUARD；质量通过=6/6</x:v>
      </x:c>
      <x:c r="E4179" s="19" t="str">
        <x:v>搜索查询合计¹</x:v>
      </x:c>
      <x:c r="F4179" s="19" t="str">
        <x:v>11526</x:v>
      </x:c>
      <x:c r="G4179" s="19" t="str">
        <x:v>速度/计算</x:v>
      </x:c>
      <x:c r="H4179" s="19" t="str">
        <x:v>D:/Codex/GRL研究/outputs/grid86/GRID86_report.md</x:v>
      </x:c>
    </x:row>
    <x:row r="4180" ht="36" customHeight="1">
      <x:c r="A4180" s="19" t="str">
        <x:v>GRID86</x:v>
      </x:c>
      <x:c r="B4180" s="19" t="str">
        <x:v>GRID86_report.md</x:v>
      </x:c>
      <x:c r="C4180" s="19" t="str">
        <x:v>1. GRID86：反馈核查与固定查询预算的闭环比较</x:v>
      </x:c>
      <x:c r="D4180" s="19" t="str">
        <x:v>方法=FRAME_GUARD；质量通过=6/6</x:v>
      </x:c>
      <x:c r="E4180" s="19" t="str">
        <x:v>完整控制秒/日期²</x:v>
      </x:c>
      <x:c r="F4180" s="19" t="str">
        <x:v>47.181</x:v>
      </x:c>
      <x:c r="G4180" s="19" t="str">
        <x:v>速度/计算</x:v>
      </x:c>
      <x:c r="H4180" s="19" t="str">
        <x:v>D:/Codex/GRL研究/outputs/grid86/GRID86_report.md</x:v>
      </x:c>
    </x:row>
    <x:row r="4181" ht="36" customHeight="1">
      <x:c r="A4181" s="19" t="str">
        <x:v>GRID86</x:v>
      </x:c>
      <x:c r="B4181" s="19" t="str">
        <x:v>GRID86_report.md</x:v>
      </x:c>
      <x:c r="C4181" s="19" t="str">
        <x:v>1. GRID86：反馈核查与固定查询预算的闭环比较</x:v>
      </x:c>
      <x:c r="D4181" s="19" t="str">
        <x:v>方法=FRAME_GUARD；质量通过=6/6</x:v>
      </x:c>
      <x:c r="E4181" s="19" t="str">
        <x:v>最大可比完整周成本增幅</x:v>
      </x:c>
      <x:c r="F4181" s="19" t="str">
        <x:v>+0.0866%</x:v>
      </x:c>
      <x:c r="G4181" s="19" t="str">
        <x:v>质量/成本</x:v>
      </x:c>
      <x:c r="H4181" s="19" t="str">
        <x:v>D:/Codex/GRL研究/outputs/grid86/GRID86_report.md</x:v>
      </x:c>
    </x:row>
    <x:row r="4182" ht="36" customHeight="1">
      <x:c r="A4182" s="19" t="str">
        <x:v>GRID86</x:v>
      </x:c>
      <x:c r="B4182" s="19" t="str">
        <x:v>GRID86_report.md</x:v>
      </x:c>
      <x:c r="C4182" s="19" t="str">
        <x:v>1. GRID86：反馈核查与固定查询预算的闭环比较</x:v>
      </x:c>
      <x:c r="D4182" s="19" t="str">
        <x:v>方法=FIXED_256；质量通过=6/6</x:v>
      </x:c>
      <x:c r="E4182" s="19" t="str">
        <x:v>质量通过</x:v>
      </x:c>
      <x:c r="F4182" s="19" t="str">
        <x:v>6/6</x:v>
      </x:c>
      <x:c r="G4182" s="19" t="str">
        <x:v>质量/成本</x:v>
      </x:c>
      <x:c r="H4182" s="19" t="str">
        <x:v>D:/Codex/GRL研究/outputs/grid86/GRID86_report.md</x:v>
      </x:c>
    </x:row>
    <x:row r="4183" ht="36" customHeight="1">
      <x:c r="A4183" s="19" t="str">
        <x:v>GRID86</x:v>
      </x:c>
      <x:c r="B4183" s="19" t="str">
        <x:v>GRID86_report.md</x:v>
      </x:c>
      <x:c r="C4183" s="19" t="str">
        <x:v>1. GRID86：反馈核查与固定查询预算的闭环比较</x:v>
      </x:c>
      <x:c r="D4183" s="19" t="str">
        <x:v>方法=FIXED_256；质量通过=6/6</x:v>
      </x:c>
      <x:c r="E4183" s="19" t="str">
        <x:v>完成整周</x:v>
      </x:c>
      <x:c r="F4183" s="19" t="str">
        <x:v>4/6</x:v>
      </x:c>
      <x:c r="G4183" s="19" t="str">
        <x:v>质量/成本</x:v>
      </x:c>
      <x:c r="H4183" s="19" t="str">
        <x:v>D:/Codex/GRL研究/outputs/grid86/GRID86_report.md</x:v>
      </x:c>
    </x:row>
    <x:row r="4184" ht="36" customHeight="1">
      <x:c r="A4184" s="19" t="str">
        <x:v>GRID86</x:v>
      </x:c>
      <x:c r="B4184" s="19" t="str">
        <x:v>GRID86_report.md</x:v>
      </x:c>
      <x:c r="C4184" s="19" t="str">
        <x:v>1. GRID86：反馈核查与固定查询预算的闭环比较</x:v>
      </x:c>
      <x:c r="D4184" s="19" t="str">
        <x:v>方法=FIXED_256；质量通过=6/6</x:v>
      </x:c>
      <x:c r="E4184" s="19" t="str">
        <x:v>搜索查询合计¹</x:v>
      </x:c>
      <x:c r="F4184" s="19" t="str">
        <x:v>7680</x:v>
      </x:c>
      <x:c r="G4184" s="19" t="str">
        <x:v>速度/计算</x:v>
      </x:c>
      <x:c r="H4184" s="19" t="str">
        <x:v>D:/Codex/GRL研究/outputs/grid86/GRID86_report.md</x:v>
      </x:c>
    </x:row>
    <x:row r="4185" ht="36" customHeight="1">
      <x:c r="A4185" s="19" t="str">
        <x:v>GRID86</x:v>
      </x:c>
      <x:c r="B4185" s="19" t="str">
        <x:v>GRID86_report.md</x:v>
      </x:c>
      <x:c r="C4185" s="19" t="str">
        <x:v>1. GRID86：反馈核查与固定查询预算的闭环比较</x:v>
      </x:c>
      <x:c r="D4185" s="19" t="str">
        <x:v>方法=FIXED_256；质量通过=6/6</x:v>
      </x:c>
      <x:c r="E4185" s="19" t="str">
        <x:v>完整控制秒/日期²</x:v>
      </x:c>
      <x:c r="F4185" s="19" t="str">
        <x:v>45.825</x:v>
      </x:c>
      <x:c r="G4185" s="19" t="str">
        <x:v>速度/计算</x:v>
      </x:c>
      <x:c r="H4185" s="19" t="str">
        <x:v>D:/Codex/GRL研究/outputs/grid86/GRID86_report.md</x:v>
      </x:c>
    </x:row>
    <x:row r="4186" ht="36" customHeight="1">
      <x:c r="A4186" s="19" t="str">
        <x:v>GRID86</x:v>
      </x:c>
      <x:c r="B4186" s="19" t="str">
        <x:v>GRID86_report.md</x:v>
      </x:c>
      <x:c r="C4186" s="19" t="str">
        <x:v>1. GRID86：反馈核查与固定查询预算的闭环比较</x:v>
      </x:c>
      <x:c r="D4186" s="19" t="str">
        <x:v>方法=FIXED_256；质量通过=6/6</x:v>
      </x:c>
      <x:c r="E4186" s="19" t="str">
        <x:v>最大可比完整周成本增幅</x:v>
      </x:c>
      <x:c r="F4186" s="19" t="str">
        <x:v>+0.0866%</x:v>
      </x:c>
      <x:c r="G4186" s="19" t="str">
        <x:v>质量/成本</x:v>
      </x:c>
      <x:c r="H4186" s="19" t="str">
        <x:v>D:/Codex/GRL研究/outputs/grid86/GRID86_report.md</x:v>
      </x:c>
    </x:row>
    <x:row r="4187" ht="36" customHeight="1">
      <x:c r="A4187" s="19" t="str">
        <x:v>GRID86</x:v>
      </x:c>
      <x:c r="B4187" s="19" t="str">
        <x:v>GRID86_report.md</x:v>
      </x:c>
      <x:c r="C4187" s="19" t="str">
        <x:v>1. GRID86：反馈核查与固定查询预算的闭环比较</x:v>
      </x:c>
      <x:c r="D4187" s="19" t="str">
        <x:v>方法=FIXED_512；质量通过=6/6</x:v>
      </x:c>
      <x:c r="E4187" s="19" t="str">
        <x:v>质量通过</x:v>
      </x:c>
      <x:c r="F4187" s="19" t="str">
        <x:v>6/6</x:v>
      </x:c>
      <x:c r="G4187" s="19" t="str">
        <x:v>质量/成本</x:v>
      </x:c>
      <x:c r="H4187" s="19" t="str">
        <x:v>D:/Codex/GRL研究/outputs/grid86/GRID86_report.md</x:v>
      </x:c>
    </x:row>
    <x:row r="4188" ht="36" customHeight="1">
      <x:c r="A4188" s="19" t="str">
        <x:v>GRID86</x:v>
      </x:c>
      <x:c r="B4188" s="19" t="str">
        <x:v>GRID86_report.md</x:v>
      </x:c>
      <x:c r="C4188" s="19" t="str">
        <x:v>1. GRID86：反馈核查与固定查询预算的闭环比较</x:v>
      </x:c>
      <x:c r="D4188" s="19" t="str">
        <x:v>方法=FIXED_512；质量通过=6/6</x:v>
      </x:c>
      <x:c r="E4188" s="19" t="str">
        <x:v>完成整周</x:v>
      </x:c>
      <x:c r="F4188" s="19" t="str">
        <x:v>4/6</x:v>
      </x:c>
      <x:c r="G4188" s="19" t="str">
        <x:v>质量/成本</x:v>
      </x:c>
      <x:c r="H4188" s="19" t="str">
        <x:v>D:/Codex/GRL研究/outputs/grid86/GRID86_report.md</x:v>
      </x:c>
    </x:row>
    <x:row r="4189" ht="36" customHeight="1">
      <x:c r="A4189" s="19" t="str">
        <x:v>GRID86</x:v>
      </x:c>
      <x:c r="B4189" s="19" t="str">
        <x:v>GRID86_report.md</x:v>
      </x:c>
      <x:c r="C4189" s="19" t="str">
        <x:v>1. GRID86：反馈核查与固定查询预算的闭环比较</x:v>
      </x:c>
      <x:c r="D4189" s="19" t="str">
        <x:v>方法=FIXED_512；质量通过=6/6</x:v>
      </x:c>
      <x:c r="E4189" s="19" t="str">
        <x:v>搜索查询合计¹</x:v>
      </x:c>
      <x:c r="F4189" s="19" t="str">
        <x:v>16896</x:v>
      </x:c>
      <x:c r="G4189" s="19" t="str">
        <x:v>速度/计算</x:v>
      </x:c>
      <x:c r="H4189" s="19" t="str">
        <x:v>D:/Codex/GRL研究/outputs/grid86/GRID86_report.md</x:v>
      </x:c>
    </x:row>
    <x:row r="4190" ht="36" customHeight="1">
      <x:c r="A4190" s="19" t="str">
        <x:v>GRID86</x:v>
      </x:c>
      <x:c r="B4190" s="19" t="str">
        <x:v>GRID86_report.md</x:v>
      </x:c>
      <x:c r="C4190" s="19" t="str">
        <x:v>1. GRID86：反馈核查与固定查询预算的闭环比较</x:v>
      </x:c>
      <x:c r="D4190" s="19" t="str">
        <x:v>方法=FIXED_512；质量通过=6/6</x:v>
      </x:c>
      <x:c r="E4190" s="19" t="str">
        <x:v>完整控制秒/日期²</x:v>
      </x:c>
      <x:c r="F4190" s="19" t="str">
        <x:v>50.610</x:v>
      </x:c>
      <x:c r="G4190" s="19" t="str">
        <x:v>速度/计算</x:v>
      </x:c>
      <x:c r="H4190" s="19" t="str">
        <x:v>D:/Codex/GRL研究/outputs/grid86/GRID86_report.md</x:v>
      </x:c>
    </x:row>
    <x:row r="4191" ht="36" customHeight="1">
      <x:c r="A4191" s="19" t="str">
        <x:v>GRID86</x:v>
      </x:c>
      <x:c r="B4191" s="19" t="str">
        <x:v>GRID86_report.md</x:v>
      </x:c>
      <x:c r="C4191" s="19" t="str">
        <x:v>1. GRID86：反馈核查与固定查询预算的闭环比较</x:v>
      </x:c>
      <x:c r="D4191" s="19" t="str">
        <x:v>方法=FIXED_512；质量通过=6/6</x:v>
      </x:c>
      <x:c r="E4191" s="19" t="str">
        <x:v>最大可比完整周成本增幅</x:v>
      </x:c>
      <x:c r="F4191" s="19" t="str">
        <x:v>+0.0000%</x:v>
      </x:c>
      <x:c r="G4191" s="19" t="str">
        <x:v>质量/成本</x:v>
      </x:c>
      <x:c r="H4191" s="19" t="str">
        <x:v>D:/Codex/GRL研究/outputs/grid86/GRID86_report.md</x:v>
      </x:c>
    </x:row>
    <x:row r="4192" ht="36" customHeight="1">
      <x:c r="A4192" s="19" t="str">
        <x:v>GRID86</x:v>
      </x:c>
      <x:c r="B4192" s="19" t="str">
        <x:v>GRID86_report.md</x:v>
      </x:c>
      <x:c r="C4192" s="19" t="str">
        <x:v>2. GRID86：反馈核查与固定查询预算的闭环比较</x:v>
      </x:c>
      <x:c r="D4192" s="19" t="str">
        <x:v>FRAME相对固定预算=FIXED_256；控制时间宏平均减少=-2.021%</x:v>
      </x:c>
      <x:c r="E4192" s="19" t="str">
        <x:v>控制时间宏平均减少</x:v>
      </x:c>
      <x:c r="F4192" s="19" t="str">
        <x:v>-2.021%</x:v>
      </x:c>
      <x:c r="G4192" s="19" t="str">
        <x:v>速度/计算</x:v>
      </x:c>
      <x:c r="H4192" s="19" t="str">
        <x:v>D:/Codex/GRL研究/outputs/grid86/GRID86_report.md</x:v>
      </x:c>
    </x:row>
    <x:row r="4193" ht="36" customHeight="1">
      <x:c r="A4193" s="19" t="str">
        <x:v>GRID86</x:v>
      </x:c>
      <x:c r="B4193" s="19" t="str">
        <x:v>GRID86_report.md</x:v>
      </x:c>
      <x:c r="C4193" s="19" t="str">
        <x:v>2. GRID86：反馈核查与固定查询预算的闭环比较</x:v>
      </x:c>
      <x:c r="D4193" s="19" t="str">
        <x:v>FRAME相对固定预算=FIXED_256；控制时间宏平均减少=-2.021%</x:v>
      </x:c>
      <x:c r="E4193" s="19" t="str">
        <x:v>匹配时域查询宏平均减少</x:v>
      </x:c>
      <x:c r="F4193" s="19" t="str">
        <x:v>-45.590%</x:v>
      </x:c>
      <x:c r="G4193" s="19" t="str">
        <x:v>速度/计算</x:v>
      </x:c>
      <x:c r="H4193" s="19" t="str">
        <x:v>D:/Codex/GRL研究/outputs/grid86/GRID86_report.md</x:v>
      </x:c>
    </x:row>
    <x:row r="4194" ht="36" customHeight="1">
      <x:c r="A4194" s="19" t="str">
        <x:v>GRID86</x:v>
      </x:c>
      <x:c r="B4194" s="19" t="str">
        <x:v>GRID86_report.md</x:v>
      </x:c>
      <x:c r="C4194" s="19" t="str">
        <x:v>2. GRID86：反馈核查与固定查询预算的闭环比较</x:v>
      </x:c>
      <x:c r="D4194" s="19" t="str">
        <x:v>FRAME相对固定预算=FIXED_256；控制时间宏平均减少=-2.021%</x:v>
      </x:c>
      <x:c r="E4194" s="19" t="str">
        <x:v>正向日期</x:v>
      </x:c>
      <x:c r="F4194" s="19" t="str">
        <x:v>3/6</x:v>
      </x:c>
      <x:c r="G4194" s="19" t="str">
        <x:v>其他/配置</x:v>
      </x:c>
      <x:c r="H4194" s="19" t="str">
        <x:v>D:/Codex/GRL研究/outputs/grid86/GRID86_report.md</x:v>
      </x:c>
    </x:row>
    <x:row r="4195" ht="36" customHeight="1">
      <x:c r="A4195" s="19" t="str">
        <x:v>GRID86</x:v>
      </x:c>
      <x:c r="B4195" s="19" t="str">
        <x:v>GRID86_report.md</x:v>
      </x:c>
      <x:c r="C4195" s="19" t="str">
        <x:v>2. GRID86：反馈核查与固定查询预算的闭环比较</x:v>
      </x:c>
      <x:c r="D4195" s="19" t="str">
        <x:v>FRAME相对固定预算=FIXED_256；控制时间宏平均减少=-2.021%</x:v>
      </x:c>
      <x:c r="E4195" s="19" t="str">
        <x:v>两次时间重复</x:v>
      </x:c>
      <x:c r="F4195" s="19" t="str">
        <x:v>-1.608% / -2.443%</x:v>
      </x:c>
      <x:c r="G4195" s="19" t="str">
        <x:v>速度/计算</x:v>
      </x:c>
      <x:c r="H4195" s="19" t="str">
        <x:v>D:/Codex/GRL研究/outputs/grid86/GRID86_report.md</x:v>
      </x:c>
    </x:row>
    <x:row r="4196" ht="36" customHeight="1">
      <x:c r="A4196" s="19" t="str">
        <x:v>GRID86</x:v>
      </x:c>
      <x:c r="B4196" s="19" t="str">
        <x:v>GRID86_report.md</x:v>
      </x:c>
      <x:c r="C4196" s="19" t="str">
        <x:v>2. GRID86：反馈核查与固定查询预算的闭环比较</x:v>
      </x:c>
      <x:c r="D4196" s="19" t="str">
        <x:v>FRAME相对固定预算=FIXED_256；控制时间宏平均减少=-2.021%</x:v>
      </x:c>
      <x:c r="E4196" s="19" t="str">
        <x:v>同时域日期</x:v>
      </x:c>
      <x:c r="F4196" s="19" t="str">
        <x:v>6/6</x:v>
      </x:c>
      <x:c r="G4196" s="19" t="str">
        <x:v>其他/配置</x:v>
      </x:c>
      <x:c r="H4196" s="19" t="str">
        <x:v>D:/Codex/GRL研究/outputs/grid86/GRID86_report.md</x:v>
      </x:c>
    </x:row>
    <x:row r="4197" ht="36" customHeight="1">
      <x:c r="A4197" s="19" t="str">
        <x:v>GRID86</x:v>
      </x:c>
      <x:c r="B4197" s="19" t="str">
        <x:v>GRID86_report.md</x:v>
      </x:c>
      <x:c r="C4197" s="19" t="str">
        <x:v>2. GRID86：反馈核查与固定查询预算的闭环比较</x:v>
      </x:c>
      <x:c r="D4197" s="19" t="str">
        <x:v>FRAME相对固定预算=FIXED_256；控制时间宏平均减少=-2.021%</x:v>
      </x:c>
      <x:c r="E4197" s="19" t="str">
        <x:v>判读</x:v>
      </x:c>
      <x:c r="F4197" s="19" t="str">
        <x:v>FIXED_BASELINE_COMPETITIVE</x:v>
      </x:c>
      <x:c r="G4197" s="19" t="str">
        <x:v>其他/配置</x:v>
      </x:c>
      <x:c r="H4197" s="19" t="str">
        <x:v>D:/Codex/GRL研究/outputs/grid86/GRID86_report.md</x:v>
      </x:c>
    </x:row>
    <x:row r="4198" ht="36" customHeight="1">
      <x:c r="A4198" s="19" t="str">
        <x:v>GRID86</x:v>
      </x:c>
      <x:c r="B4198" s="19" t="str">
        <x:v>GRID86_report.md</x:v>
      </x:c>
      <x:c r="C4198" s="19" t="str">
        <x:v>2. GRID86：反馈核查与固定查询预算的闭环比较</x:v>
      </x:c>
      <x:c r="D4198" s="19" t="str">
        <x:v>FRAME相对固定预算=FIXED_512；控制时间宏平均减少=+7.099%</x:v>
      </x:c>
      <x:c r="E4198" s="19" t="str">
        <x:v>控制时间宏平均减少</x:v>
      </x:c>
      <x:c r="F4198" s="19" t="str">
        <x:v>+7.099%</x:v>
      </x:c>
      <x:c r="G4198" s="19" t="str">
        <x:v>速度/计算</x:v>
      </x:c>
      <x:c r="H4198" s="19" t="str">
        <x:v>D:/Codex/GRL研究/outputs/grid86/GRID86_report.md</x:v>
      </x:c>
    </x:row>
    <x:row r="4199" ht="36" customHeight="1">
      <x:c r="A4199" s="19" t="str">
        <x:v>GRID86</x:v>
      </x:c>
      <x:c r="B4199" s="19" t="str">
        <x:v>GRID86_report.md</x:v>
      </x:c>
      <x:c r="C4199" s="19" t="str">
        <x:v>2. GRID86：反馈核查与固定查询预算的闭环比较</x:v>
      </x:c>
      <x:c r="D4199" s="19" t="str">
        <x:v>FRAME相对固定预算=FIXED_512；控制时间宏平均减少=+7.099%</x:v>
      </x:c>
      <x:c r="E4199" s="19" t="str">
        <x:v>匹配时域查询宏平均减少</x:v>
      </x:c>
      <x:c r="F4199" s="19" t="str">
        <x:v>+40.893%</x:v>
      </x:c>
      <x:c r="G4199" s="19" t="str">
        <x:v>速度/计算</x:v>
      </x:c>
      <x:c r="H4199" s="19" t="str">
        <x:v>D:/Codex/GRL研究/outputs/grid86/GRID86_report.md</x:v>
      </x:c>
    </x:row>
    <x:row r="4200" ht="36" customHeight="1">
      <x:c r="A4200" s="19" t="str">
        <x:v>GRID86</x:v>
      </x:c>
      <x:c r="B4200" s="19" t="str">
        <x:v>GRID86_report.md</x:v>
      </x:c>
      <x:c r="C4200" s="19" t="str">
        <x:v>2. GRID86：反馈核查与固定查询预算的闭环比较</x:v>
      </x:c>
      <x:c r="D4200" s="19" t="str">
        <x:v>FRAME相对固定预算=FIXED_512；控制时间宏平均减少=+7.099%</x:v>
      </x:c>
      <x:c r="E4200" s="19" t="str">
        <x:v>正向日期</x:v>
      </x:c>
      <x:c r="F4200" s="19" t="str">
        <x:v>4/6</x:v>
      </x:c>
      <x:c r="G4200" s="19" t="str">
        <x:v>其他/配置</x:v>
      </x:c>
      <x:c r="H4200" s="19" t="str">
        <x:v>D:/Codex/GRL研究/outputs/grid86/GRID86_report.md</x:v>
      </x:c>
    </x:row>
    <x:row r="4201" ht="36" customHeight="1">
      <x:c r="A4201" s="19" t="str">
        <x:v>GRID86</x:v>
      </x:c>
      <x:c r="B4201" s="19" t="str">
        <x:v>GRID86_report.md</x:v>
      </x:c>
      <x:c r="C4201" s="19" t="str">
        <x:v>2. GRID86：反馈核查与固定查询预算的闭环比较</x:v>
      </x:c>
      <x:c r="D4201" s="19" t="str">
        <x:v>FRAME相对固定预算=FIXED_512；控制时间宏平均减少=+7.099%</x:v>
      </x:c>
      <x:c r="E4201" s="19" t="str">
        <x:v>两次时间重复</x:v>
      </x:c>
      <x:c r="F4201" s="19" t="str">
        <x:v>+6.957% / +7.237%</x:v>
      </x:c>
      <x:c r="G4201" s="19" t="str">
        <x:v>速度/计算</x:v>
      </x:c>
      <x:c r="H4201" s="19" t="str">
        <x:v>D:/Codex/GRL研究/outputs/grid86/GRID86_report.md</x:v>
      </x:c>
    </x:row>
    <x:row r="4202" ht="36" customHeight="1">
      <x:c r="A4202" s="19" t="str">
        <x:v>GRID86</x:v>
      </x:c>
      <x:c r="B4202" s="19" t="str">
        <x:v>GRID86_report.md</x:v>
      </x:c>
      <x:c r="C4202" s="19" t="str">
        <x:v>2. GRID86：反馈核查与固定查询预算的闭环比较</x:v>
      </x:c>
      <x:c r="D4202" s="19" t="str">
        <x:v>FRAME相对固定预算=FIXED_512；控制时间宏平均减少=+7.099%</x:v>
      </x:c>
      <x:c r="E4202" s="19" t="str">
        <x:v>同时域日期</x:v>
      </x:c>
      <x:c r="F4202" s="19" t="str">
        <x:v>6/6</x:v>
      </x:c>
      <x:c r="G4202" s="19" t="str">
        <x:v>其他/配置</x:v>
      </x:c>
      <x:c r="H4202" s="19" t="str">
        <x:v>D:/Codex/GRL研究/outputs/grid86/GRID86_report.md</x:v>
      </x:c>
    </x:row>
    <x:row r="4203" ht="36" customHeight="1">
      <x:c r="A4203" s="19" t="str">
        <x:v>GRID86</x:v>
      </x:c>
      <x:c r="B4203" s="19" t="str">
        <x:v>GRID86_report.md</x:v>
      </x:c>
      <x:c r="C4203" s="19" t="str">
        <x:v>2. GRID86：反馈核查与固定查询预算的闭环比较</x:v>
      </x:c>
      <x:c r="D4203" s="19" t="str">
        <x:v>FRAME相对固定预算=FIXED_512；控制时间宏平均减少=+7.099%</x:v>
      </x:c>
      <x:c r="E4203" s="19" t="str">
        <x:v>判读</x:v>
      </x:c>
      <x:c r="F4203" s="19" t="str">
        <x:v>FEEDBACK_COMPUTE_ADVANTAGE</x:v>
      </x:c>
      <x:c r="G4203" s="19" t="str">
        <x:v>其他/配置</x:v>
      </x:c>
      <x:c r="H4203" s="19" t="str">
        <x:v>D:/Codex/GRL研究/outputs/grid86/GRID86_report.md</x:v>
      </x:c>
    </x:row>
    <x:row r="4204" ht="36" customHeight="1">
      <x:c r="A4204" s="19" t="str">
        <x:v>GRID86</x:v>
      </x:c>
      <x:c r="B4204" s="19" t="str">
        <x:v>GRID86_report.md</x:v>
      </x:c>
      <x:c r="C4204" s="19" t="str">
        <x:v>3. 逐日期成本、查询、时间与延迟</x:v>
      </x:c>
      <x:c r="D4204" s="19" t="str">
        <x:v>日期=2036-01-07_9；方法=FRAME_GUARD</x:v>
      </x:c>
      <x:c r="E4204" s="19" t="str">
        <x:v>方法</x:v>
      </x:c>
      <x:c r="F4204" s="19" t="str">
        <x:v>FRAME_GUARD</x:v>
      </x:c>
      <x:c r="G4204" s="19" t="str">
        <x:v>其他/配置</x:v>
      </x:c>
      <x:c r="H4204" s="19" t="str">
        <x:v>D:/Codex/GRL研究/outputs/grid86/GRID86_report.md</x:v>
      </x:c>
    </x:row>
    <x:row r="4205" ht="36" customHeight="1">
      <x:c r="A4205" s="19" t="str">
        <x:v>GRID86</x:v>
      </x:c>
      <x:c r="B4205" s="19" t="str">
        <x:v>GRID86_report.md</x:v>
      </x:c>
      <x:c r="C4205" s="19" t="str">
        <x:v>3. 逐日期成本、查询、时间与延迟</x:v>
      </x:c>
      <x:c r="D4205" s="19" t="str">
        <x:v>日期=2036-01-07_9；方法=FRAME_GUARD</x:v>
      </x:c>
      <x:c r="E4205" s="19" t="str">
        <x:v>完成/步数</x:v>
      </x:c>
      <x:c r="F4205" s="19" t="str">
        <x:v>True/2017</x:v>
      </x:c>
      <x:c r="G4205" s="19" t="str">
        <x:v>质量/成本</x:v>
      </x:c>
      <x:c r="H4205" s="19" t="str">
        <x:v>D:/Codex/GRL研究/outputs/grid86/GRID86_report.md</x:v>
      </x:c>
    </x:row>
    <x:row r="4206" ht="36" customHeight="1">
      <x:c r="A4206" s="19" t="str">
        <x:v>GRID86</x:v>
      </x:c>
      <x:c r="B4206" s="19" t="str">
        <x:v>GRID86_report.md</x:v>
      </x:c>
      <x:c r="C4206" s="19" t="str">
        <x:v>3. 逐日期成本、查询、时间与延迟</x:v>
      </x:c>
      <x:c r="D4206" s="19" t="str">
        <x:v>日期=2036-01-07_9；方法=FRAME_GUARD</x:v>
      </x:c>
      <x:c r="E4206" s="19" t="str">
        <x:v>完整周成本相对FULL</x:v>
      </x:c>
      <x:c r="F4206" s="19" t="str">
        <x:v>+0.0866%</x:v>
      </x:c>
      <x:c r="G4206" s="19" t="str">
        <x:v>质量/成本</x:v>
      </x:c>
      <x:c r="H4206" s="19" t="str">
        <x:v>D:/Codex/GRL研究/outputs/grid86/GRID86_report.md</x:v>
      </x:c>
    </x:row>
    <x:row r="4207" ht="36" customHeight="1">
      <x:c r="A4207" s="19" t="str">
        <x:v>GRID86</x:v>
      </x:c>
      <x:c r="B4207" s="19" t="str">
        <x:v>GRID86_report.md</x:v>
      </x:c>
      <x:c r="C4207" s="19" t="str">
        <x:v>3. 逐日期成本、查询、时间与延迟</x:v>
      </x:c>
      <x:c r="D4207" s="19" t="str">
        <x:v>日期=2036-01-07_9；方法=FRAME_GUARD</x:v>
      </x:c>
      <x:c r="E4207" s="19" t="str">
        <x:v>质量通过</x:v>
      </x:c>
      <x:c r="F4207" s="19" t="str">
        <x:v>True</x:v>
      </x:c>
      <x:c r="G4207" s="19" t="str">
        <x:v>质量/成本</x:v>
      </x:c>
      <x:c r="H4207" s="19" t="str">
        <x:v>D:/Codex/GRL研究/outputs/grid86/GRID86_report.md</x:v>
      </x:c>
    </x:row>
    <x:row r="4208" ht="36" customHeight="1">
      <x:c r="A4208" s="19" t="str">
        <x:v>GRID86</x:v>
      </x:c>
      <x:c r="B4208" s="19" t="str">
        <x:v>GRID86_report.md</x:v>
      </x:c>
      <x:c r="C4208" s="19" t="str">
        <x:v>3. 逐日期成本、查询、时间与延迟</x:v>
      </x:c>
      <x:c r="D4208" s="19" t="str">
        <x:v>日期=2036-01-07_9；方法=FRAME_GUARD</x:v>
      </x:c>
      <x:c r="E4208" s="19" t="str">
        <x:v>查询</x:v>
      </x:c>
      <x:c r="F4208" s="19" t="str">
        <x:v>1432</x:v>
      </x:c>
      <x:c r="G4208" s="19" t="str">
        <x:v>速度/计算</x:v>
      </x:c>
      <x:c r="H4208" s="19" t="str">
        <x:v>D:/Codex/GRL研究/outputs/grid86/GRID86_report.md</x:v>
      </x:c>
    </x:row>
    <x:row r="4209" ht="36" customHeight="1">
      <x:c r="A4209" s="19" t="str">
        <x:v>GRID86</x:v>
      </x:c>
      <x:c r="B4209" s="19" t="str">
        <x:v>GRID86_report.md</x:v>
      </x:c>
      <x:c r="C4209" s="19" t="str">
        <x:v>3. 逐日期成本、查询、时间与延迟</x:v>
      </x:c>
      <x:c r="D4209" s="19" t="str">
        <x:v>日期=2036-01-07_9；方法=FRAME_GUARD</x:v>
      </x:c>
      <x:c r="E4209" s="19" t="str">
        <x:v>控制秒均值[最小,最大]</x:v>
      </x:c>
      <x:c r="F4209" s="19" t="str">
        <x:v>81.157[80.753,81.560]</x:v>
      </x:c>
      <x:c r="G4209" s="19" t="str">
        <x:v>速度/计算</x:v>
      </x:c>
      <x:c r="H4209" s="19" t="str">
        <x:v>D:/Codex/GRL研究/outputs/grid86/GRID86_report.md</x:v>
      </x:c>
    </x:row>
    <x:row r="4210" ht="36" customHeight="1">
      <x:c r="A4210" s="19" t="str">
        <x:v>GRID86</x:v>
      </x:c>
      <x:c r="B4210" s="19" t="str">
        <x:v>GRID86_report.md</x:v>
      </x:c>
      <x:c r="C4210" s="19" t="str">
        <x:v>3. 逐日期成本、查询、时间与延迟</x:v>
      </x:c>
      <x:c r="D4210" s="19" t="str">
        <x:v>日期=2036-01-07_9；方法=FRAME_GUARD</x:v>
      </x:c>
      <x:c r="E4210" s="19" t="str">
        <x:v>P95秒</x:v>
      </x:c>
      <x:c r="F4210" s="19" t="str">
        <x:v>0.0339</x:v>
      </x:c>
      <x:c r="G4210" s="19" t="str">
        <x:v>速度/计算</x:v>
      </x:c>
      <x:c r="H4210" s="19" t="str">
        <x:v>D:/Codex/GRL研究/outputs/grid86/GRID86_report.md</x:v>
      </x:c>
    </x:row>
    <x:row r="4211" ht="36" customHeight="1">
      <x:c r="A4211" s="19" t="str">
        <x:v>GRID86</x:v>
      </x:c>
      <x:c r="B4211" s="19" t="str">
        <x:v>GRID86_report.md</x:v>
      </x:c>
      <x:c r="C4211" s="19" t="str">
        <x:v>3. 逐日期成本、查询、时间与延迟</x:v>
      </x:c>
      <x:c r="D4211" s="19" t="str">
        <x:v>日期=2036-01-07_9；方法=FIXED_256</x:v>
      </x:c>
      <x:c r="E4211" s="19" t="str">
        <x:v>方法</x:v>
      </x:c>
      <x:c r="F4211" s="19" t="str">
        <x:v>FIXED_256</x:v>
      </x:c>
      <x:c r="G4211" s="19" t="str">
        <x:v>其他/配置</x:v>
      </x:c>
      <x:c r="H4211" s="19" t="str">
        <x:v>D:/Codex/GRL研究/outputs/grid86/GRID86_report.md</x:v>
      </x:c>
    </x:row>
    <x:row r="4212" ht="36" customHeight="1">
      <x:c r="A4212" s="19" t="str">
        <x:v>GRID86</x:v>
      </x:c>
      <x:c r="B4212" s="19" t="str">
        <x:v>GRID86_report.md</x:v>
      </x:c>
      <x:c r="C4212" s="19" t="str">
        <x:v>3. 逐日期成本、查询、时间与延迟</x:v>
      </x:c>
      <x:c r="D4212" s="19" t="str">
        <x:v>日期=2036-01-07_9；方法=FIXED_256</x:v>
      </x:c>
      <x:c r="E4212" s="19" t="str">
        <x:v>完成/步数</x:v>
      </x:c>
      <x:c r="F4212" s="19" t="str">
        <x:v>True/2017</x:v>
      </x:c>
      <x:c r="G4212" s="19" t="str">
        <x:v>质量/成本</x:v>
      </x:c>
      <x:c r="H4212" s="19" t="str">
        <x:v>D:/Codex/GRL研究/outputs/grid86/GRID86_report.md</x:v>
      </x:c>
    </x:row>
    <x:row r="4213" ht="36" customHeight="1">
      <x:c r="A4213" s="19" t="str">
        <x:v>GRID86</x:v>
      </x:c>
      <x:c r="B4213" s="19" t="str">
        <x:v>GRID86_report.md</x:v>
      </x:c>
      <x:c r="C4213" s="19" t="str">
        <x:v>3. 逐日期成本、查询、时间与延迟</x:v>
      </x:c>
      <x:c r="D4213" s="19" t="str">
        <x:v>日期=2036-01-07_9；方法=FIXED_256</x:v>
      </x:c>
      <x:c r="E4213" s="19" t="str">
        <x:v>完整周成本相对FULL</x:v>
      </x:c>
      <x:c r="F4213" s="19" t="str">
        <x:v>+0.0866%</x:v>
      </x:c>
      <x:c r="G4213" s="19" t="str">
        <x:v>质量/成本</x:v>
      </x:c>
      <x:c r="H4213" s="19" t="str">
        <x:v>D:/Codex/GRL研究/outputs/grid86/GRID86_report.md</x:v>
      </x:c>
    </x:row>
    <x:row r="4214" ht="36" customHeight="1">
      <x:c r="A4214" s="19" t="str">
        <x:v>GRID86</x:v>
      </x:c>
      <x:c r="B4214" s="19" t="str">
        <x:v>GRID86_report.md</x:v>
      </x:c>
      <x:c r="C4214" s="19" t="str">
        <x:v>3. 逐日期成本、查询、时间与延迟</x:v>
      </x:c>
      <x:c r="D4214" s="19" t="str">
        <x:v>日期=2036-01-07_9；方法=FIXED_256</x:v>
      </x:c>
      <x:c r="E4214" s="19" t="str">
        <x:v>质量通过</x:v>
      </x:c>
      <x:c r="F4214" s="19" t="str">
        <x:v>True</x:v>
      </x:c>
      <x:c r="G4214" s="19" t="str">
        <x:v>质量/成本</x:v>
      </x:c>
      <x:c r="H4214" s="19" t="str">
        <x:v>D:/Codex/GRL研究/outputs/grid86/GRID86_report.md</x:v>
      </x:c>
    </x:row>
    <x:row r="4215" ht="36" customHeight="1">
      <x:c r="A4215" s="19" t="str">
        <x:v>GRID86</x:v>
      </x:c>
      <x:c r="B4215" s="19" t="str">
        <x:v>GRID86_report.md</x:v>
      </x:c>
      <x:c r="C4215" s="19" t="str">
        <x:v>3. 逐日期成本、查询、时间与延迟</x:v>
      </x:c>
      <x:c r="D4215" s="19" t="str">
        <x:v>日期=2036-01-07_9；方法=FIXED_256</x:v>
      </x:c>
      <x:c r="E4215" s="19" t="str">
        <x:v>查询</x:v>
      </x:c>
      <x:c r="F4215" s="19" t="str">
        <x:v>1280</x:v>
      </x:c>
      <x:c r="G4215" s="19" t="str">
        <x:v>速度/计算</x:v>
      </x:c>
      <x:c r="H4215" s="19" t="str">
        <x:v>D:/Codex/GRL研究/outputs/grid86/GRID86_report.md</x:v>
      </x:c>
    </x:row>
    <x:row r="4216" ht="36" customHeight="1">
      <x:c r="A4216" s="19" t="str">
        <x:v>GRID86</x:v>
      </x:c>
      <x:c r="B4216" s="19" t="str">
        <x:v>GRID86_report.md</x:v>
      </x:c>
      <x:c r="C4216" s="19" t="str">
        <x:v>3. 逐日期成本、查询、时间与延迟</x:v>
      </x:c>
      <x:c r="D4216" s="19" t="str">
        <x:v>日期=2036-01-07_9；方法=FIXED_256</x:v>
      </x:c>
      <x:c r="E4216" s="19" t="str">
        <x:v>控制秒均值[最小,最大]</x:v>
      </x:c>
      <x:c r="F4216" s="19" t="str">
        <x:v>81.128[80.955,81.302]</x:v>
      </x:c>
      <x:c r="G4216" s="19" t="str">
        <x:v>速度/计算</x:v>
      </x:c>
      <x:c r="H4216" s="19" t="str">
        <x:v>D:/Codex/GRL研究/outputs/grid86/GRID86_report.md</x:v>
      </x:c>
    </x:row>
    <x:row r="4217" ht="36" customHeight="1">
      <x:c r="A4217" s="19" t="str">
        <x:v>GRID86</x:v>
      </x:c>
      <x:c r="B4217" s="19" t="str">
        <x:v>GRID86_report.md</x:v>
      </x:c>
      <x:c r="C4217" s="19" t="str">
        <x:v>3. 逐日期成本、查询、时间与延迟</x:v>
      </x:c>
      <x:c r="D4217" s="19" t="str">
        <x:v>日期=2036-01-07_9；方法=FIXED_256</x:v>
      </x:c>
      <x:c r="E4217" s="19" t="str">
        <x:v>P95秒</x:v>
      </x:c>
      <x:c r="F4217" s="19" t="str">
        <x:v>0.0339</x:v>
      </x:c>
      <x:c r="G4217" s="19" t="str">
        <x:v>速度/计算</x:v>
      </x:c>
      <x:c r="H4217" s="19" t="str">
        <x:v>D:/Codex/GRL研究/outputs/grid86/GRID86_report.md</x:v>
      </x:c>
    </x:row>
    <x:row r="4218" ht="36" customHeight="1">
      <x:c r="A4218" s="19" t="str">
        <x:v>GRID86</x:v>
      </x:c>
      <x:c r="B4218" s="19" t="str">
        <x:v>GRID86_report.md</x:v>
      </x:c>
      <x:c r="C4218" s="19" t="str">
        <x:v>3. 逐日期成本、查询、时间与延迟</x:v>
      </x:c>
      <x:c r="D4218" s="19" t="str">
        <x:v>日期=2036-01-07_9；方法=FIXED_512</x:v>
      </x:c>
      <x:c r="E4218" s="19" t="str">
        <x:v>方法</x:v>
      </x:c>
      <x:c r="F4218" s="19" t="str">
        <x:v>FIXED_512</x:v>
      </x:c>
      <x:c r="G4218" s="19" t="str">
        <x:v>其他/配置</x:v>
      </x:c>
      <x:c r="H4218" s="19" t="str">
        <x:v>D:/Codex/GRL研究/outputs/grid86/GRID86_report.md</x:v>
      </x:c>
    </x:row>
    <x:row r="4219" ht="36" customHeight="1">
      <x:c r="A4219" s="19" t="str">
        <x:v>GRID86</x:v>
      </x:c>
      <x:c r="B4219" s="19" t="str">
        <x:v>GRID86_report.md</x:v>
      </x:c>
      <x:c r="C4219" s="19" t="str">
        <x:v>3. 逐日期成本、查询、时间与延迟</x:v>
      </x:c>
      <x:c r="D4219" s="19" t="str">
        <x:v>日期=2036-01-07_9；方法=FIXED_512</x:v>
      </x:c>
      <x:c r="E4219" s="19" t="str">
        <x:v>完成/步数</x:v>
      </x:c>
      <x:c r="F4219" s="19" t="str">
        <x:v>True/2017</x:v>
      </x:c>
      <x:c r="G4219" s="19" t="str">
        <x:v>质量/成本</x:v>
      </x:c>
      <x:c r="H4219" s="19" t="str">
        <x:v>D:/Codex/GRL研究/outputs/grid86/GRID86_report.md</x:v>
      </x:c>
    </x:row>
    <x:row r="4220" ht="36" customHeight="1">
      <x:c r="A4220" s="19" t="str">
        <x:v>GRID86</x:v>
      </x:c>
      <x:c r="B4220" s="19" t="str">
        <x:v>GRID86_report.md</x:v>
      </x:c>
      <x:c r="C4220" s="19" t="str">
        <x:v>3. 逐日期成本、查询、时间与延迟</x:v>
      </x:c>
      <x:c r="D4220" s="19" t="str">
        <x:v>日期=2036-01-07_9；方法=FIXED_512</x:v>
      </x:c>
      <x:c r="E4220" s="19" t="str">
        <x:v>完整周成本相对FULL</x:v>
      </x:c>
      <x:c r="F4220" s="19" t="str">
        <x:v>-0.0062%</x:v>
      </x:c>
      <x:c r="G4220" s="19" t="str">
        <x:v>质量/成本</x:v>
      </x:c>
      <x:c r="H4220" s="19" t="str">
        <x:v>D:/Codex/GRL研究/outputs/grid86/GRID86_report.md</x:v>
      </x:c>
    </x:row>
    <x:row r="4221" ht="36" customHeight="1">
      <x:c r="A4221" s="19" t="str">
        <x:v>GRID86</x:v>
      </x:c>
      <x:c r="B4221" s="19" t="str">
        <x:v>GRID86_report.md</x:v>
      </x:c>
      <x:c r="C4221" s="19" t="str">
        <x:v>3. 逐日期成本、查询、时间与延迟</x:v>
      </x:c>
      <x:c r="D4221" s="19" t="str">
        <x:v>日期=2036-01-07_9；方法=FIXED_512</x:v>
      </x:c>
      <x:c r="E4221" s="19" t="str">
        <x:v>质量通过</x:v>
      </x:c>
      <x:c r="F4221" s="19" t="str">
        <x:v>True</x:v>
      </x:c>
      <x:c r="G4221" s="19" t="str">
        <x:v>质量/成本</x:v>
      </x:c>
      <x:c r="H4221" s="19" t="str">
        <x:v>D:/Codex/GRL研究/outputs/grid86/GRID86_report.md</x:v>
      </x:c>
    </x:row>
    <x:row r="4222" ht="36" customHeight="1">
      <x:c r="A4222" s="19" t="str">
        <x:v>GRID86</x:v>
      </x:c>
      <x:c r="B4222" s="19" t="str">
        <x:v>GRID86_report.md</x:v>
      </x:c>
      <x:c r="C4222" s="19" t="str">
        <x:v>3. 逐日期成本、查询、时间与延迟</x:v>
      </x:c>
      <x:c r="D4222" s="19" t="str">
        <x:v>日期=2036-01-07_9；方法=FIXED_512</x:v>
      </x:c>
      <x:c r="E4222" s="19" t="str">
        <x:v>查询</x:v>
      </x:c>
      <x:c r="F4222" s="19" t="str">
        <x:v>3072</x:v>
      </x:c>
      <x:c r="G4222" s="19" t="str">
        <x:v>速度/计算</x:v>
      </x:c>
      <x:c r="H4222" s="19" t="str">
        <x:v>D:/Codex/GRL研究/outputs/grid86/GRID86_report.md</x:v>
      </x:c>
    </x:row>
    <x:row r="4223" ht="36" customHeight="1">
      <x:c r="A4223" s="19" t="str">
        <x:v>GRID86</x:v>
      </x:c>
      <x:c r="B4223" s="19" t="str">
        <x:v>GRID86_report.md</x:v>
      </x:c>
      <x:c r="C4223" s="19" t="str">
        <x:v>3. 逐日期成本、查询、时间与延迟</x:v>
      </x:c>
      <x:c r="D4223" s="19" t="str">
        <x:v>日期=2036-01-07_9；方法=FIXED_512</x:v>
      </x:c>
      <x:c r="E4223" s="19" t="str">
        <x:v>控制秒均值[最小,最大]</x:v>
      </x:c>
      <x:c r="F4223" s="19" t="str">
        <x:v>83.033[82.985,83.081]</x:v>
      </x:c>
      <x:c r="G4223" s="19" t="str">
        <x:v>速度/计算</x:v>
      </x:c>
      <x:c r="H4223" s="19" t="str">
        <x:v>D:/Codex/GRL研究/outputs/grid86/GRID86_report.md</x:v>
      </x:c>
    </x:row>
    <x:row r="4224" ht="36" customHeight="1">
      <x:c r="A4224" s="19" t="str">
        <x:v>GRID86</x:v>
      </x:c>
      <x:c r="B4224" s="19" t="str">
        <x:v>GRID86_report.md</x:v>
      </x:c>
      <x:c r="C4224" s="19" t="str">
        <x:v>3. 逐日期成本、查询、时间与延迟</x:v>
      </x:c>
      <x:c r="D4224" s="19" t="str">
        <x:v>日期=2036-01-07_9；方法=FIXED_512</x:v>
      </x:c>
      <x:c r="E4224" s="19" t="str">
        <x:v>P95秒</x:v>
      </x:c>
      <x:c r="F4224" s="19" t="str">
        <x:v>0.0331</x:v>
      </x:c>
      <x:c r="G4224" s="19" t="str">
        <x:v>速度/计算</x:v>
      </x:c>
      <x:c r="H4224" s="19" t="str">
        <x:v>D:/Codex/GRL研究/outputs/grid86/GRID86_report.md</x:v>
      </x:c>
    </x:row>
    <x:row r="4225" ht="36" customHeight="1">
      <x:c r="A4225" s="19" t="str">
        <x:v>GRID86</x:v>
      </x:c>
      <x:c r="B4225" s="19" t="str">
        <x:v>GRID86_report.md</x:v>
      </x:c>
      <x:c r="C4225" s="19" t="str">
        <x:v>3. 逐日期成本、查询、时间与延迟</x:v>
      </x:c>
      <x:c r="D4225" s="19" t="str">
        <x:v>日期=2036-03-03_9；方法=FRAME_GUARD</x:v>
      </x:c>
      <x:c r="E4225" s="19" t="str">
        <x:v>方法</x:v>
      </x:c>
      <x:c r="F4225" s="19" t="str">
        <x:v>FRAME_GUARD</x:v>
      </x:c>
      <x:c r="G4225" s="19" t="str">
        <x:v>其他/配置</x:v>
      </x:c>
      <x:c r="H4225" s="19" t="str">
        <x:v>D:/Codex/GRL研究/outputs/grid86/GRID86_report.md</x:v>
      </x:c>
    </x:row>
    <x:row r="4226" ht="36" customHeight="1">
      <x:c r="A4226" s="19" t="str">
        <x:v>GRID86</x:v>
      </x:c>
      <x:c r="B4226" s="19" t="str">
        <x:v>GRID86_report.md</x:v>
      </x:c>
      <x:c r="C4226" s="19" t="str">
        <x:v>3. 逐日期成本、查询、时间与延迟</x:v>
      </x:c>
      <x:c r="D4226" s="19" t="str">
        <x:v>日期=2036-03-03_9；方法=FRAME_GUARD</x:v>
      </x:c>
      <x:c r="E4226" s="19" t="str">
        <x:v>完成/步数</x:v>
      </x:c>
      <x:c r="F4226" s="19" t="str">
        <x:v>False/1720</x:v>
      </x:c>
      <x:c r="G4226" s="19" t="str">
        <x:v>质量/成本</x:v>
      </x:c>
      <x:c r="H4226" s="19" t="str">
        <x:v>D:/Codex/GRL研究/outputs/grid86/GRID86_report.md</x:v>
      </x:c>
    </x:row>
    <x:row r="4227" ht="36" customHeight="1">
      <x:c r="A4227" s="19" t="str">
        <x:v>GRID86</x:v>
      </x:c>
      <x:c r="B4227" s="19" t="str">
        <x:v>GRID86_report.md</x:v>
      </x:c>
      <x:c r="C4227" s="19" t="str">
        <x:v>3. 逐日期成本、查询、时间与延迟</x:v>
      </x:c>
      <x:c r="D4227" s="19" t="str">
        <x:v>日期=2036-03-03_9；方法=FRAME_GUARD</x:v>
      </x:c>
      <x:c r="E4227" s="19" t="str">
        <x:v>完整周成本相对FULL</x:v>
      </x:c>
      <x:c r="F4227" s="19" t="str">
        <x:v>未双方完成</x:v>
      </x:c>
      <x:c r="G4227" s="19" t="str">
        <x:v>质量/成本</x:v>
      </x:c>
      <x:c r="H4227" s="19" t="str">
        <x:v>D:/Codex/GRL研究/outputs/grid86/GRID86_report.md</x:v>
      </x:c>
    </x:row>
    <x:row r="4228" ht="36" customHeight="1">
      <x:c r="A4228" s="19" t="str">
        <x:v>GRID86</x:v>
      </x:c>
      <x:c r="B4228" s="19" t="str">
        <x:v>GRID86_report.md</x:v>
      </x:c>
      <x:c r="C4228" s="19" t="str">
        <x:v>3. 逐日期成本、查询、时间与延迟</x:v>
      </x:c>
      <x:c r="D4228" s="19" t="str">
        <x:v>日期=2036-03-03_9；方法=FRAME_GUARD</x:v>
      </x:c>
      <x:c r="E4228" s="19" t="str">
        <x:v>质量通过</x:v>
      </x:c>
      <x:c r="F4228" s="19" t="str">
        <x:v>True</x:v>
      </x:c>
      <x:c r="G4228" s="19" t="str">
        <x:v>质量/成本</x:v>
      </x:c>
      <x:c r="H4228" s="19" t="str">
        <x:v>D:/Codex/GRL研究/outputs/grid86/GRID86_report.md</x:v>
      </x:c>
    </x:row>
    <x:row r="4229" ht="36" customHeight="1">
      <x:c r="A4229" s="19" t="str">
        <x:v>GRID86</x:v>
      </x:c>
      <x:c r="B4229" s="19" t="str">
        <x:v>GRID86_report.md</x:v>
      </x:c>
      <x:c r="C4229" s="19" t="str">
        <x:v>3. 逐日期成本、查询、时间与延迟</x:v>
      </x:c>
      <x:c r="D4229" s="19" t="str">
        <x:v>日期=2036-03-03_9；方法=FRAME_GUARD</x:v>
      </x:c>
      <x:c r="E4229" s="19" t="str">
        <x:v>查询</x:v>
      </x:c>
      <x:c r="F4229" s="19" t="str">
        <x:v>5109</x:v>
      </x:c>
      <x:c r="G4229" s="19" t="str">
        <x:v>速度/计算</x:v>
      </x:c>
      <x:c r="H4229" s="19" t="str">
        <x:v>D:/Codex/GRL研究/outputs/grid86/GRID86_report.md</x:v>
      </x:c>
    </x:row>
    <x:row r="4230" ht="36" customHeight="1">
      <x:c r="A4230" s="19" t="str">
        <x:v>GRID86</x:v>
      </x:c>
      <x:c r="B4230" s="19" t="str">
        <x:v>GRID86_report.md</x:v>
      </x:c>
      <x:c r="C4230" s="19" t="str">
        <x:v>3. 逐日期成本、查询、时间与延迟</x:v>
      </x:c>
      <x:c r="D4230" s="19" t="str">
        <x:v>日期=2036-03-03_9；方法=FRAME_GUARD</x:v>
      </x:c>
      <x:c r="E4230" s="19" t="str">
        <x:v>控制秒均值[最小,最大]</x:v>
      </x:c>
      <x:c r="F4230" s="19" t="str">
        <x:v>69.291[68.992,69.591]</x:v>
      </x:c>
      <x:c r="G4230" s="19" t="str">
        <x:v>速度/计算</x:v>
      </x:c>
      <x:c r="H4230" s="19" t="str">
        <x:v>D:/Codex/GRL研究/outputs/grid86/GRID86_report.md</x:v>
      </x:c>
    </x:row>
    <x:row r="4231" ht="36" customHeight="1">
      <x:c r="A4231" s="19" t="str">
        <x:v>GRID86</x:v>
      </x:c>
      <x:c r="B4231" s="19" t="str">
        <x:v>GRID86_report.md</x:v>
      </x:c>
      <x:c r="C4231" s="19" t="str">
        <x:v>3. 逐日期成本、查询、时间与延迟</x:v>
      </x:c>
      <x:c r="D4231" s="19" t="str">
        <x:v>日期=2036-03-03_9；方法=FRAME_GUARD</x:v>
      </x:c>
      <x:c r="E4231" s="19" t="str">
        <x:v>P95秒</x:v>
      </x:c>
      <x:c r="F4231" s="19" t="str">
        <x:v>0.0352</x:v>
      </x:c>
      <x:c r="G4231" s="19" t="str">
        <x:v>速度/计算</x:v>
      </x:c>
      <x:c r="H4231" s="19" t="str">
        <x:v>D:/Codex/GRL研究/outputs/grid86/GRID86_report.md</x:v>
      </x:c>
    </x:row>
    <x:row r="4232" ht="36" customHeight="1">
      <x:c r="A4232" s="19" t="str">
        <x:v>GRID86</x:v>
      </x:c>
      <x:c r="B4232" s="19" t="str">
        <x:v>GRID86_report.md</x:v>
      </x:c>
      <x:c r="C4232" s="19" t="str">
        <x:v>3. 逐日期成本、查询、时间与延迟</x:v>
      </x:c>
      <x:c r="D4232" s="19" t="str">
        <x:v>日期=2036-03-03_9；方法=FIXED_256</x:v>
      </x:c>
      <x:c r="E4232" s="19" t="str">
        <x:v>方法</x:v>
      </x:c>
      <x:c r="F4232" s="19" t="str">
        <x:v>FIXED_256</x:v>
      </x:c>
      <x:c r="G4232" s="19" t="str">
        <x:v>其他/配置</x:v>
      </x:c>
      <x:c r="H4232" s="19" t="str">
        <x:v>D:/Codex/GRL研究/outputs/grid86/GRID86_report.md</x:v>
      </x:c>
    </x:row>
    <x:row r="4233" ht="36" customHeight="1">
      <x:c r="A4233" s="19" t="str">
        <x:v>GRID86</x:v>
      </x:c>
      <x:c r="B4233" s="19" t="str">
        <x:v>GRID86_report.md</x:v>
      </x:c>
      <x:c r="C4233" s="19" t="str">
        <x:v>3. 逐日期成本、查询、时间与延迟</x:v>
      </x:c>
      <x:c r="D4233" s="19" t="str">
        <x:v>日期=2036-03-03_9；方法=FIXED_256</x:v>
      </x:c>
      <x:c r="E4233" s="19" t="str">
        <x:v>完成/步数</x:v>
      </x:c>
      <x:c r="F4233" s="19" t="str">
        <x:v>False/1720</x:v>
      </x:c>
      <x:c r="G4233" s="19" t="str">
        <x:v>质量/成本</x:v>
      </x:c>
      <x:c r="H4233" s="19" t="str">
        <x:v>D:/Codex/GRL研究/outputs/grid86/GRID86_report.md</x:v>
      </x:c>
    </x:row>
    <x:row r="4234" ht="36" customHeight="1">
      <x:c r="A4234" s="19" t="str">
        <x:v>GRID86</x:v>
      </x:c>
      <x:c r="B4234" s="19" t="str">
        <x:v>GRID86_report.md</x:v>
      </x:c>
      <x:c r="C4234" s="19" t="str">
        <x:v>3. 逐日期成本、查询、时间与延迟</x:v>
      </x:c>
      <x:c r="D4234" s="19" t="str">
        <x:v>日期=2036-03-03_9；方法=FIXED_256</x:v>
      </x:c>
      <x:c r="E4234" s="19" t="str">
        <x:v>完整周成本相对FULL</x:v>
      </x:c>
      <x:c r="F4234" s="19" t="str">
        <x:v>未双方完成</x:v>
      </x:c>
      <x:c r="G4234" s="19" t="str">
        <x:v>质量/成本</x:v>
      </x:c>
      <x:c r="H4234" s="19" t="str">
        <x:v>D:/Codex/GRL研究/outputs/grid86/GRID86_report.md</x:v>
      </x:c>
    </x:row>
    <x:row r="4235" ht="36" customHeight="1">
      <x:c r="A4235" s="19" t="str">
        <x:v>GRID86</x:v>
      </x:c>
      <x:c r="B4235" s="19" t="str">
        <x:v>GRID86_report.md</x:v>
      </x:c>
      <x:c r="C4235" s="19" t="str">
        <x:v>3. 逐日期成本、查询、时间与延迟</x:v>
      </x:c>
      <x:c r="D4235" s="19" t="str">
        <x:v>日期=2036-03-03_9；方法=FIXED_256</x:v>
      </x:c>
      <x:c r="E4235" s="19" t="str">
        <x:v>质量通过</x:v>
      </x:c>
      <x:c r="F4235" s="19" t="str">
        <x:v>True</x:v>
      </x:c>
      <x:c r="G4235" s="19" t="str">
        <x:v>质量/成本</x:v>
      </x:c>
      <x:c r="H4235" s="19" t="str">
        <x:v>D:/Codex/GRL研究/outputs/grid86/GRID86_report.md</x:v>
      </x:c>
    </x:row>
    <x:row r="4236" ht="36" customHeight="1">
      <x:c r="A4236" s="19" t="str">
        <x:v>GRID86</x:v>
      </x:c>
      <x:c r="B4236" s="19" t="str">
        <x:v>GRID86_report.md</x:v>
      </x:c>
      <x:c r="C4236" s="19" t="str">
        <x:v>3. 逐日期成本、查询、时间与延迟</x:v>
      </x:c>
      <x:c r="D4236" s="19" t="str">
        <x:v>日期=2036-03-03_9；方法=FIXED_256</x:v>
      </x:c>
      <x:c r="E4236" s="19" t="str">
        <x:v>查询</x:v>
      </x:c>
      <x:c r="F4236" s="19" t="str">
        <x:v>2560</x:v>
      </x:c>
      <x:c r="G4236" s="19" t="str">
        <x:v>速度/计算</x:v>
      </x:c>
      <x:c r="H4236" s="19" t="str">
        <x:v>D:/Codex/GRL研究/outputs/grid86/GRID86_report.md</x:v>
      </x:c>
    </x:row>
    <x:row r="4237" ht="36" customHeight="1">
      <x:c r="A4237" s="19" t="str">
        <x:v>GRID86</x:v>
      </x:c>
      <x:c r="B4237" s="19" t="str">
        <x:v>GRID86_report.md</x:v>
      </x:c>
      <x:c r="C4237" s="19" t="str">
        <x:v>3. 逐日期成本、查询、时间与延迟</x:v>
      </x:c>
      <x:c r="D4237" s="19" t="str">
        <x:v>日期=2036-03-03_9；方法=FIXED_256</x:v>
      </x:c>
      <x:c r="E4237" s="19" t="str">
        <x:v>控制秒均值[最小,最大]</x:v>
      </x:c>
      <x:c r="F4237" s="19" t="str">
        <x:v>60.646[59.760,61.531]</x:v>
      </x:c>
      <x:c r="G4237" s="19" t="str">
        <x:v>速度/计算</x:v>
      </x:c>
      <x:c r="H4237" s="19" t="str">
        <x:v>D:/Codex/GRL研究/outputs/grid86/GRID86_report.md</x:v>
      </x:c>
    </x:row>
    <x:row r="4238" ht="36" customHeight="1">
      <x:c r="A4238" s="19" t="str">
        <x:v>GRID86</x:v>
      </x:c>
      <x:c r="B4238" s="19" t="str">
        <x:v>GRID86_report.md</x:v>
      </x:c>
      <x:c r="C4238" s="19" t="str">
        <x:v>3. 逐日期成本、查询、时间与延迟</x:v>
      </x:c>
      <x:c r="D4238" s="19" t="str">
        <x:v>日期=2036-03-03_9；方法=FIXED_256</x:v>
      </x:c>
      <x:c r="E4238" s="19" t="str">
        <x:v>P95秒</x:v>
      </x:c>
      <x:c r="F4238" s="19" t="str">
        <x:v>0.0341</x:v>
      </x:c>
      <x:c r="G4238" s="19" t="str">
        <x:v>速度/计算</x:v>
      </x:c>
      <x:c r="H4238" s="19" t="str">
        <x:v>D:/Codex/GRL研究/outputs/grid86/GRID86_report.md</x:v>
      </x:c>
    </x:row>
    <x:row r="4239" ht="36" customHeight="1">
      <x:c r="A4239" s="19" t="str">
        <x:v>GRID86</x:v>
      </x:c>
      <x:c r="B4239" s="19" t="str">
        <x:v>GRID86_report.md</x:v>
      </x:c>
      <x:c r="C4239" s="19" t="str">
        <x:v>3. 逐日期成本、查询、时间与延迟</x:v>
      </x:c>
      <x:c r="D4239" s="19" t="str">
        <x:v>日期=2036-03-03_9；方法=FIXED_512</x:v>
      </x:c>
      <x:c r="E4239" s="19" t="str">
        <x:v>方法</x:v>
      </x:c>
      <x:c r="F4239" s="19" t="str">
        <x:v>FIXED_512</x:v>
      </x:c>
      <x:c r="G4239" s="19" t="str">
        <x:v>其他/配置</x:v>
      </x:c>
      <x:c r="H4239" s="19" t="str">
        <x:v>D:/Codex/GRL研究/outputs/grid86/GRID86_report.md</x:v>
      </x:c>
    </x:row>
    <x:row r="4240" ht="36" customHeight="1">
      <x:c r="A4240" s="19" t="str">
        <x:v>GRID86</x:v>
      </x:c>
      <x:c r="B4240" s="19" t="str">
        <x:v>GRID86_report.md</x:v>
      </x:c>
      <x:c r="C4240" s="19" t="str">
        <x:v>3. 逐日期成本、查询、时间与延迟</x:v>
      </x:c>
      <x:c r="D4240" s="19" t="str">
        <x:v>日期=2036-03-03_9；方法=FIXED_512</x:v>
      </x:c>
      <x:c r="E4240" s="19" t="str">
        <x:v>完成/步数</x:v>
      </x:c>
      <x:c r="F4240" s="19" t="str">
        <x:v>False/1720</x:v>
      </x:c>
      <x:c r="G4240" s="19" t="str">
        <x:v>质量/成本</x:v>
      </x:c>
      <x:c r="H4240" s="19" t="str">
        <x:v>D:/Codex/GRL研究/outputs/grid86/GRID86_report.md</x:v>
      </x:c>
    </x:row>
    <x:row r="4241" ht="36" customHeight="1">
      <x:c r="A4241" s="19" t="str">
        <x:v>GRID86</x:v>
      </x:c>
      <x:c r="B4241" s="19" t="str">
        <x:v>GRID86_report.md</x:v>
      </x:c>
      <x:c r="C4241" s="19" t="str">
        <x:v>3. 逐日期成本、查询、时间与延迟</x:v>
      </x:c>
      <x:c r="D4241" s="19" t="str">
        <x:v>日期=2036-03-03_9；方法=FIXED_512</x:v>
      </x:c>
      <x:c r="E4241" s="19" t="str">
        <x:v>完整周成本相对FULL</x:v>
      </x:c>
      <x:c r="F4241" s="19" t="str">
        <x:v>未双方完成</x:v>
      </x:c>
      <x:c r="G4241" s="19" t="str">
        <x:v>质量/成本</x:v>
      </x:c>
      <x:c r="H4241" s="19" t="str">
        <x:v>D:/Codex/GRL研究/outputs/grid86/GRID86_report.md</x:v>
      </x:c>
    </x:row>
    <x:row r="4242" ht="36" customHeight="1">
      <x:c r="A4242" s="19" t="str">
        <x:v>GRID86</x:v>
      </x:c>
      <x:c r="B4242" s="19" t="str">
        <x:v>GRID86_report.md</x:v>
      </x:c>
      <x:c r="C4242" s="19" t="str">
        <x:v>3. 逐日期成本、查询、时间与延迟</x:v>
      </x:c>
      <x:c r="D4242" s="19" t="str">
        <x:v>日期=2036-03-03_9；方法=FIXED_512</x:v>
      </x:c>
      <x:c r="E4242" s="19" t="str">
        <x:v>质量通过</x:v>
      </x:c>
      <x:c r="F4242" s="19" t="str">
        <x:v>True</x:v>
      </x:c>
      <x:c r="G4242" s="19" t="str">
        <x:v>质量/成本</x:v>
      </x:c>
      <x:c r="H4242" s="19" t="str">
        <x:v>D:/Codex/GRL研究/outputs/grid86/GRID86_report.md</x:v>
      </x:c>
    </x:row>
    <x:row r="4243" ht="36" customHeight="1">
      <x:c r="A4243" s="19" t="str">
        <x:v>GRID86</x:v>
      </x:c>
      <x:c r="B4243" s="19" t="str">
        <x:v>GRID86_report.md</x:v>
      </x:c>
      <x:c r="C4243" s="19" t="str">
        <x:v>3. 逐日期成本、查询、时间与延迟</x:v>
      </x:c>
      <x:c r="D4243" s="19" t="str">
        <x:v>日期=2036-03-03_9；方法=FIXED_512</x:v>
      </x:c>
      <x:c r="E4243" s="19" t="str">
        <x:v>查询</x:v>
      </x:c>
      <x:c r="F4243" s="19" t="str">
        <x:v>5120</x:v>
      </x:c>
      <x:c r="G4243" s="19" t="str">
        <x:v>速度/计算</x:v>
      </x:c>
      <x:c r="H4243" s="19" t="str">
        <x:v>D:/Codex/GRL研究/outputs/grid86/GRID86_report.md</x:v>
      </x:c>
    </x:row>
    <x:row r="4244" ht="36" customHeight="1">
      <x:c r="A4244" s="19" t="str">
        <x:v>GRID86</x:v>
      </x:c>
      <x:c r="B4244" s="19" t="str">
        <x:v>GRID86_report.md</x:v>
      </x:c>
      <x:c r="C4244" s="19" t="str">
        <x:v>3. 逐日期成本、查询、时间与延迟</x:v>
      </x:c>
      <x:c r="D4244" s="19" t="str">
        <x:v>日期=2036-03-03_9；方法=FIXED_512</x:v>
      </x:c>
      <x:c r="E4244" s="19" t="str">
        <x:v>控制秒均值[最小,最大]</x:v>
      </x:c>
      <x:c r="F4244" s="19" t="str">
        <x:v>68.866[68.848,68.885]</x:v>
      </x:c>
      <x:c r="G4244" s="19" t="str">
        <x:v>速度/计算</x:v>
      </x:c>
      <x:c r="H4244" s="19" t="str">
        <x:v>D:/Codex/GRL研究/outputs/grid86/GRID86_report.md</x:v>
      </x:c>
    </x:row>
    <x:row r="4245" ht="36" customHeight="1">
      <x:c r="A4245" s="19" t="str">
        <x:v>GRID86</x:v>
      </x:c>
      <x:c r="B4245" s="19" t="str">
        <x:v>GRID86_report.md</x:v>
      </x:c>
      <x:c r="C4245" s="19" t="str">
        <x:v>3. 逐日期成本、查询、时间与延迟</x:v>
      </x:c>
      <x:c r="D4245" s="19" t="str">
        <x:v>日期=2036-03-03_9；方法=FIXED_512</x:v>
      </x:c>
      <x:c r="E4245" s="19" t="str">
        <x:v>P95秒</x:v>
      </x:c>
      <x:c r="F4245" s="19" t="str">
        <x:v>0.0348</x:v>
      </x:c>
      <x:c r="G4245" s="19" t="str">
        <x:v>速度/计算</x:v>
      </x:c>
      <x:c r="H4245" s="19" t="str">
        <x:v>D:/Codex/GRL研究/outputs/grid86/GRID86_report.md</x:v>
      </x:c>
    </x:row>
    <x:row r="4246" ht="36" customHeight="1">
      <x:c r="A4246" s="19" t="str">
        <x:v>GRID86</x:v>
      </x:c>
      <x:c r="B4246" s="19" t="str">
        <x:v>GRID86_report.md</x:v>
      </x:c>
      <x:c r="C4246" s="19" t="str">
        <x:v>3. 逐日期成本、查询、时间与延迟</x:v>
      </x:c>
      <x:c r="D4246" s="19" t="str">
        <x:v>日期=2036-05-05_9；方法=FRAME_GUARD</x:v>
      </x:c>
      <x:c r="E4246" s="19" t="str">
        <x:v>方法</x:v>
      </x:c>
      <x:c r="F4246" s="19" t="str">
        <x:v>FRAME_GUARD</x:v>
      </x:c>
      <x:c r="G4246" s="19" t="str">
        <x:v>其他/配置</x:v>
      </x:c>
      <x:c r="H4246" s="19" t="str">
        <x:v>D:/Codex/GRL研究/outputs/grid86/GRID86_report.md</x:v>
      </x:c>
    </x:row>
    <x:row r="4247" ht="36" customHeight="1">
      <x:c r="A4247" s="19" t="str">
        <x:v>GRID86</x:v>
      </x:c>
      <x:c r="B4247" s="19" t="str">
        <x:v>GRID86_report.md</x:v>
      </x:c>
      <x:c r="C4247" s="19" t="str">
        <x:v>3. 逐日期成本、查询、时间与延迟</x:v>
      </x:c>
      <x:c r="D4247" s="19" t="str">
        <x:v>日期=2036-05-05_9；方法=FRAME_GUARD</x:v>
      </x:c>
      <x:c r="E4247" s="19" t="str">
        <x:v>完成/步数</x:v>
      </x:c>
      <x:c r="F4247" s="19" t="str">
        <x:v>True/2017</x:v>
      </x:c>
      <x:c r="G4247" s="19" t="str">
        <x:v>质量/成本</x:v>
      </x:c>
      <x:c r="H4247" s="19" t="str">
        <x:v>D:/Codex/GRL研究/outputs/grid86/GRID86_report.md</x:v>
      </x:c>
    </x:row>
    <x:row r="4248" ht="36" customHeight="1">
      <x:c r="A4248" s="19" t="str">
        <x:v>GRID86</x:v>
      </x:c>
      <x:c r="B4248" s="19" t="str">
        <x:v>GRID86_report.md</x:v>
      </x:c>
      <x:c r="C4248" s="19" t="str">
        <x:v>3. 逐日期成本、查询、时间与延迟</x:v>
      </x:c>
      <x:c r="D4248" s="19" t="str">
        <x:v>日期=2036-05-05_9；方法=FRAME_GUARD</x:v>
      </x:c>
      <x:c r="E4248" s="19" t="str">
        <x:v>完整周成本相对FULL</x:v>
      </x:c>
      <x:c r="F4248" s="19" t="str">
        <x:v>-2.6518%</x:v>
      </x:c>
      <x:c r="G4248" s="19" t="str">
        <x:v>质量/成本</x:v>
      </x:c>
      <x:c r="H4248" s="19" t="str">
        <x:v>D:/Codex/GRL研究/outputs/grid86/GRID86_report.md</x:v>
      </x:c>
    </x:row>
    <x:row r="4249" ht="36" customHeight="1">
      <x:c r="A4249" s="19" t="str">
        <x:v>GRID86</x:v>
      </x:c>
      <x:c r="B4249" s="19" t="str">
        <x:v>GRID86_report.md</x:v>
      </x:c>
      <x:c r="C4249" s="19" t="str">
        <x:v>3. 逐日期成本、查询、时间与延迟</x:v>
      </x:c>
      <x:c r="D4249" s="19" t="str">
        <x:v>日期=2036-05-05_9；方法=FRAME_GUARD</x:v>
      </x:c>
      <x:c r="E4249" s="19" t="str">
        <x:v>质量通过</x:v>
      </x:c>
      <x:c r="F4249" s="19" t="str">
        <x:v>True</x:v>
      </x:c>
      <x:c r="G4249" s="19" t="str">
        <x:v>质量/成本</x:v>
      </x:c>
      <x:c r="H4249" s="19" t="str">
        <x:v>D:/Codex/GRL研究/outputs/grid86/GRID86_report.md</x:v>
      </x:c>
    </x:row>
    <x:row r="4250" ht="36" customHeight="1">
      <x:c r="A4250" s="19" t="str">
        <x:v>GRID86</x:v>
      </x:c>
      <x:c r="B4250" s="19" t="str">
        <x:v>GRID86_report.md</x:v>
      </x:c>
      <x:c r="C4250" s="19" t="str">
        <x:v>3. 逐日期成本、查询、时间与延迟</x:v>
      </x:c>
      <x:c r="D4250" s="19" t="str">
        <x:v>日期=2036-05-05_9；方法=FRAME_GUARD</x:v>
      </x:c>
      <x:c r="E4250" s="19" t="str">
        <x:v>查询</x:v>
      </x:c>
      <x:c r="F4250" s="19" t="str">
        <x:v>454</x:v>
      </x:c>
      <x:c r="G4250" s="19" t="str">
        <x:v>速度/计算</x:v>
      </x:c>
      <x:c r="H4250" s="19" t="str">
        <x:v>D:/Codex/GRL研究/outputs/grid86/GRID86_report.md</x:v>
      </x:c>
    </x:row>
    <x:row r="4251" ht="36" customHeight="1">
      <x:c r="A4251" s="19" t="str">
        <x:v>GRID86</x:v>
      </x:c>
      <x:c r="B4251" s="19" t="str">
        <x:v>GRID86_report.md</x:v>
      </x:c>
      <x:c r="C4251" s="19" t="str">
        <x:v>3. 逐日期成本、查询、时间与延迟</x:v>
      </x:c>
      <x:c r="D4251" s="19" t="str">
        <x:v>日期=2036-05-05_9；方法=FRAME_GUARD</x:v>
      </x:c>
      <x:c r="E4251" s="19" t="str">
        <x:v>控制秒均值[最小,最大]</x:v>
      </x:c>
      <x:c r="F4251" s="19" t="str">
        <x:v>35.895[35.893,35.898]</x:v>
      </x:c>
      <x:c r="G4251" s="19" t="str">
        <x:v>速度/计算</x:v>
      </x:c>
      <x:c r="H4251" s="19" t="str">
        <x:v>D:/Codex/GRL研究/outputs/grid86/GRID86_report.md</x:v>
      </x:c>
    </x:row>
    <x:row r="4252" ht="36" customHeight="1">
      <x:c r="A4252" s="19" t="str">
        <x:v>GRID86</x:v>
      </x:c>
      <x:c r="B4252" s="19" t="str">
        <x:v>GRID86_report.md</x:v>
      </x:c>
      <x:c r="C4252" s="19" t="str">
        <x:v>3. 逐日期成本、查询、时间与延迟</x:v>
      </x:c>
      <x:c r="D4252" s="19" t="str">
        <x:v>日期=2036-05-05_9；方法=FRAME_GUARD</x:v>
      </x:c>
      <x:c r="E4252" s="19" t="str">
        <x:v>P95秒</x:v>
      </x:c>
      <x:c r="F4252" s="19" t="str">
        <x:v>0.0283</x:v>
      </x:c>
      <x:c r="G4252" s="19" t="str">
        <x:v>速度/计算</x:v>
      </x:c>
      <x:c r="H4252" s="19" t="str">
        <x:v>D:/Codex/GRL研究/outputs/grid86/GRID86_report.md</x:v>
      </x:c>
    </x:row>
    <x:row r="4253" ht="36" customHeight="1">
      <x:c r="A4253" s="19" t="str">
        <x:v>GRID86</x:v>
      </x:c>
      <x:c r="B4253" s="19" t="str">
        <x:v>GRID86_report.md</x:v>
      </x:c>
      <x:c r="C4253" s="19" t="str">
        <x:v>3. 逐日期成本、查询、时间与延迟</x:v>
      </x:c>
      <x:c r="D4253" s="19" t="str">
        <x:v>日期=2036-05-05_9；方法=FIXED_256</x:v>
      </x:c>
      <x:c r="E4253" s="19" t="str">
        <x:v>方法</x:v>
      </x:c>
      <x:c r="F4253" s="19" t="str">
        <x:v>FIXED_256</x:v>
      </x:c>
      <x:c r="G4253" s="19" t="str">
        <x:v>其他/配置</x:v>
      </x:c>
      <x:c r="H4253" s="19" t="str">
        <x:v>D:/Codex/GRL研究/outputs/grid86/GRID86_report.md</x:v>
      </x:c>
    </x:row>
    <x:row r="4254" ht="36" customHeight="1">
      <x:c r="A4254" s="19" t="str">
        <x:v>GRID86</x:v>
      </x:c>
      <x:c r="B4254" s="19" t="str">
        <x:v>GRID86_report.md</x:v>
      </x:c>
      <x:c r="C4254" s="19" t="str">
        <x:v>3. 逐日期成本、查询、时间与延迟</x:v>
      </x:c>
      <x:c r="D4254" s="19" t="str">
        <x:v>日期=2036-05-05_9；方法=FIXED_256</x:v>
      </x:c>
      <x:c r="E4254" s="19" t="str">
        <x:v>完成/步数</x:v>
      </x:c>
      <x:c r="F4254" s="19" t="str">
        <x:v>True/2017</x:v>
      </x:c>
      <x:c r="G4254" s="19" t="str">
        <x:v>质量/成本</x:v>
      </x:c>
      <x:c r="H4254" s="19" t="str">
        <x:v>D:/Codex/GRL研究/outputs/grid86/GRID86_report.md</x:v>
      </x:c>
    </x:row>
    <x:row r="4255" ht="36" customHeight="1">
      <x:c r="A4255" s="19" t="str">
        <x:v>GRID86</x:v>
      </x:c>
      <x:c r="B4255" s="19" t="str">
        <x:v>GRID86_report.md</x:v>
      </x:c>
      <x:c r="C4255" s="19" t="str">
        <x:v>3. 逐日期成本、查询、时间与延迟</x:v>
      </x:c>
      <x:c r="D4255" s="19" t="str">
        <x:v>日期=2036-05-05_9；方法=FIXED_256</x:v>
      </x:c>
      <x:c r="E4255" s="19" t="str">
        <x:v>完整周成本相对FULL</x:v>
      </x:c>
      <x:c r="F4255" s="19" t="str">
        <x:v>-2.3331%</x:v>
      </x:c>
      <x:c r="G4255" s="19" t="str">
        <x:v>质量/成本</x:v>
      </x:c>
      <x:c r="H4255" s="19" t="str">
        <x:v>D:/Codex/GRL研究/outputs/grid86/GRID86_report.md</x:v>
      </x:c>
    </x:row>
    <x:row r="4256" ht="36" customHeight="1">
      <x:c r="A4256" s="19" t="str">
        <x:v>GRID86</x:v>
      </x:c>
      <x:c r="B4256" s="19" t="str">
        <x:v>GRID86_report.md</x:v>
      </x:c>
      <x:c r="C4256" s="19" t="str">
        <x:v>3. 逐日期成本、查询、时间与延迟</x:v>
      </x:c>
      <x:c r="D4256" s="19" t="str">
        <x:v>日期=2036-05-05_9；方法=FIXED_256</x:v>
      </x:c>
      <x:c r="E4256" s="19" t="str">
        <x:v>质量通过</x:v>
      </x:c>
      <x:c r="F4256" s="19" t="str">
        <x:v>True</x:v>
      </x:c>
      <x:c r="G4256" s="19" t="str">
        <x:v>质量/成本</x:v>
      </x:c>
      <x:c r="H4256" s="19" t="str">
        <x:v>D:/Codex/GRL研究/outputs/grid86/GRID86_report.md</x:v>
      </x:c>
    </x:row>
    <x:row r="4257" ht="36" customHeight="1">
      <x:c r="A4257" s="19" t="str">
        <x:v>GRID86</x:v>
      </x:c>
      <x:c r="B4257" s="19" t="str">
        <x:v>GRID86_report.md</x:v>
      </x:c>
      <x:c r="C4257" s="19" t="str">
        <x:v>3. 逐日期成本、查询、时间与延迟</x:v>
      </x:c>
      <x:c r="D4257" s="19" t="str">
        <x:v>日期=2036-05-05_9；方法=FIXED_256</x:v>
      </x:c>
      <x:c r="E4257" s="19" t="str">
        <x:v>查询</x:v>
      </x:c>
      <x:c r="F4257" s="19" t="str">
        <x:v>256</x:v>
      </x:c>
      <x:c r="G4257" s="19" t="str">
        <x:v>速度/计算</x:v>
      </x:c>
      <x:c r="H4257" s="19" t="str">
        <x:v>D:/Codex/GRL研究/outputs/grid86/GRID86_report.md</x:v>
      </x:c>
    </x:row>
    <x:row r="4258" ht="36" customHeight="1">
      <x:c r="A4258" s="19" t="str">
        <x:v>GRID86</x:v>
      </x:c>
      <x:c r="B4258" s="19" t="str">
        <x:v>GRID86_report.md</x:v>
      </x:c>
      <x:c r="C4258" s="19" t="str">
        <x:v>3. 逐日期成本、查询、时间与延迟</x:v>
      </x:c>
      <x:c r="D4258" s="19" t="str">
        <x:v>日期=2036-05-05_9；方法=FIXED_256</x:v>
      </x:c>
      <x:c r="E4258" s="19" t="str">
        <x:v>控制秒均值[最小,最大]</x:v>
      </x:c>
      <x:c r="F4258" s="19" t="str">
        <x:v>38.184[38.131,38.238]</x:v>
      </x:c>
      <x:c r="G4258" s="19" t="str">
        <x:v>速度/计算</x:v>
      </x:c>
      <x:c r="H4258" s="19" t="str">
        <x:v>D:/Codex/GRL研究/outputs/grid86/GRID86_report.md</x:v>
      </x:c>
    </x:row>
    <x:row r="4259" ht="36" customHeight="1">
      <x:c r="A4259" s="19" t="str">
        <x:v>GRID86</x:v>
      </x:c>
      <x:c r="B4259" s="19" t="str">
        <x:v>GRID86_report.md</x:v>
      </x:c>
      <x:c r="C4259" s="19" t="str">
        <x:v>3. 逐日期成本、查询、时间与延迟</x:v>
      </x:c>
      <x:c r="D4259" s="19" t="str">
        <x:v>日期=2036-05-05_9；方法=FIXED_256</x:v>
      </x:c>
      <x:c r="E4259" s="19" t="str">
        <x:v>P95秒</x:v>
      </x:c>
      <x:c r="F4259" s="19" t="str">
        <x:v>0.0282</x:v>
      </x:c>
      <x:c r="G4259" s="19" t="str">
        <x:v>速度/计算</x:v>
      </x:c>
      <x:c r="H4259" s="19" t="str">
        <x:v>D:/Codex/GRL研究/outputs/grid86/GRID86_report.md</x:v>
      </x:c>
    </x:row>
    <x:row r="4260" ht="36" customHeight="1">
      <x:c r="A4260" s="19" t="str">
        <x:v>GRID86</x:v>
      </x:c>
      <x:c r="B4260" s="19" t="str">
        <x:v>GRID86_report.md</x:v>
      </x:c>
      <x:c r="C4260" s="19" t="str">
        <x:v>3. 逐日期成本、查询、时间与延迟</x:v>
      </x:c>
      <x:c r="D4260" s="19" t="str">
        <x:v>日期=2036-05-05_9；方法=FIXED_512</x:v>
      </x:c>
      <x:c r="E4260" s="19" t="str">
        <x:v>方法</x:v>
      </x:c>
      <x:c r="F4260" s="19" t="str">
        <x:v>FIXED_512</x:v>
      </x:c>
      <x:c r="G4260" s="19" t="str">
        <x:v>其他/配置</x:v>
      </x:c>
      <x:c r="H4260" s="19" t="str">
        <x:v>D:/Codex/GRL研究/outputs/grid86/GRID86_report.md</x:v>
      </x:c>
    </x:row>
    <x:row r="4261" ht="36" customHeight="1">
      <x:c r="A4261" s="19" t="str">
        <x:v>GRID86</x:v>
      </x:c>
      <x:c r="B4261" s="19" t="str">
        <x:v>GRID86_report.md</x:v>
      </x:c>
      <x:c r="C4261" s="19" t="str">
        <x:v>3. 逐日期成本、查询、时间与延迟</x:v>
      </x:c>
      <x:c r="D4261" s="19" t="str">
        <x:v>日期=2036-05-05_9；方法=FIXED_512</x:v>
      </x:c>
      <x:c r="E4261" s="19" t="str">
        <x:v>完成/步数</x:v>
      </x:c>
      <x:c r="F4261" s="19" t="str">
        <x:v>True/2017</x:v>
      </x:c>
      <x:c r="G4261" s="19" t="str">
        <x:v>质量/成本</x:v>
      </x:c>
      <x:c r="H4261" s="19" t="str">
        <x:v>D:/Codex/GRL研究/outputs/grid86/GRID86_report.md</x:v>
      </x:c>
    </x:row>
    <x:row r="4262" ht="36" customHeight="1">
      <x:c r="A4262" s="19" t="str">
        <x:v>GRID86</x:v>
      </x:c>
      <x:c r="B4262" s="19" t="str">
        <x:v>GRID86_report.md</x:v>
      </x:c>
      <x:c r="C4262" s="19" t="str">
        <x:v>3. 逐日期成本、查询、时间与延迟</x:v>
      </x:c>
      <x:c r="D4262" s="19" t="str">
        <x:v>日期=2036-05-05_9；方法=FIXED_512</x:v>
      </x:c>
      <x:c r="E4262" s="19" t="str">
        <x:v>完整周成本相对FULL</x:v>
      </x:c>
      <x:c r="F4262" s="19" t="str">
        <x:v>+0.0000%</x:v>
      </x:c>
      <x:c r="G4262" s="19" t="str">
        <x:v>质量/成本</x:v>
      </x:c>
      <x:c r="H4262" s="19" t="str">
        <x:v>D:/Codex/GRL研究/outputs/grid86/GRID86_report.md</x:v>
      </x:c>
    </x:row>
    <x:row r="4263" ht="36" customHeight="1">
      <x:c r="A4263" s="19" t="str">
        <x:v>GRID86</x:v>
      </x:c>
      <x:c r="B4263" s="19" t="str">
        <x:v>GRID86_report.md</x:v>
      </x:c>
      <x:c r="C4263" s="19" t="str">
        <x:v>3. 逐日期成本、查询、时间与延迟</x:v>
      </x:c>
      <x:c r="D4263" s="19" t="str">
        <x:v>日期=2036-05-05_9；方法=FIXED_512</x:v>
      </x:c>
      <x:c r="E4263" s="19" t="str">
        <x:v>质量通过</x:v>
      </x:c>
      <x:c r="F4263" s="19" t="str">
        <x:v>True</x:v>
      </x:c>
      <x:c r="G4263" s="19" t="str">
        <x:v>质量/成本</x:v>
      </x:c>
      <x:c r="H4263" s="19" t="str">
        <x:v>D:/Codex/GRL研究/outputs/grid86/GRID86_report.md</x:v>
      </x:c>
    </x:row>
    <x:row r="4264" ht="36" customHeight="1">
      <x:c r="A4264" s="19" t="str">
        <x:v>GRID86</x:v>
      </x:c>
      <x:c r="B4264" s="19" t="str">
        <x:v>GRID86_report.md</x:v>
      </x:c>
      <x:c r="C4264" s="19" t="str">
        <x:v>3. 逐日期成本、查询、时间与延迟</x:v>
      </x:c>
      <x:c r="D4264" s="19" t="str">
        <x:v>日期=2036-05-05_9；方法=FIXED_512</x:v>
      </x:c>
      <x:c r="E4264" s="19" t="str">
        <x:v>查询</x:v>
      </x:c>
      <x:c r="F4264" s="19" t="str">
        <x:v>1536</x:v>
      </x:c>
      <x:c r="G4264" s="19" t="str">
        <x:v>速度/计算</x:v>
      </x:c>
      <x:c r="H4264" s="19" t="str">
        <x:v>D:/Codex/GRL研究/outputs/grid86/GRID86_report.md</x:v>
      </x:c>
    </x:row>
    <x:row r="4265" ht="36" customHeight="1">
      <x:c r="A4265" s="19" t="str">
        <x:v>GRID86</x:v>
      </x:c>
      <x:c r="B4265" s="19" t="str">
        <x:v>GRID86_report.md</x:v>
      </x:c>
      <x:c r="C4265" s="19" t="str">
        <x:v>3. 逐日期成本、查询、时间与延迟</x:v>
      </x:c>
      <x:c r="D4265" s="19" t="str">
        <x:v>日期=2036-05-05_9；方法=FIXED_512</x:v>
      </x:c>
      <x:c r="E4265" s="19" t="str">
        <x:v>控制秒均值[最小,最大]</x:v>
      </x:c>
      <x:c r="F4265" s="19" t="str">
        <x:v>46.063[45.588,46.539]</x:v>
      </x:c>
      <x:c r="G4265" s="19" t="str">
        <x:v>速度/计算</x:v>
      </x:c>
      <x:c r="H4265" s="19" t="str">
        <x:v>D:/Codex/GRL研究/outputs/grid86/GRID86_report.md</x:v>
      </x:c>
    </x:row>
    <x:row r="4266" ht="36" customHeight="1">
      <x:c r="A4266" s="19" t="str">
        <x:v>GRID86</x:v>
      </x:c>
      <x:c r="B4266" s="19" t="str">
        <x:v>GRID86_report.md</x:v>
      </x:c>
      <x:c r="C4266" s="19" t="str">
        <x:v>3. 逐日期成本、查询、时间与延迟</x:v>
      </x:c>
      <x:c r="D4266" s="19" t="str">
        <x:v>日期=2036-05-05_9；方法=FIXED_512</x:v>
      </x:c>
      <x:c r="E4266" s="19" t="str">
        <x:v>P95秒</x:v>
      </x:c>
      <x:c r="F4266" s="19" t="str">
        <x:v>0.0323</x:v>
      </x:c>
      <x:c r="G4266" s="19" t="str">
        <x:v>速度/计算</x:v>
      </x:c>
      <x:c r="H4266" s="19" t="str">
        <x:v>D:/Codex/GRL研究/outputs/grid86/GRID86_report.md</x:v>
      </x:c>
    </x:row>
    <x:row r="4267" ht="36" customHeight="1">
      <x:c r="A4267" s="19" t="str">
        <x:v>GRID86</x:v>
      </x:c>
      <x:c r="B4267" s="19" t="str">
        <x:v>GRID86_report.md</x:v>
      </x:c>
      <x:c r="C4267" s="19" t="str">
        <x:v>3. 逐日期成本、查询、时间与延迟</x:v>
      </x:c>
      <x:c r="D4267" s="19" t="str">
        <x:v>日期=2036-07-07_9；方法=FRAME_GUARD</x:v>
      </x:c>
      <x:c r="E4267" s="19" t="str">
        <x:v>方法</x:v>
      </x:c>
      <x:c r="F4267" s="19" t="str">
        <x:v>FRAME_GUARD</x:v>
      </x:c>
      <x:c r="G4267" s="19" t="str">
        <x:v>其他/配置</x:v>
      </x:c>
      <x:c r="H4267" s="19" t="str">
        <x:v>D:/Codex/GRL研究/outputs/grid86/GRID86_report.md</x:v>
      </x:c>
    </x:row>
    <x:row r="4268" ht="36" customHeight="1">
      <x:c r="A4268" s="19" t="str">
        <x:v>GRID86</x:v>
      </x:c>
      <x:c r="B4268" s="19" t="str">
        <x:v>GRID86_report.md</x:v>
      </x:c>
      <x:c r="C4268" s="19" t="str">
        <x:v>3. 逐日期成本、查询、时间与延迟</x:v>
      </x:c>
      <x:c r="D4268" s="19" t="str">
        <x:v>日期=2036-07-07_9；方法=FRAME_GUARD</x:v>
      </x:c>
      <x:c r="E4268" s="19" t="str">
        <x:v>完成/步数</x:v>
      </x:c>
      <x:c r="F4268" s="19" t="str">
        <x:v>True/2017</x:v>
      </x:c>
      <x:c r="G4268" s="19" t="str">
        <x:v>质量/成本</x:v>
      </x:c>
      <x:c r="H4268" s="19" t="str">
        <x:v>D:/Codex/GRL研究/outputs/grid86/GRID86_report.md</x:v>
      </x:c>
    </x:row>
    <x:row r="4269" ht="36" customHeight="1">
      <x:c r="A4269" s="19" t="str">
        <x:v>GRID86</x:v>
      </x:c>
      <x:c r="B4269" s="19" t="str">
        <x:v>GRID86_report.md</x:v>
      </x:c>
      <x:c r="C4269" s="19" t="str">
        <x:v>3. 逐日期成本、查询、时间与延迟</x:v>
      </x:c>
      <x:c r="D4269" s="19" t="str">
        <x:v>日期=2036-07-07_9；方法=FRAME_GUARD</x:v>
      </x:c>
      <x:c r="E4269" s="19" t="str">
        <x:v>完整周成本相对FULL</x:v>
      </x:c>
      <x:c r="F4269" s="19" t="str">
        <x:v>-1.0881%</x:v>
      </x:c>
      <x:c r="G4269" s="19" t="str">
        <x:v>质量/成本</x:v>
      </x:c>
      <x:c r="H4269" s="19" t="str">
        <x:v>D:/Codex/GRL研究/outputs/grid86/GRID86_report.md</x:v>
      </x:c>
    </x:row>
    <x:row r="4270" ht="36" customHeight="1">
      <x:c r="A4270" s="19" t="str">
        <x:v>GRID86</x:v>
      </x:c>
      <x:c r="B4270" s="19" t="str">
        <x:v>GRID86_report.md</x:v>
      </x:c>
      <x:c r="C4270" s="19" t="str">
        <x:v>3. 逐日期成本、查询、时间与延迟</x:v>
      </x:c>
      <x:c r="D4270" s="19" t="str">
        <x:v>日期=2036-07-07_9；方法=FRAME_GUARD</x:v>
      </x:c>
      <x:c r="E4270" s="19" t="str">
        <x:v>质量通过</x:v>
      </x:c>
      <x:c r="F4270" s="19" t="str">
        <x:v>True</x:v>
      </x:c>
      <x:c r="G4270" s="19" t="str">
        <x:v>质量/成本</x:v>
      </x:c>
      <x:c r="H4270" s="19" t="str">
        <x:v>D:/Codex/GRL研究/outputs/grid86/GRID86_report.md</x:v>
      </x:c>
    </x:row>
    <x:row r="4271" ht="36" customHeight="1">
      <x:c r="A4271" s="19" t="str">
        <x:v>GRID86</x:v>
      </x:c>
      <x:c r="B4271" s="19" t="str">
        <x:v>GRID86_report.md</x:v>
      </x:c>
      <x:c r="C4271" s="19" t="str">
        <x:v>3. 逐日期成本、查询、时间与延迟</x:v>
      </x:c>
      <x:c r="D4271" s="19" t="str">
        <x:v>日期=2036-07-07_9；方法=FRAME_GUARD</x:v>
      </x:c>
      <x:c r="E4271" s="19" t="str">
        <x:v>查询</x:v>
      </x:c>
      <x:c r="F4271" s="19" t="str">
        <x:v>3470</x:v>
      </x:c>
      <x:c r="G4271" s="19" t="str">
        <x:v>速度/计算</x:v>
      </x:c>
      <x:c r="H4271" s="19" t="str">
        <x:v>D:/Codex/GRL研究/outputs/grid86/GRID86_report.md</x:v>
      </x:c>
    </x:row>
    <x:row r="4272" ht="36" customHeight="1">
      <x:c r="A4272" s="19" t="str">
        <x:v>GRID86</x:v>
      </x:c>
      <x:c r="B4272" s="19" t="str">
        <x:v>GRID86_report.md</x:v>
      </x:c>
      <x:c r="C4272" s="19" t="str">
        <x:v>3. 逐日期成本、查询、时间与延迟</x:v>
      </x:c>
      <x:c r="D4272" s="19" t="str">
        <x:v>日期=2036-07-07_9；方法=FRAME_GUARD</x:v>
      </x:c>
      <x:c r="E4272" s="19" t="str">
        <x:v>控制秒均值[最小,最大]</x:v>
      </x:c>
      <x:c r="F4272" s="19" t="str">
        <x:v>43.953[43.909,43.998]</x:v>
      </x:c>
      <x:c r="G4272" s="19" t="str">
        <x:v>速度/计算</x:v>
      </x:c>
      <x:c r="H4272" s="19" t="str">
        <x:v>D:/Codex/GRL研究/outputs/grid86/GRID86_report.md</x:v>
      </x:c>
    </x:row>
    <x:row r="4273" ht="36" customHeight="1">
      <x:c r="A4273" s="19" t="str">
        <x:v>GRID86</x:v>
      </x:c>
      <x:c r="B4273" s="19" t="str">
        <x:v>GRID86_report.md</x:v>
      </x:c>
      <x:c r="C4273" s="19" t="str">
        <x:v>3. 逐日期成本、查询、时间与延迟</x:v>
      </x:c>
      <x:c r="D4273" s="19" t="str">
        <x:v>日期=2036-07-07_9；方法=FRAME_GUARD</x:v>
      </x:c>
      <x:c r="E4273" s="19" t="str">
        <x:v>P95秒</x:v>
      </x:c>
      <x:c r="F4273" s="19" t="str">
        <x:v>0.0337</x:v>
      </x:c>
      <x:c r="G4273" s="19" t="str">
        <x:v>速度/计算</x:v>
      </x:c>
      <x:c r="H4273" s="19" t="str">
        <x:v>D:/Codex/GRL研究/outputs/grid86/GRID86_report.md</x:v>
      </x:c>
    </x:row>
    <x:row r="4274" ht="36" customHeight="1">
      <x:c r="A4274" s="19" t="str">
        <x:v>GRID86</x:v>
      </x:c>
      <x:c r="B4274" s="19" t="str">
        <x:v>GRID86_report.md</x:v>
      </x:c>
      <x:c r="C4274" s="19" t="str">
        <x:v>3. 逐日期成本、查询、时间与延迟</x:v>
      </x:c>
      <x:c r="D4274" s="19" t="str">
        <x:v>日期=2036-07-07_9；方法=FIXED_256</x:v>
      </x:c>
      <x:c r="E4274" s="19" t="str">
        <x:v>方法</x:v>
      </x:c>
      <x:c r="F4274" s="19" t="str">
        <x:v>FIXED_256</x:v>
      </x:c>
      <x:c r="G4274" s="19" t="str">
        <x:v>其他/配置</x:v>
      </x:c>
      <x:c r="H4274" s="19" t="str">
        <x:v>D:/Codex/GRL研究/outputs/grid86/GRID86_report.md</x:v>
      </x:c>
    </x:row>
    <x:row r="4275" ht="36" customHeight="1">
      <x:c r="A4275" s="19" t="str">
        <x:v>GRID86</x:v>
      </x:c>
      <x:c r="B4275" s="19" t="str">
        <x:v>GRID86_report.md</x:v>
      </x:c>
      <x:c r="C4275" s="19" t="str">
        <x:v>3. 逐日期成本、查询、时间与延迟</x:v>
      </x:c>
      <x:c r="D4275" s="19" t="str">
        <x:v>日期=2036-07-07_9；方法=FIXED_256</x:v>
      </x:c>
      <x:c r="E4275" s="19" t="str">
        <x:v>完成/步数</x:v>
      </x:c>
      <x:c r="F4275" s="19" t="str">
        <x:v>True/2017</x:v>
      </x:c>
      <x:c r="G4275" s="19" t="str">
        <x:v>质量/成本</x:v>
      </x:c>
      <x:c r="H4275" s="19" t="str">
        <x:v>D:/Codex/GRL研究/outputs/grid86/GRID86_report.md</x:v>
      </x:c>
    </x:row>
    <x:row r="4276" ht="36" customHeight="1">
      <x:c r="A4276" s="19" t="str">
        <x:v>GRID86</x:v>
      </x:c>
      <x:c r="B4276" s="19" t="str">
        <x:v>GRID86_report.md</x:v>
      </x:c>
      <x:c r="C4276" s="19" t="str">
        <x:v>3. 逐日期成本、查询、时间与延迟</x:v>
      </x:c>
      <x:c r="D4276" s="19" t="str">
        <x:v>日期=2036-07-07_9；方法=FIXED_256</x:v>
      </x:c>
      <x:c r="E4276" s="19" t="str">
        <x:v>完整周成本相对FULL</x:v>
      </x:c>
      <x:c r="F4276" s="19" t="str">
        <x:v>-1.0881%</x:v>
      </x:c>
      <x:c r="G4276" s="19" t="str">
        <x:v>质量/成本</x:v>
      </x:c>
      <x:c r="H4276" s="19" t="str">
        <x:v>D:/Codex/GRL研究/outputs/grid86/GRID86_report.md</x:v>
      </x:c>
    </x:row>
    <x:row r="4277" ht="36" customHeight="1">
      <x:c r="A4277" s="19" t="str">
        <x:v>GRID86</x:v>
      </x:c>
      <x:c r="B4277" s="19" t="str">
        <x:v>GRID86_report.md</x:v>
      </x:c>
      <x:c r="C4277" s="19" t="str">
        <x:v>3. 逐日期成本、查询、时间与延迟</x:v>
      </x:c>
      <x:c r="D4277" s="19" t="str">
        <x:v>日期=2036-07-07_9；方法=FIXED_256</x:v>
      </x:c>
      <x:c r="E4277" s="19" t="str">
        <x:v>质量通过</x:v>
      </x:c>
      <x:c r="F4277" s="19" t="str">
        <x:v>True</x:v>
      </x:c>
      <x:c r="G4277" s="19" t="str">
        <x:v>质量/成本</x:v>
      </x:c>
      <x:c r="H4277" s="19" t="str">
        <x:v>D:/Codex/GRL研究/outputs/grid86/GRID86_report.md</x:v>
      </x:c>
    </x:row>
    <x:row r="4278" ht="36" customHeight="1">
      <x:c r="A4278" s="19" t="str">
        <x:v>GRID86</x:v>
      </x:c>
      <x:c r="B4278" s="19" t="str">
        <x:v>GRID86_report.md</x:v>
      </x:c>
      <x:c r="C4278" s="19" t="str">
        <x:v>3. 逐日期成本、查询、时间与延迟</x:v>
      </x:c>
      <x:c r="D4278" s="19" t="str">
        <x:v>日期=2036-07-07_9；方法=FIXED_256</x:v>
      </x:c>
      <x:c r="E4278" s="19" t="str">
        <x:v>查询</x:v>
      </x:c>
      <x:c r="F4278" s="19" t="str">
        <x:v>2560</x:v>
      </x:c>
      <x:c r="G4278" s="19" t="str">
        <x:v>速度/计算</x:v>
      </x:c>
      <x:c r="H4278" s="19" t="str">
        <x:v>D:/Codex/GRL研究/outputs/grid86/GRID86_report.md</x:v>
      </x:c>
    </x:row>
    <x:row r="4279" ht="36" customHeight="1">
      <x:c r="A4279" s="19" t="str">
        <x:v>GRID86</x:v>
      </x:c>
      <x:c r="B4279" s="19" t="str">
        <x:v>GRID86_report.md</x:v>
      </x:c>
      <x:c r="C4279" s="19" t="str">
        <x:v>3. 逐日期成本、查询、时间与延迟</x:v>
      </x:c>
      <x:c r="D4279" s="19" t="str">
        <x:v>日期=2036-07-07_9；方法=FIXED_256</x:v>
      </x:c>
      <x:c r="E4279" s="19" t="str">
        <x:v>控制秒均值[最小,最大]</x:v>
      </x:c>
      <x:c r="F4279" s="19" t="str">
        <x:v>41.661[41.628,41.695]</x:v>
      </x:c>
      <x:c r="G4279" s="19" t="str">
        <x:v>速度/计算</x:v>
      </x:c>
      <x:c r="H4279" s="19" t="str">
        <x:v>D:/Codex/GRL研究/outputs/grid86/GRID86_report.md</x:v>
      </x:c>
    </x:row>
    <x:row r="4280" ht="36" customHeight="1">
      <x:c r="A4280" s="19" t="str">
        <x:v>GRID86</x:v>
      </x:c>
      <x:c r="B4280" s="19" t="str">
        <x:v>GRID86_report.md</x:v>
      </x:c>
      <x:c r="C4280" s="19" t="str">
        <x:v>3. 逐日期成本、查询、时间与延迟</x:v>
      </x:c>
      <x:c r="D4280" s="19" t="str">
        <x:v>日期=2036-07-07_9；方法=FIXED_256</x:v>
      </x:c>
      <x:c r="E4280" s="19" t="str">
        <x:v>P95秒</x:v>
      </x:c>
      <x:c r="F4280" s="19" t="str">
        <x:v>0.0341</x:v>
      </x:c>
      <x:c r="G4280" s="19" t="str">
        <x:v>速度/计算</x:v>
      </x:c>
      <x:c r="H4280" s="19" t="str">
        <x:v>D:/Codex/GRL研究/outputs/grid86/GRID86_report.md</x:v>
      </x:c>
    </x:row>
    <x:row r="4281" ht="36" customHeight="1">
      <x:c r="A4281" s="19" t="str">
        <x:v>GRID86</x:v>
      </x:c>
      <x:c r="B4281" s="19" t="str">
        <x:v>GRID86_report.md</x:v>
      </x:c>
      <x:c r="C4281" s="19" t="str">
        <x:v>3. 逐日期成本、查询、时间与延迟</x:v>
      </x:c>
      <x:c r="D4281" s="19" t="str">
        <x:v>日期=2036-07-07_9；方法=FIXED_512</x:v>
      </x:c>
      <x:c r="E4281" s="19" t="str">
        <x:v>方法</x:v>
      </x:c>
      <x:c r="F4281" s="19" t="str">
        <x:v>FIXED_512</x:v>
      </x:c>
      <x:c r="G4281" s="19" t="str">
        <x:v>其他/配置</x:v>
      </x:c>
      <x:c r="H4281" s="19" t="str">
        <x:v>D:/Codex/GRL研究/outputs/grid86/GRID86_report.md</x:v>
      </x:c>
    </x:row>
    <x:row r="4282" ht="36" customHeight="1">
      <x:c r="A4282" s="19" t="str">
        <x:v>GRID86</x:v>
      </x:c>
      <x:c r="B4282" s="19" t="str">
        <x:v>GRID86_report.md</x:v>
      </x:c>
      <x:c r="C4282" s="19" t="str">
        <x:v>3. 逐日期成本、查询、时间与延迟</x:v>
      </x:c>
      <x:c r="D4282" s="19" t="str">
        <x:v>日期=2036-07-07_9；方法=FIXED_512</x:v>
      </x:c>
      <x:c r="E4282" s="19" t="str">
        <x:v>完成/步数</x:v>
      </x:c>
      <x:c r="F4282" s="19" t="str">
        <x:v>True/2017</x:v>
      </x:c>
      <x:c r="G4282" s="19" t="str">
        <x:v>质量/成本</x:v>
      </x:c>
      <x:c r="H4282" s="19" t="str">
        <x:v>D:/Codex/GRL研究/outputs/grid86/GRID86_report.md</x:v>
      </x:c>
    </x:row>
    <x:row r="4283" ht="36" customHeight="1">
      <x:c r="A4283" s="19" t="str">
        <x:v>GRID86</x:v>
      </x:c>
      <x:c r="B4283" s="19" t="str">
        <x:v>GRID86_report.md</x:v>
      </x:c>
      <x:c r="C4283" s="19" t="str">
        <x:v>3. 逐日期成本、查询、时间与延迟</x:v>
      </x:c>
      <x:c r="D4283" s="19" t="str">
        <x:v>日期=2036-07-07_9；方法=FIXED_512</x:v>
      </x:c>
      <x:c r="E4283" s="19" t="str">
        <x:v>完整周成本相对FULL</x:v>
      </x:c>
      <x:c r="F4283" s="19" t="str">
        <x:v>+0.0000%</x:v>
      </x:c>
      <x:c r="G4283" s="19" t="str">
        <x:v>质量/成本</x:v>
      </x:c>
      <x:c r="H4283" s="19" t="str">
        <x:v>D:/Codex/GRL研究/outputs/grid86/GRID86_report.md</x:v>
      </x:c>
    </x:row>
    <x:row r="4284" ht="36" customHeight="1">
      <x:c r="A4284" s="19" t="str">
        <x:v>GRID86</x:v>
      </x:c>
      <x:c r="B4284" s="19" t="str">
        <x:v>GRID86_report.md</x:v>
      </x:c>
      <x:c r="C4284" s="19" t="str">
        <x:v>3. 逐日期成本、查询、时间与延迟</x:v>
      </x:c>
      <x:c r="D4284" s="19" t="str">
        <x:v>日期=2036-07-07_9；方法=FIXED_512</x:v>
      </x:c>
      <x:c r="E4284" s="19" t="str">
        <x:v>质量通过</x:v>
      </x:c>
      <x:c r="F4284" s="19" t="str">
        <x:v>True</x:v>
      </x:c>
      <x:c r="G4284" s="19" t="str">
        <x:v>质量/成本</x:v>
      </x:c>
      <x:c r="H4284" s="19" t="str">
        <x:v>D:/Codex/GRL研究/outputs/grid86/GRID86_report.md</x:v>
      </x:c>
    </x:row>
    <x:row r="4285" ht="36" customHeight="1">
      <x:c r="A4285" s="19" t="str">
        <x:v>GRID86</x:v>
      </x:c>
      <x:c r="B4285" s="19" t="str">
        <x:v>GRID86_report.md</x:v>
      </x:c>
      <x:c r="C4285" s="19" t="str">
        <x:v>3. 逐日期成本、查询、时间与延迟</x:v>
      </x:c>
      <x:c r="D4285" s="19" t="str">
        <x:v>日期=2036-07-07_9；方法=FIXED_512</x:v>
      </x:c>
      <x:c r="E4285" s="19" t="str">
        <x:v>查询</x:v>
      </x:c>
      <x:c r="F4285" s="19" t="str">
        <x:v>5120</x:v>
      </x:c>
      <x:c r="G4285" s="19" t="str">
        <x:v>速度/计算</x:v>
      </x:c>
      <x:c r="H4285" s="19" t="str">
        <x:v>D:/Codex/GRL研究/outputs/grid86/GRID86_report.md</x:v>
      </x:c>
    </x:row>
    <x:row r="4286" ht="36" customHeight="1">
      <x:c r="A4286" s="19" t="str">
        <x:v>GRID86</x:v>
      </x:c>
      <x:c r="B4286" s="19" t="str">
        <x:v>GRID86_report.md</x:v>
      </x:c>
      <x:c r="C4286" s="19" t="str">
        <x:v>3. 逐日期成本、查询、时间与延迟</x:v>
      </x:c>
      <x:c r="D4286" s="19" t="str">
        <x:v>日期=2036-07-07_9；方法=FIXED_512</x:v>
      </x:c>
      <x:c r="E4286" s="19" t="str">
        <x:v>控制秒均值[最小,最大]</x:v>
      </x:c>
      <x:c r="F4286" s="19" t="str">
        <x:v>50.437[50.247,50.628]</x:v>
      </x:c>
      <x:c r="G4286" s="19" t="str">
        <x:v>速度/计算</x:v>
      </x:c>
      <x:c r="H4286" s="19" t="str">
        <x:v>D:/Codex/GRL研究/outputs/grid86/GRID86_report.md</x:v>
      </x:c>
    </x:row>
    <x:row r="4287" ht="36" customHeight="1">
      <x:c r="A4287" s="19" t="str">
        <x:v>GRID86</x:v>
      </x:c>
      <x:c r="B4287" s="19" t="str">
        <x:v>GRID86_report.md</x:v>
      </x:c>
      <x:c r="C4287" s="19" t="str">
        <x:v>3. 逐日期成本、查询、时间与延迟</x:v>
      </x:c>
      <x:c r="D4287" s="19" t="str">
        <x:v>日期=2036-07-07_9；方法=FIXED_512</x:v>
      </x:c>
      <x:c r="E4287" s="19" t="str">
        <x:v>P95秒</x:v>
      </x:c>
      <x:c r="F4287" s="19" t="str">
        <x:v>0.0311</x:v>
      </x:c>
      <x:c r="G4287" s="19" t="str">
        <x:v>速度/计算</x:v>
      </x:c>
      <x:c r="H4287" s="19" t="str">
        <x:v>D:/Codex/GRL研究/outputs/grid86/GRID86_report.md</x:v>
      </x:c>
    </x:row>
    <x:row r="4288" ht="36" customHeight="1">
      <x:c r="A4288" s="19" t="str">
        <x:v>GRID86</x:v>
      </x:c>
      <x:c r="B4288" s="19" t="str">
        <x:v>GRID86_report.md</x:v>
      </x:c>
      <x:c r="C4288" s="19" t="str">
        <x:v>3. 逐日期成本、查询、时间与延迟</x:v>
      </x:c>
      <x:c r="D4288" s="19" t="str">
        <x:v>日期=2036-09-01_9；方法=FRAME_GUARD</x:v>
      </x:c>
      <x:c r="E4288" s="19" t="str">
        <x:v>方法</x:v>
      </x:c>
      <x:c r="F4288" s="19" t="str">
        <x:v>FRAME_GUARD</x:v>
      </x:c>
      <x:c r="G4288" s="19" t="str">
        <x:v>其他/配置</x:v>
      </x:c>
      <x:c r="H4288" s="19" t="str">
        <x:v>D:/Codex/GRL研究/outputs/grid86/GRID86_report.md</x:v>
      </x:c>
    </x:row>
    <x:row r="4289" ht="36" customHeight="1">
      <x:c r="A4289" s="19" t="str">
        <x:v>GRID86</x:v>
      </x:c>
      <x:c r="B4289" s="19" t="str">
        <x:v>GRID86_report.md</x:v>
      </x:c>
      <x:c r="C4289" s="19" t="str">
        <x:v>3. 逐日期成本、查询、时间与延迟</x:v>
      </x:c>
      <x:c r="D4289" s="19" t="str">
        <x:v>日期=2036-09-01_9；方法=FRAME_GUARD</x:v>
      </x:c>
      <x:c r="E4289" s="19" t="str">
        <x:v>完成/步数</x:v>
      </x:c>
      <x:c r="F4289" s="19" t="str">
        <x:v>True/2017</x:v>
      </x:c>
      <x:c r="G4289" s="19" t="str">
        <x:v>质量/成本</x:v>
      </x:c>
      <x:c r="H4289" s="19" t="str">
        <x:v>D:/Codex/GRL研究/outputs/grid86/GRID86_report.md</x:v>
      </x:c>
    </x:row>
    <x:row r="4290" ht="36" customHeight="1">
      <x:c r="A4290" s="19" t="str">
        <x:v>GRID86</x:v>
      </x:c>
      <x:c r="B4290" s="19" t="str">
        <x:v>GRID86_report.md</x:v>
      </x:c>
      <x:c r="C4290" s="19" t="str">
        <x:v>3. 逐日期成本、查询、时间与延迟</x:v>
      </x:c>
      <x:c r="D4290" s="19" t="str">
        <x:v>日期=2036-09-01_9；方法=FRAME_GUARD</x:v>
      </x:c>
      <x:c r="E4290" s="19" t="str">
        <x:v>完整周成本相对FULL</x:v>
      </x:c>
      <x:c r="F4290" s="19" t="str">
        <x:v>-0.0234%</x:v>
      </x:c>
      <x:c r="G4290" s="19" t="str">
        <x:v>质量/成本</x:v>
      </x:c>
      <x:c r="H4290" s="19" t="str">
        <x:v>D:/Codex/GRL研究/outputs/grid86/GRID86_report.md</x:v>
      </x:c>
    </x:row>
    <x:row r="4291" ht="36" customHeight="1">
      <x:c r="A4291" s="19" t="str">
        <x:v>GRID86</x:v>
      </x:c>
      <x:c r="B4291" s="19" t="str">
        <x:v>GRID86_report.md</x:v>
      </x:c>
      <x:c r="C4291" s="19" t="str">
        <x:v>3. 逐日期成本、查询、时间与延迟</x:v>
      </x:c>
      <x:c r="D4291" s="19" t="str">
        <x:v>日期=2036-09-01_9；方法=FRAME_GUARD</x:v>
      </x:c>
      <x:c r="E4291" s="19" t="str">
        <x:v>质量通过</x:v>
      </x:c>
      <x:c r="F4291" s="19" t="str">
        <x:v>True</x:v>
      </x:c>
      <x:c r="G4291" s="19" t="str">
        <x:v>质量/成本</x:v>
      </x:c>
      <x:c r="H4291" s="19" t="str">
        <x:v>D:/Codex/GRL研究/outputs/grid86/GRID86_report.md</x:v>
      </x:c>
    </x:row>
    <x:row r="4292" ht="36" customHeight="1">
      <x:c r="A4292" s="19" t="str">
        <x:v>GRID86</x:v>
      </x:c>
      <x:c r="B4292" s="19" t="str">
        <x:v>GRID86_report.md</x:v>
      </x:c>
      <x:c r="C4292" s="19" t="str">
        <x:v>3. 逐日期成本、查询、时间与延迟</x:v>
      </x:c>
      <x:c r="D4292" s="19" t="str">
        <x:v>日期=2036-09-01_9；方法=FRAME_GUARD</x:v>
      </x:c>
      <x:c r="E4292" s="19" t="str">
        <x:v>查询</x:v>
      </x:c>
      <x:c r="F4292" s="19" t="str">
        <x:v>1061</x:v>
      </x:c>
      <x:c r="G4292" s="19" t="str">
        <x:v>速度/计算</x:v>
      </x:c>
      <x:c r="H4292" s="19" t="str">
        <x:v>D:/Codex/GRL研究/outputs/grid86/GRID86_report.md</x:v>
      </x:c>
    </x:row>
    <x:row r="4293" ht="36" customHeight="1">
      <x:c r="A4293" s="19" t="str">
        <x:v>GRID86</x:v>
      </x:c>
      <x:c r="B4293" s="19" t="str">
        <x:v>GRID86_report.md</x:v>
      </x:c>
      <x:c r="C4293" s="19" t="str">
        <x:v>3. 逐日期成本、查询、时间与延迟</x:v>
      </x:c>
      <x:c r="D4293" s="19" t="str">
        <x:v>日期=2036-09-01_9；方法=FRAME_GUARD</x:v>
      </x:c>
      <x:c r="E4293" s="19" t="str">
        <x:v>控制秒均值[最小,最大]</x:v>
      </x:c>
      <x:c r="F4293" s="19" t="str">
        <x:v>38.133[37.882,38.383]</x:v>
      </x:c>
      <x:c r="G4293" s="19" t="str">
        <x:v>速度/计算</x:v>
      </x:c>
      <x:c r="H4293" s="19" t="str">
        <x:v>D:/Codex/GRL研究/outputs/grid86/GRID86_report.md</x:v>
      </x:c>
    </x:row>
    <x:row r="4294" ht="36" customHeight="1">
      <x:c r="A4294" s="19" t="str">
        <x:v>GRID86</x:v>
      </x:c>
      <x:c r="B4294" s="19" t="str">
        <x:v>GRID86_report.md</x:v>
      </x:c>
      <x:c r="C4294" s="19" t="str">
        <x:v>3. 逐日期成本、查询、时间与延迟</x:v>
      </x:c>
      <x:c r="D4294" s="19" t="str">
        <x:v>日期=2036-09-01_9；方法=FRAME_GUARD</x:v>
      </x:c>
      <x:c r="E4294" s="19" t="str">
        <x:v>P95秒</x:v>
      </x:c>
      <x:c r="F4294" s="19" t="str">
        <x:v>0.0282</x:v>
      </x:c>
      <x:c r="G4294" s="19" t="str">
        <x:v>速度/计算</x:v>
      </x:c>
      <x:c r="H4294" s="19" t="str">
        <x:v>D:/Codex/GRL研究/outputs/grid86/GRID86_report.md</x:v>
      </x:c>
    </x:row>
    <x:row r="4295" ht="36" customHeight="1">
      <x:c r="A4295" s="19" t="str">
        <x:v>GRID86</x:v>
      </x:c>
      <x:c r="B4295" s="19" t="str">
        <x:v>GRID86_report.md</x:v>
      </x:c>
      <x:c r="C4295" s="19" t="str">
        <x:v>3. 逐日期成本、查询、时间与延迟</x:v>
      </x:c>
      <x:c r="D4295" s="19" t="str">
        <x:v>日期=2036-09-01_9；方法=FIXED_256</x:v>
      </x:c>
      <x:c r="E4295" s="19" t="str">
        <x:v>方法</x:v>
      </x:c>
      <x:c r="F4295" s="19" t="str">
        <x:v>FIXED_256</x:v>
      </x:c>
      <x:c r="G4295" s="19" t="str">
        <x:v>其他/配置</x:v>
      </x:c>
      <x:c r="H4295" s="19" t="str">
        <x:v>D:/Codex/GRL研究/outputs/grid86/GRID86_report.md</x:v>
      </x:c>
    </x:row>
    <x:row r="4296" ht="36" customHeight="1">
      <x:c r="A4296" s="19" t="str">
        <x:v>GRID86</x:v>
      </x:c>
      <x:c r="B4296" s="19" t="str">
        <x:v>GRID86_report.md</x:v>
      </x:c>
      <x:c r="C4296" s="19" t="str">
        <x:v>3. 逐日期成本、查询、时间与延迟</x:v>
      </x:c>
      <x:c r="D4296" s="19" t="str">
        <x:v>日期=2036-09-01_9；方法=FIXED_256</x:v>
      </x:c>
      <x:c r="E4296" s="19" t="str">
        <x:v>完成/步数</x:v>
      </x:c>
      <x:c r="F4296" s="19" t="str">
        <x:v>True/2017</x:v>
      </x:c>
      <x:c r="G4296" s="19" t="str">
        <x:v>质量/成本</x:v>
      </x:c>
      <x:c r="H4296" s="19" t="str">
        <x:v>D:/Codex/GRL研究/outputs/grid86/GRID86_report.md</x:v>
      </x:c>
    </x:row>
    <x:row r="4297" ht="36" customHeight="1">
      <x:c r="A4297" s="19" t="str">
        <x:v>GRID86</x:v>
      </x:c>
      <x:c r="B4297" s="19" t="str">
        <x:v>GRID86_report.md</x:v>
      </x:c>
      <x:c r="C4297" s="19" t="str">
        <x:v>3. 逐日期成本、查询、时间与延迟</x:v>
      </x:c>
      <x:c r="D4297" s="19" t="str">
        <x:v>日期=2036-09-01_9；方法=FIXED_256</x:v>
      </x:c>
      <x:c r="E4297" s="19" t="str">
        <x:v>完整周成本相对FULL</x:v>
      </x:c>
      <x:c r="F4297" s="19" t="str">
        <x:v>-0.0302%</x:v>
      </x:c>
      <x:c r="G4297" s="19" t="str">
        <x:v>质量/成本</x:v>
      </x:c>
      <x:c r="H4297" s="19" t="str">
        <x:v>D:/Codex/GRL研究/outputs/grid86/GRID86_report.md</x:v>
      </x:c>
    </x:row>
    <x:row r="4298" ht="36" customHeight="1">
      <x:c r="A4298" s="19" t="str">
        <x:v>GRID86</x:v>
      </x:c>
      <x:c r="B4298" s="19" t="str">
        <x:v>GRID86_report.md</x:v>
      </x:c>
      <x:c r="C4298" s="19" t="str">
        <x:v>3. 逐日期成本、查询、时间与延迟</x:v>
      </x:c>
      <x:c r="D4298" s="19" t="str">
        <x:v>日期=2036-09-01_9；方法=FIXED_256</x:v>
      </x:c>
      <x:c r="E4298" s="19" t="str">
        <x:v>质量通过</x:v>
      </x:c>
      <x:c r="F4298" s="19" t="str">
        <x:v>True</x:v>
      </x:c>
      <x:c r="G4298" s="19" t="str">
        <x:v>质量/成本</x:v>
      </x:c>
      <x:c r="H4298" s="19" t="str">
        <x:v>D:/Codex/GRL研究/outputs/grid86/GRID86_report.md</x:v>
      </x:c>
    </x:row>
    <x:row r="4299" ht="36" customHeight="1">
      <x:c r="A4299" s="19" t="str">
        <x:v>GRID86</x:v>
      </x:c>
      <x:c r="B4299" s="19" t="str">
        <x:v>GRID86_report.md</x:v>
      </x:c>
      <x:c r="C4299" s="19" t="str">
        <x:v>3. 逐日期成本、查询、时间与延迟</x:v>
      </x:c>
      <x:c r="D4299" s="19" t="str">
        <x:v>日期=2036-09-01_9；方法=FIXED_256</x:v>
      </x:c>
      <x:c r="E4299" s="19" t="str">
        <x:v>查询</x:v>
      </x:c>
      <x:c r="F4299" s="19" t="str">
        <x:v>1024</x:v>
      </x:c>
      <x:c r="G4299" s="19" t="str">
        <x:v>速度/计算</x:v>
      </x:c>
      <x:c r="H4299" s="19" t="str">
        <x:v>D:/Codex/GRL研究/outputs/grid86/GRID86_report.md</x:v>
      </x:c>
    </x:row>
    <x:row r="4300" ht="36" customHeight="1">
      <x:c r="A4300" s="19" t="str">
        <x:v>GRID86</x:v>
      </x:c>
      <x:c r="B4300" s="19" t="str">
        <x:v>GRID86_report.md</x:v>
      </x:c>
      <x:c r="C4300" s="19" t="str">
        <x:v>3. 逐日期成本、查询、时间与延迟</x:v>
      </x:c>
      <x:c r="D4300" s="19" t="str">
        <x:v>日期=2036-09-01_9；方法=FIXED_256</x:v>
      </x:c>
      <x:c r="E4300" s="19" t="str">
        <x:v>控制秒均值[最小,最大]</x:v>
      </x:c>
      <x:c r="F4300" s="19" t="str">
        <x:v>38.606[38.295,38.916]</x:v>
      </x:c>
      <x:c r="G4300" s="19" t="str">
        <x:v>速度/计算</x:v>
      </x:c>
      <x:c r="H4300" s="19" t="str">
        <x:v>D:/Codex/GRL研究/outputs/grid86/GRID86_report.md</x:v>
      </x:c>
    </x:row>
    <x:row r="4301" ht="36" customHeight="1">
      <x:c r="A4301" s="19" t="str">
        <x:v>GRID86</x:v>
      </x:c>
      <x:c r="B4301" s="19" t="str">
        <x:v>GRID86_report.md</x:v>
      </x:c>
      <x:c r="C4301" s="19" t="str">
        <x:v>3. 逐日期成本、查询、时间与延迟</x:v>
      </x:c>
      <x:c r="D4301" s="19" t="str">
        <x:v>日期=2036-09-01_9；方法=FIXED_256</x:v>
      </x:c>
      <x:c r="E4301" s="19" t="str">
        <x:v>P95秒</x:v>
      </x:c>
      <x:c r="F4301" s="19" t="str">
        <x:v>0.0282</x:v>
      </x:c>
      <x:c r="G4301" s="19" t="str">
        <x:v>速度/计算</x:v>
      </x:c>
      <x:c r="H4301" s="19" t="str">
        <x:v>D:/Codex/GRL研究/outputs/grid86/GRID86_report.md</x:v>
      </x:c>
    </x:row>
    <x:row r="4302" ht="36" customHeight="1">
      <x:c r="A4302" s="19" t="str">
        <x:v>GRID86</x:v>
      </x:c>
      <x:c r="B4302" s="19" t="str">
        <x:v>GRID86_report.md</x:v>
      </x:c>
      <x:c r="C4302" s="19" t="str">
        <x:v>3. 逐日期成本、查询、时间与延迟</x:v>
      </x:c>
      <x:c r="D4302" s="19" t="str">
        <x:v>日期=2036-09-01_9；方法=FIXED_512</x:v>
      </x:c>
      <x:c r="E4302" s="19" t="str">
        <x:v>方法</x:v>
      </x:c>
      <x:c r="F4302" s="19" t="str">
        <x:v>FIXED_512</x:v>
      </x:c>
      <x:c r="G4302" s="19" t="str">
        <x:v>其他/配置</x:v>
      </x:c>
      <x:c r="H4302" s="19" t="str">
        <x:v>D:/Codex/GRL研究/outputs/grid86/GRID86_report.md</x:v>
      </x:c>
    </x:row>
    <x:row r="4303" ht="36" customHeight="1">
      <x:c r="A4303" s="19" t="str">
        <x:v>GRID86</x:v>
      </x:c>
      <x:c r="B4303" s="19" t="str">
        <x:v>GRID86_report.md</x:v>
      </x:c>
      <x:c r="C4303" s="19" t="str">
        <x:v>3. 逐日期成本、查询、时间与延迟</x:v>
      </x:c>
      <x:c r="D4303" s="19" t="str">
        <x:v>日期=2036-09-01_9；方法=FIXED_512</x:v>
      </x:c>
      <x:c r="E4303" s="19" t="str">
        <x:v>完成/步数</x:v>
      </x:c>
      <x:c r="F4303" s="19" t="str">
        <x:v>True/2017</x:v>
      </x:c>
      <x:c r="G4303" s="19" t="str">
        <x:v>质量/成本</x:v>
      </x:c>
      <x:c r="H4303" s="19" t="str">
        <x:v>D:/Codex/GRL研究/outputs/grid86/GRID86_report.md</x:v>
      </x:c>
    </x:row>
    <x:row r="4304" ht="36" customHeight="1">
      <x:c r="A4304" s="19" t="str">
        <x:v>GRID86</x:v>
      </x:c>
      <x:c r="B4304" s="19" t="str">
        <x:v>GRID86_report.md</x:v>
      </x:c>
      <x:c r="C4304" s="19" t="str">
        <x:v>3. 逐日期成本、查询、时间与延迟</x:v>
      </x:c>
      <x:c r="D4304" s="19" t="str">
        <x:v>日期=2036-09-01_9；方法=FIXED_512</x:v>
      </x:c>
      <x:c r="E4304" s="19" t="str">
        <x:v>完整周成本相对FULL</x:v>
      </x:c>
      <x:c r="F4304" s="19" t="str">
        <x:v>-0.0302%</x:v>
      </x:c>
      <x:c r="G4304" s="19" t="str">
        <x:v>质量/成本</x:v>
      </x:c>
      <x:c r="H4304" s="19" t="str">
        <x:v>D:/Codex/GRL研究/outputs/grid86/GRID86_report.md</x:v>
      </x:c>
    </x:row>
    <x:row r="4305" ht="36" customHeight="1">
      <x:c r="A4305" s="19" t="str">
        <x:v>GRID86</x:v>
      </x:c>
      <x:c r="B4305" s="19" t="str">
        <x:v>GRID86_report.md</x:v>
      </x:c>
      <x:c r="C4305" s="19" t="str">
        <x:v>3. 逐日期成本、查询、时间与延迟</x:v>
      </x:c>
      <x:c r="D4305" s="19" t="str">
        <x:v>日期=2036-09-01_9；方法=FIXED_512</x:v>
      </x:c>
      <x:c r="E4305" s="19" t="str">
        <x:v>质量通过</x:v>
      </x:c>
      <x:c r="F4305" s="19" t="str">
        <x:v>True</x:v>
      </x:c>
      <x:c r="G4305" s="19" t="str">
        <x:v>质量/成本</x:v>
      </x:c>
      <x:c r="H4305" s="19" t="str">
        <x:v>D:/Codex/GRL研究/outputs/grid86/GRID86_report.md</x:v>
      </x:c>
    </x:row>
    <x:row r="4306" ht="36" customHeight="1">
      <x:c r="A4306" s="19" t="str">
        <x:v>GRID86</x:v>
      </x:c>
      <x:c r="B4306" s="19" t="str">
        <x:v>GRID86_report.md</x:v>
      </x:c>
      <x:c r="C4306" s="19" t="str">
        <x:v>3. 逐日期成本、查询、时间与延迟</x:v>
      </x:c>
      <x:c r="D4306" s="19" t="str">
        <x:v>日期=2036-09-01_9；方法=FIXED_512</x:v>
      </x:c>
      <x:c r="E4306" s="19" t="str">
        <x:v>查询</x:v>
      </x:c>
      <x:c r="F4306" s="19" t="str">
        <x:v>2048</x:v>
      </x:c>
      <x:c r="G4306" s="19" t="str">
        <x:v>速度/计算</x:v>
      </x:c>
      <x:c r="H4306" s="19" t="str">
        <x:v>D:/Codex/GRL研究/outputs/grid86/GRID86_report.md</x:v>
      </x:c>
    </x:row>
    <x:row r="4307" ht="36" customHeight="1">
      <x:c r="A4307" s="19" t="str">
        <x:v>GRID86</x:v>
      </x:c>
      <x:c r="B4307" s="19" t="str">
        <x:v>GRID86_report.md</x:v>
      </x:c>
      <x:c r="C4307" s="19" t="str">
        <x:v>3. 逐日期成本、查询、时间与延迟</x:v>
      </x:c>
      <x:c r="D4307" s="19" t="str">
        <x:v>日期=2036-09-01_9；方法=FIXED_512</x:v>
      </x:c>
      <x:c r="E4307" s="19" t="str">
        <x:v>控制秒均值[最小,最大]</x:v>
      </x:c>
      <x:c r="F4307" s="19" t="str">
        <x:v>40.619[40.553,40.684]</x:v>
      </x:c>
      <x:c r="G4307" s="19" t="str">
        <x:v>速度/计算</x:v>
      </x:c>
      <x:c r="H4307" s="19" t="str">
        <x:v>D:/Codex/GRL研究/outputs/grid86/GRID86_report.md</x:v>
      </x:c>
    </x:row>
    <x:row r="4308" ht="36" customHeight="1">
      <x:c r="A4308" s="19" t="str">
        <x:v>GRID86</x:v>
      </x:c>
      <x:c r="B4308" s="19" t="str">
        <x:v>GRID86_report.md</x:v>
      </x:c>
      <x:c r="C4308" s="19" t="str">
        <x:v>3. 逐日期成本、查询、时间与延迟</x:v>
      </x:c>
      <x:c r="D4308" s="19" t="str">
        <x:v>日期=2036-09-01_9；方法=FIXED_512</x:v>
      </x:c>
      <x:c r="E4308" s="19" t="str">
        <x:v>P95秒</x:v>
      </x:c>
      <x:c r="F4308" s="19" t="str">
        <x:v>0.0282</x:v>
      </x:c>
      <x:c r="G4308" s="19" t="str">
        <x:v>速度/计算</x:v>
      </x:c>
      <x:c r="H4308" s="19" t="str">
        <x:v>D:/Codex/GRL研究/outputs/grid86/GRID86_report.md</x:v>
      </x:c>
    </x:row>
    <x:row r="4309" ht="36" customHeight="1">
      <x:c r="A4309" s="19" t="str">
        <x:v>GRID86</x:v>
      </x:c>
      <x:c r="B4309" s="19" t="str">
        <x:v>GRID86_report.md</x:v>
      </x:c>
      <x:c r="C4309" s="19" t="str">
        <x:v>3. 逐日期成本、查询、时间与延迟</x:v>
      </x:c>
      <x:c r="D4309" s="19" t="str">
        <x:v>日期=2036-11-03_9；方法=FRAME_GUARD</x:v>
      </x:c>
      <x:c r="E4309" s="19" t="str">
        <x:v>方法</x:v>
      </x:c>
      <x:c r="F4309" s="19" t="str">
        <x:v>FRAME_GUARD</x:v>
      </x:c>
      <x:c r="G4309" s="19" t="str">
        <x:v>其他/配置</x:v>
      </x:c>
      <x:c r="H4309" s="19" t="str">
        <x:v>D:/Codex/GRL研究/outputs/grid86/GRID86_report.md</x:v>
      </x:c>
    </x:row>
    <x:row r="4310" ht="36" customHeight="1">
      <x:c r="A4310" s="19" t="str">
        <x:v>GRID86</x:v>
      </x:c>
      <x:c r="B4310" s="19" t="str">
        <x:v>GRID86_report.md</x:v>
      </x:c>
      <x:c r="C4310" s="19" t="str">
        <x:v>3. 逐日期成本、查询、时间与延迟</x:v>
      </x:c>
      <x:c r="D4310" s="19" t="str">
        <x:v>日期=2036-11-03_9；方法=FRAME_GUARD</x:v>
      </x:c>
      <x:c r="E4310" s="19" t="str">
        <x:v>完成/步数</x:v>
      </x:c>
      <x:c r="F4310" s="19" t="str">
        <x:v>False/519</x:v>
      </x:c>
      <x:c r="G4310" s="19" t="str">
        <x:v>质量/成本</x:v>
      </x:c>
      <x:c r="H4310" s="19" t="str">
        <x:v>D:/Codex/GRL研究/outputs/grid86/GRID86_report.md</x:v>
      </x:c>
    </x:row>
    <x:row r="4311" ht="36" customHeight="1">
      <x:c r="A4311" s="19" t="str">
        <x:v>GRID86</x:v>
      </x:c>
      <x:c r="B4311" s="19" t="str">
        <x:v>GRID86_report.md</x:v>
      </x:c>
      <x:c r="C4311" s="19" t="str">
        <x:v>3. 逐日期成本、查询、时间与延迟</x:v>
      </x:c>
      <x:c r="D4311" s="19" t="str">
        <x:v>日期=2036-11-03_9；方法=FRAME_GUARD</x:v>
      </x:c>
      <x:c r="E4311" s="19" t="str">
        <x:v>完整周成本相对FULL</x:v>
      </x:c>
      <x:c r="F4311" s="19" t="str">
        <x:v>未双方完成</x:v>
      </x:c>
      <x:c r="G4311" s="19" t="str">
        <x:v>质量/成本</x:v>
      </x:c>
      <x:c r="H4311" s="19" t="str">
        <x:v>D:/Codex/GRL研究/outputs/grid86/GRID86_report.md</x:v>
      </x:c>
    </x:row>
    <x:row r="4312" ht="36" customHeight="1">
      <x:c r="A4312" s="19" t="str">
        <x:v>GRID86</x:v>
      </x:c>
      <x:c r="B4312" s="19" t="str">
        <x:v>GRID86_report.md</x:v>
      </x:c>
      <x:c r="C4312" s="19" t="str">
        <x:v>3. 逐日期成本、查询、时间与延迟</x:v>
      </x:c>
      <x:c r="D4312" s="19" t="str">
        <x:v>日期=2036-11-03_9；方法=FRAME_GUARD</x:v>
      </x:c>
      <x:c r="E4312" s="19" t="str">
        <x:v>质量通过</x:v>
      </x:c>
      <x:c r="F4312" s="19" t="str">
        <x:v>True</x:v>
      </x:c>
      <x:c r="G4312" s="19" t="str">
        <x:v>质量/成本</x:v>
      </x:c>
      <x:c r="H4312" s="19" t="str">
        <x:v>D:/Codex/GRL研究/outputs/grid86/GRID86_report.md</x:v>
      </x:c>
    </x:row>
    <x:row r="4313" ht="36" customHeight="1">
      <x:c r="A4313" s="19" t="str">
        <x:v>GRID86</x:v>
      </x:c>
      <x:c r="B4313" s="19" t="str">
        <x:v>GRID86_report.md</x:v>
      </x:c>
      <x:c r="C4313" s="19" t="str">
        <x:v>3. 逐日期成本、查询、时间与延迟</x:v>
      </x:c>
      <x:c r="D4313" s="19" t="str">
        <x:v>日期=2036-11-03_9；方法=FRAME_GUARD</x:v>
      </x:c>
      <x:c r="E4313" s="19" t="str">
        <x:v>查询</x:v>
      </x:c>
      <x:c r="F4313" s="19" t="str">
        <x:v>0</x:v>
      </x:c>
      <x:c r="G4313" s="19" t="str">
        <x:v>速度/计算</x:v>
      </x:c>
      <x:c r="H4313" s="19" t="str">
        <x:v>D:/Codex/GRL研究/outputs/grid86/GRID86_report.md</x:v>
      </x:c>
    </x:row>
    <x:row r="4314" ht="36" customHeight="1">
      <x:c r="A4314" s="19" t="str">
        <x:v>GRID86</x:v>
      </x:c>
      <x:c r="B4314" s="19" t="str">
        <x:v>GRID86_report.md</x:v>
      </x:c>
      <x:c r="C4314" s="19" t="str">
        <x:v>3. 逐日期成本、查询、时间与延迟</x:v>
      </x:c>
      <x:c r="D4314" s="19" t="str">
        <x:v>日期=2036-11-03_9；方法=FRAME_GUARD</x:v>
      </x:c>
      <x:c r="E4314" s="19" t="str">
        <x:v>控制秒均值[最小,最大]</x:v>
      </x:c>
      <x:c r="F4314" s="19" t="str">
        <x:v>14.657[14.474,14.840]</x:v>
      </x:c>
      <x:c r="G4314" s="19" t="str">
        <x:v>速度/计算</x:v>
      </x:c>
      <x:c r="H4314" s="19" t="str">
        <x:v>D:/Codex/GRL研究/outputs/grid86/GRID86_report.md</x:v>
      </x:c>
    </x:row>
    <x:row r="4315" ht="36" customHeight="1">
      <x:c r="A4315" s="19" t="str">
        <x:v>GRID86</x:v>
      </x:c>
      <x:c r="B4315" s="19" t="str">
        <x:v>GRID86_report.md</x:v>
      </x:c>
      <x:c r="C4315" s="19" t="str">
        <x:v>3. 逐日期成本、查询、时间与延迟</x:v>
      </x:c>
      <x:c r="D4315" s="19" t="str">
        <x:v>日期=2036-11-03_9；方法=FRAME_GUARD</x:v>
      </x:c>
      <x:c r="E4315" s="19" t="str">
        <x:v>P95秒</x:v>
      </x:c>
      <x:c r="F4315" s="19" t="str">
        <x:v>0.0289</x:v>
      </x:c>
      <x:c r="G4315" s="19" t="str">
        <x:v>速度/计算</x:v>
      </x:c>
      <x:c r="H4315" s="19" t="str">
        <x:v>D:/Codex/GRL研究/outputs/grid86/GRID86_report.md</x:v>
      </x:c>
    </x:row>
    <x:row r="4316" ht="36" customHeight="1">
      <x:c r="A4316" s="19" t="str">
        <x:v>GRID86</x:v>
      </x:c>
      <x:c r="B4316" s="19" t="str">
        <x:v>GRID86_report.md</x:v>
      </x:c>
      <x:c r="C4316" s="19" t="str">
        <x:v>3. 逐日期成本、查询、时间与延迟</x:v>
      </x:c>
      <x:c r="D4316" s="19" t="str">
        <x:v>日期=2036-11-03_9；方法=FIXED_256</x:v>
      </x:c>
      <x:c r="E4316" s="19" t="str">
        <x:v>方法</x:v>
      </x:c>
      <x:c r="F4316" s="19" t="str">
        <x:v>FIXED_256</x:v>
      </x:c>
      <x:c r="G4316" s="19" t="str">
        <x:v>其他/配置</x:v>
      </x:c>
      <x:c r="H4316" s="19" t="str">
        <x:v>D:/Codex/GRL研究/outputs/grid86/GRID86_report.md</x:v>
      </x:c>
    </x:row>
    <x:row r="4317" ht="36" customHeight="1">
      <x:c r="A4317" s="19" t="str">
        <x:v>GRID86</x:v>
      </x:c>
      <x:c r="B4317" s="19" t="str">
        <x:v>GRID86_report.md</x:v>
      </x:c>
      <x:c r="C4317" s="19" t="str">
        <x:v>3. 逐日期成本、查询、时间与延迟</x:v>
      </x:c>
      <x:c r="D4317" s="19" t="str">
        <x:v>日期=2036-11-03_9；方法=FIXED_256</x:v>
      </x:c>
      <x:c r="E4317" s="19" t="str">
        <x:v>完成/步数</x:v>
      </x:c>
      <x:c r="F4317" s="19" t="str">
        <x:v>False/519</x:v>
      </x:c>
      <x:c r="G4317" s="19" t="str">
        <x:v>质量/成本</x:v>
      </x:c>
      <x:c r="H4317" s="19" t="str">
        <x:v>D:/Codex/GRL研究/outputs/grid86/GRID86_report.md</x:v>
      </x:c>
    </x:row>
    <x:row r="4318" ht="36" customHeight="1">
      <x:c r="A4318" s="19" t="str">
        <x:v>GRID86</x:v>
      </x:c>
      <x:c r="B4318" s="19" t="str">
        <x:v>GRID86_report.md</x:v>
      </x:c>
      <x:c r="C4318" s="19" t="str">
        <x:v>3. 逐日期成本、查询、时间与延迟</x:v>
      </x:c>
      <x:c r="D4318" s="19" t="str">
        <x:v>日期=2036-11-03_9；方法=FIXED_256</x:v>
      </x:c>
      <x:c r="E4318" s="19" t="str">
        <x:v>完整周成本相对FULL</x:v>
      </x:c>
      <x:c r="F4318" s="19" t="str">
        <x:v>未双方完成</x:v>
      </x:c>
      <x:c r="G4318" s="19" t="str">
        <x:v>质量/成本</x:v>
      </x:c>
      <x:c r="H4318" s="19" t="str">
        <x:v>D:/Codex/GRL研究/outputs/grid86/GRID86_report.md</x:v>
      </x:c>
    </x:row>
    <x:row r="4319" ht="36" customHeight="1">
      <x:c r="A4319" s="19" t="str">
        <x:v>GRID86</x:v>
      </x:c>
      <x:c r="B4319" s="19" t="str">
        <x:v>GRID86_report.md</x:v>
      </x:c>
      <x:c r="C4319" s="19" t="str">
        <x:v>3. 逐日期成本、查询、时间与延迟</x:v>
      </x:c>
      <x:c r="D4319" s="19" t="str">
        <x:v>日期=2036-11-03_9；方法=FIXED_256</x:v>
      </x:c>
      <x:c r="E4319" s="19" t="str">
        <x:v>质量通过</x:v>
      </x:c>
      <x:c r="F4319" s="19" t="str">
        <x:v>True</x:v>
      </x:c>
      <x:c r="G4319" s="19" t="str">
        <x:v>质量/成本</x:v>
      </x:c>
      <x:c r="H4319" s="19" t="str">
        <x:v>D:/Codex/GRL研究/outputs/grid86/GRID86_report.md</x:v>
      </x:c>
    </x:row>
    <x:row r="4320" ht="36" customHeight="1">
      <x:c r="A4320" s="19" t="str">
        <x:v>GRID86</x:v>
      </x:c>
      <x:c r="B4320" s="19" t="str">
        <x:v>GRID86_report.md</x:v>
      </x:c>
      <x:c r="C4320" s="19" t="str">
        <x:v>3. 逐日期成本、查询、时间与延迟</x:v>
      </x:c>
      <x:c r="D4320" s="19" t="str">
        <x:v>日期=2036-11-03_9；方法=FIXED_256</x:v>
      </x:c>
      <x:c r="E4320" s="19" t="str">
        <x:v>查询</x:v>
      </x:c>
      <x:c r="F4320" s="19" t="str">
        <x:v>0</x:v>
      </x:c>
      <x:c r="G4320" s="19" t="str">
        <x:v>速度/计算</x:v>
      </x:c>
      <x:c r="H4320" s="19" t="str">
        <x:v>D:/Codex/GRL研究/outputs/grid86/GRID86_report.md</x:v>
      </x:c>
    </x:row>
    <x:row r="4321" ht="36" customHeight="1">
      <x:c r="A4321" s="19" t="str">
        <x:v>GRID86</x:v>
      </x:c>
      <x:c r="B4321" s="19" t="str">
        <x:v>GRID86_report.md</x:v>
      </x:c>
      <x:c r="C4321" s="19" t="str">
        <x:v>3. 逐日期成本、查询、时间与延迟</x:v>
      </x:c>
      <x:c r="D4321" s="19" t="str">
        <x:v>日期=2036-11-03_9；方法=FIXED_256</x:v>
      </x:c>
      <x:c r="E4321" s="19" t="str">
        <x:v>控制秒均值[最小,最大]</x:v>
      </x:c>
      <x:c r="F4321" s="19" t="str">
        <x:v>14.723[14.636,14.810]</x:v>
      </x:c>
      <x:c r="G4321" s="19" t="str">
        <x:v>速度/计算</x:v>
      </x:c>
      <x:c r="H4321" s="19" t="str">
        <x:v>D:/Codex/GRL研究/outputs/grid86/GRID86_report.md</x:v>
      </x:c>
    </x:row>
    <x:row r="4322" ht="36" customHeight="1">
      <x:c r="A4322" s="19" t="str">
        <x:v>GRID86</x:v>
      </x:c>
      <x:c r="B4322" s="19" t="str">
        <x:v>GRID86_report.md</x:v>
      </x:c>
      <x:c r="C4322" s="19" t="str">
        <x:v>3. 逐日期成本、查询、时间与延迟</x:v>
      </x:c>
      <x:c r="D4322" s="19" t="str">
        <x:v>日期=2036-11-03_9；方法=FIXED_256</x:v>
      </x:c>
      <x:c r="E4322" s="19" t="str">
        <x:v>P95秒</x:v>
      </x:c>
      <x:c r="F4322" s="19" t="str">
        <x:v>0.0285</x:v>
      </x:c>
      <x:c r="G4322" s="19" t="str">
        <x:v>速度/计算</x:v>
      </x:c>
      <x:c r="H4322" s="19" t="str">
        <x:v>D:/Codex/GRL研究/outputs/grid86/GRID86_report.md</x:v>
      </x:c>
    </x:row>
    <x:row r="4323" ht="36" customHeight="1">
      <x:c r="A4323" s="19" t="str">
        <x:v>GRID86</x:v>
      </x:c>
      <x:c r="B4323" s="19" t="str">
        <x:v>GRID86_report.md</x:v>
      </x:c>
      <x:c r="C4323" s="19" t="str">
        <x:v>3. 逐日期成本、查询、时间与延迟</x:v>
      </x:c>
      <x:c r="D4323" s="19" t="str">
        <x:v>日期=2036-11-03_9；方法=FIXED_512</x:v>
      </x:c>
      <x:c r="E4323" s="19" t="str">
        <x:v>方法</x:v>
      </x:c>
      <x:c r="F4323" s="19" t="str">
        <x:v>FIXED_512</x:v>
      </x:c>
      <x:c r="G4323" s="19" t="str">
        <x:v>其他/配置</x:v>
      </x:c>
      <x:c r="H4323" s="19" t="str">
        <x:v>D:/Codex/GRL研究/outputs/grid86/GRID86_report.md</x:v>
      </x:c>
    </x:row>
    <x:row r="4324" ht="36" customHeight="1">
      <x:c r="A4324" s="19" t="str">
        <x:v>GRID86</x:v>
      </x:c>
      <x:c r="B4324" s="19" t="str">
        <x:v>GRID86_report.md</x:v>
      </x:c>
      <x:c r="C4324" s="19" t="str">
        <x:v>3. 逐日期成本、查询、时间与延迟</x:v>
      </x:c>
      <x:c r="D4324" s="19" t="str">
        <x:v>日期=2036-11-03_9；方法=FIXED_512</x:v>
      </x:c>
      <x:c r="E4324" s="19" t="str">
        <x:v>完成/步数</x:v>
      </x:c>
      <x:c r="F4324" s="19" t="str">
        <x:v>False/519</x:v>
      </x:c>
      <x:c r="G4324" s="19" t="str">
        <x:v>质量/成本</x:v>
      </x:c>
      <x:c r="H4324" s="19" t="str">
        <x:v>D:/Codex/GRL研究/outputs/grid86/GRID86_report.md</x:v>
      </x:c>
    </x:row>
    <x:row r="4325" ht="36" customHeight="1">
      <x:c r="A4325" s="19" t="str">
        <x:v>GRID86</x:v>
      </x:c>
      <x:c r="B4325" s="19" t="str">
        <x:v>GRID86_report.md</x:v>
      </x:c>
      <x:c r="C4325" s="19" t="str">
        <x:v>3. 逐日期成本、查询、时间与延迟</x:v>
      </x:c>
      <x:c r="D4325" s="19" t="str">
        <x:v>日期=2036-11-03_9；方法=FIXED_512</x:v>
      </x:c>
      <x:c r="E4325" s="19" t="str">
        <x:v>完整周成本相对FULL</x:v>
      </x:c>
      <x:c r="F4325" s="19" t="str">
        <x:v>未双方完成</x:v>
      </x:c>
      <x:c r="G4325" s="19" t="str">
        <x:v>质量/成本</x:v>
      </x:c>
      <x:c r="H4325" s="19" t="str">
        <x:v>D:/Codex/GRL研究/outputs/grid86/GRID86_report.md</x:v>
      </x:c>
    </x:row>
    <x:row r="4326" ht="36" customHeight="1">
      <x:c r="A4326" s="19" t="str">
        <x:v>GRID86</x:v>
      </x:c>
      <x:c r="B4326" s="19" t="str">
        <x:v>GRID86_report.md</x:v>
      </x:c>
      <x:c r="C4326" s="19" t="str">
        <x:v>3. 逐日期成本、查询、时间与延迟</x:v>
      </x:c>
      <x:c r="D4326" s="19" t="str">
        <x:v>日期=2036-11-03_9；方法=FIXED_512</x:v>
      </x:c>
      <x:c r="E4326" s="19" t="str">
        <x:v>质量通过</x:v>
      </x:c>
      <x:c r="F4326" s="19" t="str">
        <x:v>True</x:v>
      </x:c>
      <x:c r="G4326" s="19" t="str">
        <x:v>质量/成本</x:v>
      </x:c>
      <x:c r="H4326" s="19" t="str">
        <x:v>D:/Codex/GRL研究/outputs/grid86/GRID86_report.md</x:v>
      </x:c>
    </x:row>
    <x:row r="4327" ht="36" customHeight="1">
      <x:c r="A4327" s="19" t="str">
        <x:v>GRID86</x:v>
      </x:c>
      <x:c r="B4327" s="19" t="str">
        <x:v>GRID86_report.md</x:v>
      </x:c>
      <x:c r="C4327" s="19" t="str">
        <x:v>3. 逐日期成本、查询、时间与延迟</x:v>
      </x:c>
      <x:c r="D4327" s="19" t="str">
        <x:v>日期=2036-11-03_9；方法=FIXED_512</x:v>
      </x:c>
      <x:c r="E4327" s="19" t="str">
        <x:v>查询</x:v>
      </x:c>
      <x:c r="F4327" s="19" t="str">
        <x:v>0</x:v>
      </x:c>
      <x:c r="G4327" s="19" t="str">
        <x:v>速度/计算</x:v>
      </x:c>
      <x:c r="H4327" s="19" t="str">
        <x:v>D:/Codex/GRL研究/outputs/grid86/GRID86_report.md</x:v>
      </x:c>
    </x:row>
    <x:row r="4328" ht="36" customHeight="1">
      <x:c r="A4328" s="19" t="str">
        <x:v>GRID86</x:v>
      </x:c>
      <x:c r="B4328" s="19" t="str">
        <x:v>GRID86_report.md</x:v>
      </x:c>
      <x:c r="C4328" s="19" t="str">
        <x:v>3. 逐日期成本、查询、时间与延迟</x:v>
      </x:c>
      <x:c r="D4328" s="19" t="str">
        <x:v>日期=2036-11-03_9；方法=FIXED_512</x:v>
      </x:c>
      <x:c r="E4328" s="19" t="str">
        <x:v>控制秒均值[最小,最大]</x:v>
      </x:c>
      <x:c r="F4328" s="19" t="str">
        <x:v>14.642[14.458,14.826]</x:v>
      </x:c>
      <x:c r="G4328" s="19" t="str">
        <x:v>速度/计算</x:v>
      </x:c>
      <x:c r="H4328" s="19" t="str">
        <x:v>D:/Codex/GRL研究/outputs/grid86/GRID86_report.md</x:v>
      </x:c>
    </x:row>
    <x:row r="4329" ht="36" customHeight="1">
      <x:c r="A4329" s="19" t="str">
        <x:v>GRID86</x:v>
      </x:c>
      <x:c r="B4329" s="19" t="str">
        <x:v>GRID86_report.md</x:v>
      </x:c>
      <x:c r="C4329" s="19" t="str">
        <x:v>3. 逐日期成本、查询、时间与延迟</x:v>
      </x:c>
      <x:c r="D4329" s="19" t="str">
        <x:v>日期=2036-11-03_9；方法=FIXED_512</x:v>
      </x:c>
      <x:c r="E4329" s="19" t="str">
        <x:v>P95秒</x:v>
      </x:c>
      <x:c r="F4329" s="19" t="str">
        <x:v>0.0284</x:v>
      </x:c>
      <x:c r="G4329" s="19" t="str">
        <x:v>速度/计算</x:v>
      </x:c>
      <x:c r="H4329" s="19" t="str">
        <x:v>D:/Codex/GRL研究/outputs/grid86/GRID86_report.md</x:v>
      </x:c>
    </x:row>
    <x:row r="4330" ht="36" customHeight="1">
      <x:c r="A4330" s="19" t="str">
        <x:v>GRID86</x:v>
      </x:c>
      <x:c r="B4330" s="19" t="str">
        <x:v>GRID86_report.md</x:v>
      </x:c>
      <x:c r="C4330" s="19" t="str">
        <x:v>4. 查询使用与计算组成</x:v>
      </x:c>
      <x:c r="D4330" s="19" t="str">
        <x:v>方法=FRAME_GUARD；预测秒/日期=12.201</x:v>
      </x:c>
      <x:c r="E4330" s="19" t="str">
        <x:v>预测秒/日期</x:v>
      </x:c>
      <x:c r="F4330" s="19" t="str">
        <x:v>12.201</x:v>
      </x:c>
      <x:c r="G4330" s="19" t="str">
        <x:v>速度/计算</x:v>
      </x:c>
      <x:c r="H4330" s="19" t="str">
        <x:v>D:/Codex/GRL研究/outputs/grid86/GRID86_report.md</x:v>
      </x:c>
    </x:row>
    <x:row r="4331" ht="36" customHeight="1">
      <x:c r="A4331" s="19" t="str">
        <x:v>GRID86</x:v>
      </x:c>
      <x:c r="B4331" s="19" t="str">
        <x:v>GRID86_report.md</x:v>
      </x:c>
      <x:c r="C4331" s="19" t="str">
        <x:v>4. 查询使用与计算组成</x:v>
      </x:c>
      <x:c r="D4331" s="19" t="str">
        <x:v>方法=FRAME_GUARD；预测秒/日期=12.201</x:v>
      </x:c>
      <x:c r="E4331" s="19" t="str">
        <x:v>搜索非预测秒/日期</x:v>
      </x:c>
      <x:c r="F4331" s="19" t="str">
        <x:v>0.517</x:v>
      </x:c>
      <x:c r="G4331" s="19" t="str">
        <x:v>速度/计算</x:v>
      </x:c>
      <x:c r="H4331" s="19" t="str">
        <x:v>D:/Codex/GRL研究/outputs/grid86/GRID86_report.md</x:v>
      </x:c>
    </x:row>
    <x:row r="4332" ht="36" customHeight="1">
      <x:c r="A4332" s="19" t="str">
        <x:v>GRID86</x:v>
      </x:c>
      <x:c r="B4332" s="19" t="str">
        <x:v>GRID86_report.md</x:v>
      </x:c>
      <x:c r="C4332" s="19" t="str">
        <x:v>4. 查询使用与计算组成</x:v>
      </x:c>
      <x:c r="D4332" s="19" t="str">
        <x:v>方法=FRAME_GUARD；预测秒/日期=12.201</x:v>
      </x:c>
      <x:c r="E4332" s="19" t="str">
        <x:v>优化秒/日期</x:v>
      </x:c>
      <x:c r="F4332" s="19" t="str">
        <x:v>30.754</x:v>
      </x:c>
      <x:c r="G4332" s="19" t="str">
        <x:v>速度/计算</x:v>
      </x:c>
      <x:c r="H4332" s="19" t="str">
        <x:v>D:/Codex/GRL研究/outputs/grid86/GRID86_report.md</x:v>
      </x:c>
    </x:row>
    <x:row r="4333" ht="36" customHeight="1">
      <x:c r="A4333" s="19" t="str">
        <x:v>GRID86</x:v>
      </x:c>
      <x:c r="B4333" s="19" t="str">
        <x:v>GRID86_report.md</x:v>
      </x:c>
      <x:c r="C4333" s="19" t="str">
        <x:v>4. 查询使用与计算组成</x:v>
      </x:c>
      <x:c r="D4333" s="19" t="str">
        <x:v>方法=FRAME_GUARD；预测秒/日期=12.201</x:v>
      </x:c>
      <x:c r="E4333" s="19" t="str">
        <x:v>其余控制秒/日期</x:v>
      </x:c>
      <x:c r="F4333" s="19" t="str">
        <x:v>3.708</x:v>
      </x:c>
      <x:c r="G4333" s="19" t="str">
        <x:v>速度/计算</x:v>
      </x:c>
      <x:c r="H4333" s="19" t="str">
        <x:v>D:/Codex/GRL研究/outputs/grid86/GRID86_report.md</x:v>
      </x:c>
    </x:row>
    <x:row r="4334" ht="36" customHeight="1">
      <x:c r="A4334" s="19" t="str">
        <x:v>GRID86</x:v>
      </x:c>
      <x:c r="B4334" s="19" t="str">
        <x:v>GRID86_report.md</x:v>
      </x:c>
      <x:c r="C4334" s="19" t="str">
        <x:v>4. 查询使用与计算组成</x:v>
      </x:c>
      <x:c r="D4334" s="19" t="str">
        <x:v>方法=FIXED_256；预测秒/日期=10.613</x:v>
      </x:c>
      <x:c r="E4334" s="19" t="str">
        <x:v>预测秒/日期</x:v>
      </x:c>
      <x:c r="F4334" s="19" t="str">
        <x:v>10.613</x:v>
      </x:c>
      <x:c r="G4334" s="19" t="str">
        <x:v>速度/计算</x:v>
      </x:c>
      <x:c r="H4334" s="19" t="str">
        <x:v>D:/Codex/GRL研究/outputs/grid86/GRID86_report.md</x:v>
      </x:c>
    </x:row>
    <x:row r="4335" ht="36" customHeight="1">
      <x:c r="A4335" s="19" t="str">
        <x:v>GRID86</x:v>
      </x:c>
      <x:c r="B4335" s="19" t="str">
        <x:v>GRID86_report.md</x:v>
      </x:c>
      <x:c r="C4335" s="19" t="str">
        <x:v>4. 查询使用与计算组成</x:v>
      </x:c>
      <x:c r="D4335" s="19" t="str">
        <x:v>方法=FIXED_256；预测秒/日期=10.613</x:v>
      </x:c>
      <x:c r="E4335" s="19" t="str">
        <x:v>搜索非预测秒/日期</x:v>
      </x:c>
      <x:c r="F4335" s="19" t="str">
        <x:v>0.550</x:v>
      </x:c>
      <x:c r="G4335" s="19" t="str">
        <x:v>速度/计算</x:v>
      </x:c>
      <x:c r="H4335" s="19" t="str">
        <x:v>D:/Codex/GRL研究/outputs/grid86/GRID86_report.md</x:v>
      </x:c>
    </x:row>
    <x:row r="4336" ht="36" customHeight="1">
      <x:c r="A4336" s="19" t="str">
        <x:v>GRID86</x:v>
      </x:c>
      <x:c r="B4336" s="19" t="str">
        <x:v>GRID86_report.md</x:v>
      </x:c>
      <x:c r="C4336" s="19" t="str">
        <x:v>4. 查询使用与计算组成</x:v>
      </x:c>
      <x:c r="D4336" s="19" t="str">
        <x:v>方法=FIXED_256；预测秒/日期=10.613</x:v>
      </x:c>
      <x:c r="E4336" s="19" t="str">
        <x:v>优化秒/日期</x:v>
      </x:c>
      <x:c r="F4336" s="19" t="str">
        <x:v>31.008</x:v>
      </x:c>
      <x:c r="G4336" s="19" t="str">
        <x:v>速度/计算</x:v>
      </x:c>
      <x:c r="H4336" s="19" t="str">
        <x:v>D:/Codex/GRL研究/outputs/grid86/GRID86_report.md</x:v>
      </x:c>
    </x:row>
    <x:row r="4337" ht="36" customHeight="1">
      <x:c r="A4337" s="19" t="str">
        <x:v>GRID86</x:v>
      </x:c>
      <x:c r="B4337" s="19" t="str">
        <x:v>GRID86_report.md</x:v>
      </x:c>
      <x:c r="C4337" s="19" t="str">
        <x:v>4. 查询使用与计算组成</x:v>
      </x:c>
      <x:c r="D4337" s="19" t="str">
        <x:v>方法=FIXED_256；预测秒/日期=10.613</x:v>
      </x:c>
      <x:c r="E4337" s="19" t="str">
        <x:v>其余控制秒/日期</x:v>
      </x:c>
      <x:c r="F4337" s="19" t="str">
        <x:v>3.654</x:v>
      </x:c>
      <x:c r="G4337" s="19" t="str">
        <x:v>速度/计算</x:v>
      </x:c>
      <x:c r="H4337" s="19" t="str">
        <x:v>D:/Codex/GRL研究/outputs/grid86/GRID86_report.md</x:v>
      </x:c>
    </x:row>
    <x:row r="4338" ht="36" customHeight="1">
      <x:c r="A4338" s="19" t="str">
        <x:v>GRID86</x:v>
      </x:c>
      <x:c r="B4338" s="19" t="str">
        <x:v>GRID86_report.md</x:v>
      </x:c>
      <x:c r="C4338" s="19" t="str">
        <x:v>4. 查询使用与计算组成</x:v>
      </x:c>
      <x:c r="D4338" s="19" t="str">
        <x:v>方法=FIXED_512；预测秒/日期=14.485</x:v>
      </x:c>
      <x:c r="E4338" s="19" t="str">
        <x:v>预测秒/日期</x:v>
      </x:c>
      <x:c r="F4338" s="19" t="str">
        <x:v>14.485</x:v>
      </x:c>
      <x:c r="G4338" s="19" t="str">
        <x:v>速度/计算</x:v>
      </x:c>
      <x:c r="H4338" s="19" t="str">
        <x:v>D:/Codex/GRL研究/outputs/grid86/GRID86_report.md</x:v>
      </x:c>
    </x:row>
    <x:row r="4339" ht="36" customHeight="1">
      <x:c r="A4339" s="19" t="str">
        <x:v>GRID86</x:v>
      </x:c>
      <x:c r="B4339" s="19" t="str">
        <x:v>GRID86_report.md</x:v>
      </x:c>
      <x:c r="C4339" s="19" t="str">
        <x:v>4. 查询使用与计算组成</x:v>
      </x:c>
      <x:c r="D4339" s="19" t="str">
        <x:v>方法=FIXED_512；预测秒/日期=14.485</x:v>
      </x:c>
      <x:c r="E4339" s="19" t="str">
        <x:v>搜索非预测秒/日期</x:v>
      </x:c>
      <x:c r="F4339" s="19" t="str">
        <x:v>0.546</x:v>
      </x:c>
      <x:c r="G4339" s="19" t="str">
        <x:v>速度/计算</x:v>
      </x:c>
      <x:c r="H4339" s="19" t="str">
        <x:v>D:/Codex/GRL研究/outputs/grid86/GRID86_report.md</x:v>
      </x:c>
    </x:row>
    <x:row r="4340" ht="36" customHeight="1">
      <x:c r="A4340" s="19" t="str">
        <x:v>GRID86</x:v>
      </x:c>
      <x:c r="B4340" s="19" t="str">
        <x:v>GRID86_report.md</x:v>
      </x:c>
      <x:c r="C4340" s="19" t="str">
        <x:v>4. 查询使用与计算组成</x:v>
      </x:c>
      <x:c r="D4340" s="19" t="str">
        <x:v>方法=FIXED_512；预测秒/日期=14.485</x:v>
      </x:c>
      <x:c r="E4340" s="19" t="str">
        <x:v>优化秒/日期</x:v>
      </x:c>
      <x:c r="F4340" s="19" t="str">
        <x:v>31.769</x:v>
      </x:c>
      <x:c r="G4340" s="19" t="str">
        <x:v>速度/计算</x:v>
      </x:c>
      <x:c r="H4340" s="19" t="str">
        <x:v>D:/Codex/GRL研究/outputs/grid86/GRID86_report.md</x:v>
      </x:c>
    </x:row>
    <x:row r="4341" ht="36" customHeight="1">
      <x:c r="A4341" s="19" t="str">
        <x:v>GRID86</x:v>
      </x:c>
      <x:c r="B4341" s="19" t="str">
        <x:v>GRID86_report.md</x:v>
      </x:c>
      <x:c r="C4341" s="19" t="str">
        <x:v>4. 查询使用与计算组成</x:v>
      </x:c>
      <x:c r="D4341" s="19" t="str">
        <x:v>方法=FIXED_512；预测秒/日期=14.485</x:v>
      </x:c>
      <x:c r="E4341" s="19" t="str">
        <x:v>其余控制秒/日期</x:v>
      </x:c>
      <x:c r="F4341" s="19" t="str">
        <x:v>3.810</x:v>
      </x:c>
      <x:c r="G4341" s="19" t="str">
        <x:v>速度/计算</x:v>
      </x:c>
      <x:c r="H4341" s="19" t="str">
        <x:v>D:/Codex/GRL研究/outputs/grid86/GRID86_report.md</x:v>
      </x:c>
    </x:row>
    <x:row r="4342" ht="36" customHeight="1">
      <x:c r="A4342" s="19" t="str">
        <x:v>GRID87</x:v>
      </x:c>
      <x:c r="B4342" s="19" t="str">
        <x:v>GRID87_report.md</x:v>
      </x:c>
      <x:c r="C4342" s="19" t="str">
        <x:v>1. GRID87：固定256在原13日期的质量回归</x:v>
      </x:c>
      <x:c r="D4342" s="19" t="str">
        <x:v>日期=2035-03-05_0；固定256完成/步数=True/2017</x:v>
      </x:c>
      <x:c r="E4342" s="19" t="str">
        <x:v>固定256完成/步数</x:v>
      </x:c>
      <x:c r="F4342" s="19" t="str">
        <x:v>True/2017</x:v>
      </x:c>
      <x:c r="G4342" s="19" t="str">
        <x:v>质量/成本</x:v>
      </x:c>
      <x:c r="H4342" s="19" t="str">
        <x:v>D:/Codex/GRL研究/outputs/grid87/GRID87_report.md</x:v>
      </x:c>
    </x:row>
    <x:row r="4343" ht="36" customHeight="1">
      <x:c r="A4343" s="19" t="str">
        <x:v>GRID87</x:v>
      </x:c>
      <x:c r="B4343" s="19" t="str">
        <x:v>GRID87_report.md</x:v>
      </x:c>
      <x:c r="C4343" s="19" t="str">
        <x:v>1. GRID87：固定256在原13日期的质量回归</x:v>
      </x:c>
      <x:c r="D4343" s="19" t="str">
        <x:v>日期=2035-03-05_0；固定256完成/步数=True/2017</x:v>
      </x:c>
      <x:c r="E4343" s="19" t="str">
        <x:v>FULL步数</x:v>
      </x:c>
      <x:c r="F4343" s="19" t="str">
        <x:v>2017</x:v>
      </x:c>
      <x:c r="G4343" s="19" t="str">
        <x:v>质量/成本</x:v>
      </x:c>
      <x:c r="H4343" s="19" t="str">
        <x:v>D:/Codex/GRL研究/outputs/grid87/GRID87_report.md</x:v>
      </x:c>
    </x:row>
    <x:row r="4344" ht="36" customHeight="1">
      <x:c r="A4344" s="19" t="str">
        <x:v>GRID87</x:v>
      </x:c>
      <x:c r="B4344" s="19" t="str">
        <x:v>GRID87_report.md</x:v>
      </x:c>
      <x:c r="C4344" s="19" t="str">
        <x:v>1. GRID87：固定256在原13日期的质量回归</x:v>
      </x:c>
      <x:c r="D4344" s="19" t="str">
        <x:v>日期=2035-03-05_0；固定256完成/步数=True/2017</x:v>
      </x:c>
      <x:c r="E4344" s="19" t="str">
        <x:v>固定256质量</x:v>
      </x:c>
      <x:c r="F4344" s="19" t="str">
        <x:v>False</x:v>
      </x:c>
      <x:c r="G4344" s="19" t="str">
        <x:v>质量/成本</x:v>
      </x:c>
      <x:c r="H4344" s="19" t="str">
        <x:v>D:/Codex/GRL研究/outputs/grid87/GRID87_report.md</x:v>
      </x:c>
    </x:row>
    <x:row r="4345" ht="36" customHeight="1">
      <x:c r="A4345" s="19" t="str">
        <x:v>GRID87</x:v>
      </x:c>
      <x:c r="B4345" s="19" t="str">
        <x:v>GRID87_report.md</x:v>
      </x:c>
      <x:c r="C4345" s="19" t="str">
        <x:v>1. GRID87：固定256在原13日期的质量回归</x:v>
      </x:c>
      <x:c r="D4345" s="19" t="str">
        <x:v>日期=2035-03-05_0；固定256完成/步数=True/2017</x:v>
      </x:c>
      <x:c r="E4345" s="19" t="str">
        <x:v>固定256成本相对FULL</x:v>
      </x:c>
      <x:c r="F4345" s="19" t="str">
        <x:v>+4.4242%</x:v>
      </x:c>
      <x:c r="G4345" s="19" t="str">
        <x:v>质量/成本</x:v>
      </x:c>
      <x:c r="H4345" s="19" t="str">
        <x:v>D:/Codex/GRL研究/outputs/grid87/GRID87_report.md</x:v>
      </x:c>
    </x:row>
    <x:row r="4346" ht="36" customHeight="1">
      <x:c r="A4346" s="19" t="str">
        <x:v>GRID87</x:v>
      </x:c>
      <x:c r="B4346" s="19" t="str">
        <x:v>GRID87_report.md</x:v>
      </x:c>
      <x:c r="C4346" s="19" t="str">
        <x:v>1. GRID87：固定256在原13日期的质量回归</x:v>
      </x:c>
      <x:c r="D4346" s="19" t="str">
        <x:v>日期=2035-03-05_0；固定256完成/步数=True/2017</x:v>
      </x:c>
      <x:c r="E4346" s="19" t="str">
        <x:v>GUARD成本相对FULL</x:v>
      </x:c>
      <x:c r="F4346" s="19" t="str">
        <x:v>+0.3720%</x:v>
      </x:c>
      <x:c r="G4346" s="19" t="str">
        <x:v>质量/成本</x:v>
      </x:c>
      <x:c r="H4346" s="19" t="str">
        <x:v>D:/Codex/GRL研究/outputs/grid87/GRID87_report.md</x:v>
      </x:c>
    </x:row>
    <x:row r="4347" ht="36" customHeight="1">
      <x:c r="A4347" s="19" t="str">
        <x:v>GRID87</x:v>
      </x:c>
      <x:c r="B4347" s="19" t="str">
        <x:v>GRID87_report.md</x:v>
      </x:c>
      <x:c r="C4347" s="19" t="str">
        <x:v>1. GRID87：固定256在原13日期的质量回归</x:v>
      </x:c>
      <x:c r="D4347" s="19" t="str">
        <x:v>日期=2035-03-05_0；固定256完成/步数=True/2017</x:v>
      </x:c>
      <x:c r="E4347" s="19" t="str">
        <x:v>固定256查询</x:v>
      </x:c>
      <x:c r="F4347" s="19" t="str">
        <x:v>3072</x:v>
      </x:c>
      <x:c r="G4347" s="19" t="str">
        <x:v>速度/计算</x:v>
      </x:c>
      <x:c r="H4347" s="19" t="str">
        <x:v>D:/Codex/GRL研究/outputs/grid87/GRID87_report.md</x:v>
      </x:c>
    </x:row>
    <x:row r="4348" ht="36" customHeight="1">
      <x:c r="A4348" s="19" t="str">
        <x:v>GRID87</x:v>
      </x:c>
      <x:c r="B4348" s="19" t="str">
        <x:v>GRID87_report.md</x:v>
      </x:c>
      <x:c r="C4348" s="19" t="str">
        <x:v>1. GRID87：固定256在原13日期的质量回归</x:v>
      </x:c>
      <x:c r="D4348" s="19" t="str">
        <x:v>日期=2035-03-05_0；固定256完成/步数=True/2017</x:v>
      </x:c>
      <x:c r="E4348" s="19" t="str">
        <x:v>GUARD查询</x:v>
      </x:c>
      <x:c r="F4348" s="19" t="str">
        <x:v>3720</x:v>
      </x:c>
      <x:c r="G4348" s="19" t="str">
        <x:v>速度/计算</x:v>
      </x:c>
      <x:c r="H4348" s="19" t="str">
        <x:v>D:/Codex/GRL研究/outputs/grid87/GRID87_report.md</x:v>
      </x:c>
    </x:row>
    <x:row r="4349" ht="36" customHeight="1">
      <x:c r="A4349" s="19" t="str">
        <x:v>GRID87</x:v>
      </x:c>
      <x:c r="B4349" s="19" t="str">
        <x:v>GRID87_report.md</x:v>
      </x:c>
      <x:c r="C4349" s="19" t="str">
        <x:v>1. GRID87：固定256在原13日期的质量回归</x:v>
      </x:c>
      <x:c r="D4349" s="19" t="str">
        <x:v>日期=2035-03-05_0；固定256完成/步数=True/2017</x:v>
      </x:c>
      <x:c r="E4349" s="19" t="str">
        <x:v>FULL查询</x:v>
      </x:c>
      <x:c r="F4349" s="19" t="str">
        <x:v>9578</x:v>
      </x:c>
      <x:c r="G4349" s="19" t="str">
        <x:v>速度/计算</x:v>
      </x:c>
      <x:c r="H4349" s="19" t="str">
        <x:v>D:/Codex/GRL研究/outputs/grid87/GRID87_report.md</x:v>
      </x:c>
    </x:row>
    <x:row r="4350" ht="36" customHeight="1">
      <x:c r="A4350" s="19" t="str">
        <x:v>GRID87</x:v>
      </x:c>
      <x:c r="B4350" s="19" t="str">
        <x:v>GRID87_report.md</x:v>
      </x:c>
      <x:c r="C4350" s="19" t="str">
        <x:v>1. GRID87：固定256在原13日期的质量回归</x:v>
      </x:c>
      <x:c r="D4350" s="19" t="str">
        <x:v>日期=2035-06-25_8；固定256完成/步数=False/1901</x:v>
      </x:c>
      <x:c r="E4350" s="19" t="str">
        <x:v>固定256完成/步数</x:v>
      </x:c>
      <x:c r="F4350" s="19" t="str">
        <x:v>False/1901</x:v>
      </x:c>
      <x:c r="G4350" s="19" t="str">
        <x:v>质量/成本</x:v>
      </x:c>
      <x:c r="H4350" s="19" t="str">
        <x:v>D:/Codex/GRL研究/outputs/grid87/GRID87_report.md</x:v>
      </x:c>
    </x:row>
    <x:row r="4351" ht="36" customHeight="1">
      <x:c r="A4351" s="19" t="str">
        <x:v>GRID87</x:v>
      </x:c>
      <x:c r="B4351" s="19" t="str">
        <x:v>GRID87_report.md</x:v>
      </x:c>
      <x:c r="C4351" s="19" t="str">
        <x:v>1. GRID87：固定256在原13日期的质量回归</x:v>
      </x:c>
      <x:c r="D4351" s="19" t="str">
        <x:v>日期=2035-06-25_8；固定256完成/步数=False/1901</x:v>
      </x:c>
      <x:c r="E4351" s="19" t="str">
        <x:v>FULL步数</x:v>
      </x:c>
      <x:c r="F4351" s="19" t="str">
        <x:v>1901</x:v>
      </x:c>
      <x:c r="G4351" s="19" t="str">
        <x:v>质量/成本</x:v>
      </x:c>
      <x:c r="H4351" s="19" t="str">
        <x:v>D:/Codex/GRL研究/outputs/grid87/GRID87_report.md</x:v>
      </x:c>
    </x:row>
    <x:row r="4352" ht="36" customHeight="1">
      <x:c r="A4352" s="19" t="str">
        <x:v>GRID87</x:v>
      </x:c>
      <x:c r="B4352" s="19" t="str">
        <x:v>GRID87_report.md</x:v>
      </x:c>
      <x:c r="C4352" s="19" t="str">
        <x:v>1. GRID87：固定256在原13日期的质量回归</x:v>
      </x:c>
      <x:c r="D4352" s="19" t="str">
        <x:v>日期=2035-06-25_8；固定256完成/步数=False/1901</x:v>
      </x:c>
      <x:c r="E4352" s="19" t="str">
        <x:v>固定256质量</x:v>
      </x:c>
      <x:c r="F4352" s="19" t="str">
        <x:v>True</x:v>
      </x:c>
      <x:c r="G4352" s="19" t="str">
        <x:v>质量/成本</x:v>
      </x:c>
      <x:c r="H4352" s="19" t="str">
        <x:v>D:/Codex/GRL研究/outputs/grid87/GRID87_report.md</x:v>
      </x:c>
    </x:row>
    <x:row r="4353" ht="36" customHeight="1">
      <x:c r="A4353" s="19" t="str">
        <x:v>GRID87</x:v>
      </x:c>
      <x:c r="B4353" s="19" t="str">
        <x:v>GRID87_report.md</x:v>
      </x:c>
      <x:c r="C4353" s="19" t="str">
        <x:v>1. GRID87：固定256在原13日期的质量回归</x:v>
      </x:c>
      <x:c r="D4353" s="19" t="str">
        <x:v>日期=2035-06-25_8；固定256完成/步数=False/1901</x:v>
      </x:c>
      <x:c r="E4353" s="19" t="str">
        <x:v>固定256成本相对FULL</x:v>
      </x:c>
      <x:c r="F4353" s="19" t="str">
        <x:v>未双方完成</x:v>
      </x:c>
      <x:c r="G4353" s="19" t="str">
        <x:v>质量/成本</x:v>
      </x:c>
      <x:c r="H4353" s="19" t="str">
        <x:v>D:/Codex/GRL研究/outputs/grid87/GRID87_report.md</x:v>
      </x:c>
    </x:row>
    <x:row r="4354" ht="36" customHeight="1">
      <x:c r="A4354" s="19" t="str">
        <x:v>GRID87</x:v>
      </x:c>
      <x:c r="B4354" s="19" t="str">
        <x:v>GRID87_report.md</x:v>
      </x:c>
      <x:c r="C4354" s="19" t="str">
        <x:v>1. GRID87：固定256在原13日期的质量回归</x:v>
      </x:c>
      <x:c r="D4354" s="19" t="str">
        <x:v>日期=2035-06-25_8；固定256完成/步数=False/1901</x:v>
      </x:c>
      <x:c r="E4354" s="19" t="str">
        <x:v>GUARD成本相对FULL</x:v>
      </x:c>
      <x:c r="F4354" s="19" t="str">
        <x:v>未双方完成</x:v>
      </x:c>
      <x:c r="G4354" s="19" t="str">
        <x:v>质量/成本</x:v>
      </x:c>
      <x:c r="H4354" s="19" t="str">
        <x:v>D:/Codex/GRL研究/outputs/grid87/GRID87_report.md</x:v>
      </x:c>
    </x:row>
    <x:row r="4355" ht="36" customHeight="1">
      <x:c r="A4355" s="19" t="str">
        <x:v>GRID87</x:v>
      </x:c>
      <x:c r="B4355" s="19" t="str">
        <x:v>GRID87_report.md</x:v>
      </x:c>
      <x:c r="C4355" s="19" t="str">
        <x:v>1. GRID87：固定256在原13日期的质量回归</x:v>
      </x:c>
      <x:c r="D4355" s="19" t="str">
        <x:v>日期=2035-06-25_8；固定256完成/步数=False/1901</x:v>
      </x:c>
      <x:c r="E4355" s="19" t="str">
        <x:v>固定256查询</x:v>
      </x:c>
      <x:c r="F4355" s="19" t="str">
        <x:v>1280</x:v>
      </x:c>
      <x:c r="G4355" s="19" t="str">
        <x:v>速度/计算</x:v>
      </x:c>
      <x:c r="H4355" s="19" t="str">
        <x:v>D:/Codex/GRL研究/outputs/grid87/GRID87_report.md</x:v>
      </x:c>
    </x:row>
    <x:row r="4356" ht="36" customHeight="1">
      <x:c r="A4356" s="19" t="str">
        <x:v>GRID87</x:v>
      </x:c>
      <x:c r="B4356" s="19" t="str">
        <x:v>GRID87_report.md</x:v>
      </x:c>
      <x:c r="C4356" s="19" t="str">
        <x:v>1. GRID87：固定256在原13日期的质量回归</x:v>
      </x:c>
      <x:c r="D4356" s="19" t="str">
        <x:v>日期=2035-06-25_8；固定256完成/步数=False/1901</x:v>
      </x:c>
      <x:c r="E4356" s="19" t="str">
        <x:v>GUARD查询</x:v>
      </x:c>
      <x:c r="F4356" s="19" t="str">
        <x:v>1889</x:v>
      </x:c>
      <x:c r="G4356" s="19" t="str">
        <x:v>速度/计算</x:v>
      </x:c>
      <x:c r="H4356" s="19" t="str">
        <x:v>D:/Codex/GRL研究/outputs/grid87/GRID87_report.md</x:v>
      </x:c>
    </x:row>
    <x:row r="4357" ht="36" customHeight="1">
      <x:c r="A4357" s="19" t="str">
        <x:v>GRID87</x:v>
      </x:c>
      <x:c r="B4357" s="19" t="str">
        <x:v>GRID87_report.md</x:v>
      </x:c>
      <x:c r="C4357" s="19" t="str">
        <x:v>1. GRID87：固定256在原13日期的质量回归</x:v>
      </x:c>
      <x:c r="D4357" s="19" t="str">
        <x:v>日期=2035-06-25_8；固定256完成/步数=False/1901</x:v>
      </x:c>
      <x:c r="E4357" s="19" t="str">
        <x:v>FULL查询</x:v>
      </x:c>
      <x:c r="F4357" s="19" t="str">
        <x:v>4002</x:v>
      </x:c>
      <x:c r="G4357" s="19" t="str">
        <x:v>速度/计算</x:v>
      </x:c>
      <x:c r="H4357" s="19" t="str">
        <x:v>D:/Codex/GRL研究/outputs/grid87/GRID87_report.md</x:v>
      </x:c>
    </x:row>
    <x:row r="4358" ht="36" customHeight="1">
      <x:c r="A4358" s="19" t="str">
        <x:v>GRID87</x:v>
      </x:c>
      <x:c r="B4358" s="19" t="str">
        <x:v>GRID87_report.md</x:v>
      </x:c>
      <x:c r="C4358" s="19" t="str">
        <x:v>1. GRID87：固定256在原13日期的质量回归</x:v>
      </x:c>
      <x:c r="D4358" s="19" t="str">
        <x:v>日期=2035-09-03_4；固定256完成/步数=True/2017</x:v>
      </x:c>
      <x:c r="E4358" s="19" t="str">
        <x:v>固定256完成/步数</x:v>
      </x:c>
      <x:c r="F4358" s="19" t="str">
        <x:v>True/2017</x:v>
      </x:c>
      <x:c r="G4358" s="19" t="str">
        <x:v>质量/成本</x:v>
      </x:c>
      <x:c r="H4358" s="19" t="str">
        <x:v>D:/Codex/GRL研究/outputs/grid87/GRID87_report.md</x:v>
      </x:c>
    </x:row>
    <x:row r="4359" ht="36" customHeight="1">
      <x:c r="A4359" s="19" t="str">
        <x:v>GRID87</x:v>
      </x:c>
      <x:c r="B4359" s="19" t="str">
        <x:v>GRID87_report.md</x:v>
      </x:c>
      <x:c r="C4359" s="19" t="str">
        <x:v>1. GRID87：固定256在原13日期的质量回归</x:v>
      </x:c>
      <x:c r="D4359" s="19" t="str">
        <x:v>日期=2035-09-03_4；固定256完成/步数=True/2017</x:v>
      </x:c>
      <x:c r="E4359" s="19" t="str">
        <x:v>FULL步数</x:v>
      </x:c>
      <x:c r="F4359" s="19" t="str">
        <x:v>2017</x:v>
      </x:c>
      <x:c r="G4359" s="19" t="str">
        <x:v>质量/成本</x:v>
      </x:c>
      <x:c r="H4359" s="19" t="str">
        <x:v>D:/Codex/GRL研究/outputs/grid87/GRID87_report.md</x:v>
      </x:c>
    </x:row>
    <x:row r="4360" ht="36" customHeight="1">
      <x:c r="A4360" s="19" t="str">
        <x:v>GRID87</x:v>
      </x:c>
      <x:c r="B4360" s="19" t="str">
        <x:v>GRID87_report.md</x:v>
      </x:c>
      <x:c r="C4360" s="19" t="str">
        <x:v>1. GRID87：固定256在原13日期的质量回归</x:v>
      </x:c>
      <x:c r="D4360" s="19" t="str">
        <x:v>日期=2035-09-03_4；固定256完成/步数=True/2017</x:v>
      </x:c>
      <x:c r="E4360" s="19" t="str">
        <x:v>固定256质量</x:v>
      </x:c>
      <x:c r="F4360" s="19" t="str">
        <x:v>True</x:v>
      </x:c>
      <x:c r="G4360" s="19" t="str">
        <x:v>质量/成本</x:v>
      </x:c>
      <x:c r="H4360" s="19" t="str">
        <x:v>D:/Codex/GRL研究/outputs/grid87/GRID87_report.md</x:v>
      </x:c>
    </x:row>
    <x:row r="4361" ht="36" customHeight="1">
      <x:c r="A4361" s="19" t="str">
        <x:v>GRID87</x:v>
      </x:c>
      <x:c r="B4361" s="19" t="str">
        <x:v>GRID87_report.md</x:v>
      </x:c>
      <x:c r="C4361" s="19" t="str">
        <x:v>1. GRID87：固定256在原13日期的质量回归</x:v>
      </x:c>
      <x:c r="D4361" s="19" t="str">
        <x:v>日期=2035-09-03_4；固定256完成/步数=True/2017</x:v>
      </x:c>
      <x:c r="E4361" s="19" t="str">
        <x:v>固定256成本相对FULL</x:v>
      </x:c>
      <x:c r="F4361" s="19" t="str">
        <x:v>-1.8666%</x:v>
      </x:c>
      <x:c r="G4361" s="19" t="str">
        <x:v>质量/成本</x:v>
      </x:c>
      <x:c r="H4361" s="19" t="str">
        <x:v>D:/Codex/GRL研究/outputs/grid87/GRID87_report.md</x:v>
      </x:c>
    </x:row>
    <x:row r="4362" ht="36" customHeight="1">
      <x:c r="A4362" s="19" t="str">
        <x:v>GRID87</x:v>
      </x:c>
      <x:c r="B4362" s="19" t="str">
        <x:v>GRID87_report.md</x:v>
      </x:c>
      <x:c r="C4362" s="19" t="str">
        <x:v>1. GRID87：固定256在原13日期的质量回归</x:v>
      </x:c>
      <x:c r="D4362" s="19" t="str">
        <x:v>日期=2035-09-03_4；固定256完成/步数=True/2017</x:v>
      </x:c>
      <x:c r="E4362" s="19" t="str">
        <x:v>GUARD成本相对FULL</x:v>
      </x:c>
      <x:c r="F4362" s="19" t="str">
        <x:v>-1.8666%</x:v>
      </x:c>
      <x:c r="G4362" s="19" t="str">
        <x:v>质量/成本</x:v>
      </x:c>
      <x:c r="H4362" s="19" t="str">
        <x:v>D:/Codex/GRL研究/outputs/grid87/GRID87_report.md</x:v>
      </x:c>
    </x:row>
    <x:row r="4363" ht="36" customHeight="1">
      <x:c r="A4363" s="19" t="str">
        <x:v>GRID87</x:v>
      </x:c>
      <x:c r="B4363" s="19" t="str">
        <x:v>GRID87_report.md</x:v>
      </x:c>
      <x:c r="C4363" s="19" t="str">
        <x:v>1. GRID87：固定256在原13日期的质量回归</x:v>
      </x:c>
      <x:c r="D4363" s="19" t="str">
        <x:v>日期=2035-09-03_4；固定256完成/步数=True/2017</x:v>
      </x:c>
      <x:c r="E4363" s="19" t="str">
        <x:v>固定256查询</x:v>
      </x:c>
      <x:c r="F4363" s="19" t="str">
        <x:v>2048</x:v>
      </x:c>
      <x:c r="G4363" s="19" t="str">
        <x:v>速度/计算</x:v>
      </x:c>
      <x:c r="H4363" s="19" t="str">
        <x:v>D:/Codex/GRL研究/outputs/grid87/GRID87_report.md</x:v>
      </x:c>
    </x:row>
    <x:row r="4364" ht="36" customHeight="1">
      <x:c r="A4364" s="19" t="str">
        <x:v>GRID87</x:v>
      </x:c>
      <x:c r="B4364" s="19" t="str">
        <x:v>GRID87_report.md</x:v>
      </x:c>
      <x:c r="C4364" s="19" t="str">
        <x:v>1. GRID87：固定256在原13日期的质量回归</x:v>
      </x:c>
      <x:c r="D4364" s="19" t="str">
        <x:v>日期=2035-09-03_4；固定256完成/步数=True/2017</x:v>
      </x:c>
      <x:c r="E4364" s="19" t="str">
        <x:v>GUARD查询</x:v>
      </x:c>
      <x:c r="F4364" s="19" t="str">
        <x:v>2987</x:v>
      </x:c>
      <x:c r="G4364" s="19" t="str">
        <x:v>速度/计算</x:v>
      </x:c>
      <x:c r="H4364" s="19" t="str">
        <x:v>D:/Codex/GRL研究/outputs/grid87/GRID87_report.md</x:v>
      </x:c>
    </x:row>
    <x:row r="4365" ht="36" customHeight="1">
      <x:c r="A4365" s="19" t="str">
        <x:v>GRID87</x:v>
      </x:c>
      <x:c r="B4365" s="19" t="str">
        <x:v>GRID87_report.md</x:v>
      </x:c>
      <x:c r="C4365" s="19" t="str">
        <x:v>1. GRID87：固定256在原13日期的质量回归</x:v>
      </x:c>
      <x:c r="D4365" s="19" t="str">
        <x:v>日期=2035-09-03_4；固定256完成/步数=True/2017</x:v>
      </x:c>
      <x:c r="E4365" s="19" t="str">
        <x:v>FULL查询</x:v>
      </x:c>
      <x:c r="F4365" s="19" t="str">
        <x:v>7200</x:v>
      </x:c>
      <x:c r="G4365" s="19" t="str">
        <x:v>速度/计算</x:v>
      </x:c>
      <x:c r="H4365" s="19" t="str">
        <x:v>D:/Codex/GRL研究/outputs/grid87/GRID87_report.md</x:v>
      </x:c>
    </x:row>
    <x:row r="4366" ht="36" customHeight="1">
      <x:c r="A4366" s="19" t="str">
        <x:v>GRID87</x:v>
      </x:c>
      <x:c r="B4366" s="19" t="str">
        <x:v>GRID87_report.md</x:v>
      </x:c>
      <x:c r="C4366" s="19" t="str">
        <x:v>1. GRID87：固定256在原13日期的质量回归</x:v>
      </x:c>
      <x:c r="D4366" s="19" t="str">
        <x:v>日期=2035-10-01_5；固定256完成/步数=True/2017</x:v>
      </x:c>
      <x:c r="E4366" s="19" t="str">
        <x:v>固定256完成/步数</x:v>
      </x:c>
      <x:c r="F4366" s="19" t="str">
        <x:v>True/2017</x:v>
      </x:c>
      <x:c r="G4366" s="19" t="str">
        <x:v>质量/成本</x:v>
      </x:c>
      <x:c r="H4366" s="19" t="str">
        <x:v>D:/Codex/GRL研究/outputs/grid87/GRID87_report.md</x:v>
      </x:c>
    </x:row>
    <x:row r="4367" ht="36" customHeight="1">
      <x:c r="A4367" s="19" t="str">
        <x:v>GRID87</x:v>
      </x:c>
      <x:c r="B4367" s="19" t="str">
        <x:v>GRID87_report.md</x:v>
      </x:c>
      <x:c r="C4367" s="19" t="str">
        <x:v>1. GRID87：固定256在原13日期的质量回归</x:v>
      </x:c>
      <x:c r="D4367" s="19" t="str">
        <x:v>日期=2035-10-01_5；固定256完成/步数=True/2017</x:v>
      </x:c>
      <x:c r="E4367" s="19" t="str">
        <x:v>FULL步数</x:v>
      </x:c>
      <x:c r="F4367" s="19" t="str">
        <x:v>2017</x:v>
      </x:c>
      <x:c r="G4367" s="19" t="str">
        <x:v>质量/成本</x:v>
      </x:c>
      <x:c r="H4367" s="19" t="str">
        <x:v>D:/Codex/GRL研究/outputs/grid87/GRID87_report.md</x:v>
      </x:c>
    </x:row>
    <x:row r="4368" ht="36" customHeight="1">
      <x:c r="A4368" s="19" t="str">
        <x:v>GRID87</x:v>
      </x:c>
      <x:c r="B4368" s="19" t="str">
        <x:v>GRID87_report.md</x:v>
      </x:c>
      <x:c r="C4368" s="19" t="str">
        <x:v>1. GRID87：固定256在原13日期的质量回归</x:v>
      </x:c>
      <x:c r="D4368" s="19" t="str">
        <x:v>日期=2035-10-01_5；固定256完成/步数=True/2017</x:v>
      </x:c>
      <x:c r="E4368" s="19" t="str">
        <x:v>固定256质量</x:v>
      </x:c>
      <x:c r="F4368" s="19" t="str">
        <x:v>True</x:v>
      </x:c>
      <x:c r="G4368" s="19" t="str">
        <x:v>质量/成本</x:v>
      </x:c>
      <x:c r="H4368" s="19" t="str">
        <x:v>D:/Codex/GRL研究/outputs/grid87/GRID87_report.md</x:v>
      </x:c>
    </x:row>
    <x:row r="4369" ht="36" customHeight="1">
      <x:c r="A4369" s="19" t="str">
        <x:v>GRID87</x:v>
      </x:c>
      <x:c r="B4369" s="19" t="str">
        <x:v>GRID87_report.md</x:v>
      </x:c>
      <x:c r="C4369" s="19" t="str">
        <x:v>1. GRID87：固定256在原13日期的质量回归</x:v>
      </x:c>
      <x:c r="D4369" s="19" t="str">
        <x:v>日期=2035-10-01_5；固定256完成/步数=True/2017</x:v>
      </x:c>
      <x:c r="E4369" s="19" t="str">
        <x:v>固定256成本相对FULL</x:v>
      </x:c>
      <x:c r="F4369" s="19" t="str">
        <x:v>+0.0000%</x:v>
      </x:c>
      <x:c r="G4369" s="19" t="str">
        <x:v>质量/成本</x:v>
      </x:c>
      <x:c r="H4369" s="19" t="str">
        <x:v>D:/Codex/GRL研究/outputs/grid87/GRID87_report.md</x:v>
      </x:c>
    </x:row>
    <x:row r="4370" ht="36" customHeight="1">
      <x:c r="A4370" s="19" t="str">
        <x:v>GRID87</x:v>
      </x:c>
      <x:c r="B4370" s="19" t="str">
        <x:v>GRID87_report.md</x:v>
      </x:c>
      <x:c r="C4370" s="19" t="str">
        <x:v>1. GRID87：固定256在原13日期的质量回归</x:v>
      </x:c>
      <x:c r="D4370" s="19" t="str">
        <x:v>日期=2035-10-01_5；固定256完成/步数=True/2017</x:v>
      </x:c>
      <x:c r="E4370" s="19" t="str">
        <x:v>GUARD成本相对FULL</x:v>
      </x:c>
      <x:c r="F4370" s="19" t="str">
        <x:v>+0.0000%</x:v>
      </x:c>
      <x:c r="G4370" s="19" t="str">
        <x:v>质量/成本</x:v>
      </x:c>
      <x:c r="H4370" s="19" t="str">
        <x:v>D:/Codex/GRL研究/outputs/grid87/GRID87_report.md</x:v>
      </x:c>
    </x:row>
    <x:row r="4371" ht="36" customHeight="1">
      <x:c r="A4371" s="19" t="str">
        <x:v>GRID87</x:v>
      </x:c>
      <x:c r="B4371" s="19" t="str">
        <x:v>GRID87_report.md</x:v>
      </x:c>
      <x:c r="C4371" s="19" t="str">
        <x:v>1. GRID87：固定256在原13日期的质量回归</x:v>
      </x:c>
      <x:c r="D4371" s="19" t="str">
        <x:v>日期=2035-10-01_5；固定256完成/步数=True/2017</x:v>
      </x:c>
      <x:c r="E4371" s="19" t="str">
        <x:v>固定256查询</x:v>
      </x:c>
      <x:c r="F4371" s="19" t="str">
        <x:v>512</x:v>
      </x:c>
      <x:c r="G4371" s="19" t="str">
        <x:v>速度/计算</x:v>
      </x:c>
      <x:c r="H4371" s="19" t="str">
        <x:v>D:/Codex/GRL研究/outputs/grid87/GRID87_report.md</x:v>
      </x:c>
    </x:row>
    <x:row r="4372" ht="36" customHeight="1">
      <x:c r="A4372" s="19" t="str">
        <x:v>GRID87</x:v>
      </x:c>
      <x:c r="B4372" s="19" t="str">
        <x:v>GRID87_report.md</x:v>
      </x:c>
      <x:c r="C4372" s="19" t="str">
        <x:v>1. GRID87：固定256在原13日期的质量回归</x:v>
      </x:c>
      <x:c r="D4372" s="19" t="str">
        <x:v>日期=2035-10-01_5；固定256完成/步数=True/2017</x:v>
      </x:c>
      <x:c r="E4372" s="19" t="str">
        <x:v>GUARD查询</x:v>
      </x:c>
      <x:c r="F4372" s="19" t="str">
        <x:v>512</x:v>
      </x:c>
      <x:c r="G4372" s="19" t="str">
        <x:v>速度/计算</x:v>
      </x:c>
      <x:c r="H4372" s="19" t="str">
        <x:v>D:/Codex/GRL研究/outputs/grid87/GRID87_report.md</x:v>
      </x:c>
    </x:row>
    <x:row r="4373" ht="36" customHeight="1">
      <x:c r="A4373" s="19" t="str">
        <x:v>GRID87</x:v>
      </x:c>
      <x:c r="B4373" s="19" t="str">
        <x:v>GRID87_report.md</x:v>
      </x:c>
      <x:c r="C4373" s="19" t="str">
        <x:v>1. GRID87：固定256在原13日期的质量回归</x:v>
      </x:c>
      <x:c r="D4373" s="19" t="str">
        <x:v>日期=2035-10-01_5；固定256完成/步数=True/2017</x:v>
      </x:c>
      <x:c r="E4373" s="19" t="str">
        <x:v>FULL查询</x:v>
      </x:c>
      <x:c r="F4373" s="19" t="str">
        <x:v>1817</x:v>
      </x:c>
      <x:c r="G4373" s="19" t="str">
        <x:v>速度/计算</x:v>
      </x:c>
      <x:c r="H4373" s="19" t="str">
        <x:v>D:/Codex/GRL研究/outputs/grid87/GRID87_report.md</x:v>
      </x:c>
    </x:row>
    <x:row r="4374" ht="36" customHeight="1">
      <x:c r="A4374" s="19" t="str">
        <x:v>GRID87</x:v>
      </x:c>
      <x:c r="B4374" s="19" t="str">
        <x:v>GRID87_report.md</x:v>
      </x:c>
      <x:c r="C4374" s="19" t="str">
        <x:v>1. GRID87：固定256在原13日期的质量回归</x:v>
      </x:c>
      <x:c r="D4374" s="19" t="str">
        <x:v>日期=2035-04-09_3；固定256完成/步数=True/2017</x:v>
      </x:c>
      <x:c r="E4374" s="19" t="str">
        <x:v>固定256完成/步数</x:v>
      </x:c>
      <x:c r="F4374" s="19" t="str">
        <x:v>True/2017</x:v>
      </x:c>
      <x:c r="G4374" s="19" t="str">
        <x:v>质量/成本</x:v>
      </x:c>
      <x:c r="H4374" s="19" t="str">
        <x:v>D:/Codex/GRL研究/outputs/grid87/GRID87_report.md</x:v>
      </x:c>
    </x:row>
    <x:row r="4375" ht="36" customHeight="1">
      <x:c r="A4375" s="19" t="str">
        <x:v>GRID87</x:v>
      </x:c>
      <x:c r="B4375" s="19" t="str">
        <x:v>GRID87_report.md</x:v>
      </x:c>
      <x:c r="C4375" s="19" t="str">
        <x:v>1. GRID87：固定256在原13日期的质量回归</x:v>
      </x:c>
      <x:c r="D4375" s="19" t="str">
        <x:v>日期=2035-04-09_3；固定256完成/步数=True/2017</x:v>
      </x:c>
      <x:c r="E4375" s="19" t="str">
        <x:v>FULL步数</x:v>
      </x:c>
      <x:c r="F4375" s="19" t="str">
        <x:v>2017</x:v>
      </x:c>
      <x:c r="G4375" s="19" t="str">
        <x:v>质量/成本</x:v>
      </x:c>
      <x:c r="H4375" s="19" t="str">
        <x:v>D:/Codex/GRL研究/outputs/grid87/GRID87_report.md</x:v>
      </x:c>
    </x:row>
    <x:row r="4376" ht="36" customHeight="1">
      <x:c r="A4376" s="19" t="str">
        <x:v>GRID87</x:v>
      </x:c>
      <x:c r="B4376" s="19" t="str">
        <x:v>GRID87_report.md</x:v>
      </x:c>
      <x:c r="C4376" s="19" t="str">
        <x:v>1. GRID87：固定256在原13日期的质量回归</x:v>
      </x:c>
      <x:c r="D4376" s="19" t="str">
        <x:v>日期=2035-04-09_3；固定256完成/步数=True/2017</x:v>
      </x:c>
      <x:c r="E4376" s="19" t="str">
        <x:v>固定256质量</x:v>
      </x:c>
      <x:c r="F4376" s="19" t="str">
        <x:v>True</x:v>
      </x:c>
      <x:c r="G4376" s="19" t="str">
        <x:v>质量/成本</x:v>
      </x:c>
      <x:c r="H4376" s="19" t="str">
        <x:v>D:/Codex/GRL研究/outputs/grid87/GRID87_report.md</x:v>
      </x:c>
    </x:row>
    <x:row r="4377" ht="36" customHeight="1">
      <x:c r="A4377" s="19" t="str">
        <x:v>GRID87</x:v>
      </x:c>
      <x:c r="B4377" s="19" t="str">
        <x:v>GRID87_report.md</x:v>
      </x:c>
      <x:c r="C4377" s="19" t="str">
        <x:v>1. GRID87：固定256在原13日期的质量回归</x:v>
      </x:c>
      <x:c r="D4377" s="19" t="str">
        <x:v>日期=2035-04-09_3；固定256完成/步数=True/2017</x:v>
      </x:c>
      <x:c r="E4377" s="19" t="str">
        <x:v>固定256成本相对FULL</x:v>
      </x:c>
      <x:c r="F4377" s="19" t="str">
        <x:v>-1.3606%</x:v>
      </x:c>
      <x:c r="G4377" s="19" t="str">
        <x:v>质量/成本</x:v>
      </x:c>
      <x:c r="H4377" s="19" t="str">
        <x:v>D:/Codex/GRL研究/outputs/grid87/GRID87_report.md</x:v>
      </x:c>
    </x:row>
    <x:row r="4378" ht="36" customHeight="1">
      <x:c r="A4378" s="19" t="str">
        <x:v>GRID87</x:v>
      </x:c>
      <x:c r="B4378" s="19" t="str">
        <x:v>GRID87_report.md</x:v>
      </x:c>
      <x:c r="C4378" s="19" t="str">
        <x:v>1. GRID87：固定256在原13日期的质量回归</x:v>
      </x:c>
      <x:c r="D4378" s="19" t="str">
        <x:v>日期=2035-04-09_3；固定256完成/步数=True/2017</x:v>
      </x:c>
      <x:c r="E4378" s="19" t="str">
        <x:v>GUARD成本相对FULL</x:v>
      </x:c>
      <x:c r="F4378" s="19" t="str">
        <x:v>-1.3891%</x:v>
      </x:c>
      <x:c r="G4378" s="19" t="str">
        <x:v>质量/成本</x:v>
      </x:c>
      <x:c r="H4378" s="19" t="str">
        <x:v>D:/Codex/GRL研究/outputs/grid87/GRID87_report.md</x:v>
      </x:c>
    </x:row>
    <x:row r="4379" ht="36" customHeight="1">
      <x:c r="A4379" s="19" t="str">
        <x:v>GRID87</x:v>
      </x:c>
      <x:c r="B4379" s="19" t="str">
        <x:v>GRID87_report.md</x:v>
      </x:c>
      <x:c r="C4379" s="19" t="str">
        <x:v>1. GRID87：固定256在原13日期的质量回归</x:v>
      </x:c>
      <x:c r="D4379" s="19" t="str">
        <x:v>日期=2035-04-09_3；固定256完成/步数=True/2017</x:v>
      </x:c>
      <x:c r="E4379" s="19" t="str">
        <x:v>固定256查询</x:v>
      </x:c>
      <x:c r="F4379" s="19" t="str">
        <x:v>1536</x:v>
      </x:c>
      <x:c r="G4379" s="19" t="str">
        <x:v>速度/计算</x:v>
      </x:c>
      <x:c r="H4379" s="19" t="str">
        <x:v>D:/Codex/GRL研究/outputs/grid87/GRID87_report.md</x:v>
      </x:c>
    </x:row>
    <x:row r="4380" ht="36" customHeight="1">
      <x:c r="A4380" s="19" t="str">
        <x:v>GRID87</x:v>
      </x:c>
      <x:c r="B4380" s="19" t="str">
        <x:v>GRID87_report.md</x:v>
      </x:c>
      <x:c r="C4380" s="19" t="str">
        <x:v>1. GRID87：固定256在原13日期的质量回归</x:v>
      </x:c>
      <x:c r="D4380" s="19" t="str">
        <x:v>日期=2035-04-09_3；固定256完成/步数=True/2017</x:v>
      </x:c>
      <x:c r="E4380" s="19" t="str">
        <x:v>GUARD查询</x:v>
      </x:c>
      <x:c r="F4380" s="19" t="str">
        <x:v>1589</x:v>
      </x:c>
      <x:c r="G4380" s="19" t="str">
        <x:v>速度/计算</x:v>
      </x:c>
      <x:c r="H4380" s="19" t="str">
        <x:v>D:/Codex/GRL研究/outputs/grid87/GRID87_report.md</x:v>
      </x:c>
    </x:row>
    <x:row r="4381" ht="36" customHeight="1">
      <x:c r="A4381" s="19" t="str">
        <x:v>GRID87</x:v>
      </x:c>
      <x:c r="B4381" s="19" t="str">
        <x:v>GRID87_report.md</x:v>
      </x:c>
      <x:c r="C4381" s="19" t="str">
        <x:v>1. GRID87：固定256在原13日期的质量回归</x:v>
      </x:c>
      <x:c r="D4381" s="19" t="str">
        <x:v>日期=2035-04-09_3；固定256完成/步数=True/2017</x:v>
      </x:c>
      <x:c r="E4381" s="19" t="str">
        <x:v>FULL查询</x:v>
      </x:c>
      <x:c r="F4381" s="19" t="str">
        <x:v>5445</x:v>
      </x:c>
      <x:c r="G4381" s="19" t="str">
        <x:v>速度/计算</x:v>
      </x:c>
      <x:c r="H4381" s="19" t="str">
        <x:v>D:/Codex/GRL研究/outputs/grid87/GRID87_report.md</x:v>
      </x:c>
    </x:row>
    <x:row r="4382" ht="36" customHeight="1">
      <x:c r="A4382" s="19" t="str">
        <x:v>GRID87</x:v>
      </x:c>
      <x:c r="B4382" s="19" t="str">
        <x:v>GRID87_report.md</x:v>
      </x:c>
      <x:c r="C4382" s="19" t="str">
        <x:v>1. GRID87：固定256在原13日期的质量回归</x:v>
      </x:c>
      <x:c r="D4382" s="19" t="str">
        <x:v>日期=2035-05-14_14；固定256完成/步数=False/747</x:v>
      </x:c>
      <x:c r="E4382" s="19" t="str">
        <x:v>固定256完成/步数</x:v>
      </x:c>
      <x:c r="F4382" s="19" t="str">
        <x:v>False/747</x:v>
      </x:c>
      <x:c r="G4382" s="19" t="str">
        <x:v>质量/成本</x:v>
      </x:c>
      <x:c r="H4382" s="19" t="str">
        <x:v>D:/Codex/GRL研究/outputs/grid87/GRID87_report.md</x:v>
      </x:c>
    </x:row>
    <x:row r="4383" ht="36" customHeight="1">
      <x:c r="A4383" s="19" t="str">
        <x:v>GRID87</x:v>
      </x:c>
      <x:c r="B4383" s="19" t="str">
        <x:v>GRID87_report.md</x:v>
      </x:c>
      <x:c r="C4383" s="19" t="str">
        <x:v>1. GRID87：固定256在原13日期的质量回归</x:v>
      </x:c>
      <x:c r="D4383" s="19" t="str">
        <x:v>日期=2035-05-14_14；固定256完成/步数=False/747</x:v>
      </x:c>
      <x:c r="E4383" s="19" t="str">
        <x:v>FULL步数</x:v>
      </x:c>
      <x:c r="F4383" s="19" t="str">
        <x:v>747</x:v>
      </x:c>
      <x:c r="G4383" s="19" t="str">
        <x:v>质量/成本</x:v>
      </x:c>
      <x:c r="H4383" s="19" t="str">
        <x:v>D:/Codex/GRL研究/outputs/grid87/GRID87_report.md</x:v>
      </x:c>
    </x:row>
    <x:row r="4384" ht="36" customHeight="1">
      <x:c r="A4384" s="19" t="str">
        <x:v>GRID87</x:v>
      </x:c>
      <x:c r="B4384" s="19" t="str">
        <x:v>GRID87_report.md</x:v>
      </x:c>
      <x:c r="C4384" s="19" t="str">
        <x:v>1. GRID87：固定256在原13日期的质量回归</x:v>
      </x:c>
      <x:c r="D4384" s="19" t="str">
        <x:v>日期=2035-05-14_14；固定256完成/步数=False/747</x:v>
      </x:c>
      <x:c r="E4384" s="19" t="str">
        <x:v>固定256质量</x:v>
      </x:c>
      <x:c r="F4384" s="19" t="str">
        <x:v>True</x:v>
      </x:c>
      <x:c r="G4384" s="19" t="str">
        <x:v>质量/成本</x:v>
      </x:c>
      <x:c r="H4384" s="19" t="str">
        <x:v>D:/Codex/GRL研究/outputs/grid87/GRID87_report.md</x:v>
      </x:c>
    </x:row>
    <x:row r="4385" ht="36" customHeight="1">
      <x:c r="A4385" s="19" t="str">
        <x:v>GRID87</x:v>
      </x:c>
      <x:c r="B4385" s="19" t="str">
        <x:v>GRID87_report.md</x:v>
      </x:c>
      <x:c r="C4385" s="19" t="str">
        <x:v>1. GRID87：固定256在原13日期的质量回归</x:v>
      </x:c>
      <x:c r="D4385" s="19" t="str">
        <x:v>日期=2035-05-14_14；固定256完成/步数=False/747</x:v>
      </x:c>
      <x:c r="E4385" s="19" t="str">
        <x:v>固定256成本相对FULL</x:v>
      </x:c>
      <x:c r="F4385" s="19" t="str">
        <x:v>未双方完成</x:v>
      </x:c>
      <x:c r="G4385" s="19" t="str">
        <x:v>质量/成本</x:v>
      </x:c>
      <x:c r="H4385" s="19" t="str">
        <x:v>D:/Codex/GRL研究/outputs/grid87/GRID87_report.md</x:v>
      </x:c>
    </x:row>
    <x:row r="4386" ht="36" customHeight="1">
      <x:c r="A4386" s="19" t="str">
        <x:v>GRID87</x:v>
      </x:c>
      <x:c r="B4386" s="19" t="str">
        <x:v>GRID87_report.md</x:v>
      </x:c>
      <x:c r="C4386" s="19" t="str">
        <x:v>1. GRID87：固定256在原13日期的质量回归</x:v>
      </x:c>
      <x:c r="D4386" s="19" t="str">
        <x:v>日期=2035-05-14_14；固定256完成/步数=False/747</x:v>
      </x:c>
      <x:c r="E4386" s="19" t="str">
        <x:v>GUARD成本相对FULL</x:v>
      </x:c>
      <x:c r="F4386" s="19" t="str">
        <x:v>未双方完成</x:v>
      </x:c>
      <x:c r="G4386" s="19" t="str">
        <x:v>质量/成本</x:v>
      </x:c>
      <x:c r="H4386" s="19" t="str">
        <x:v>D:/Codex/GRL研究/outputs/grid87/GRID87_report.md</x:v>
      </x:c>
    </x:row>
    <x:row r="4387" ht="36" customHeight="1">
      <x:c r="A4387" s="19" t="str">
        <x:v>GRID87</x:v>
      </x:c>
      <x:c r="B4387" s="19" t="str">
        <x:v>GRID87_report.md</x:v>
      </x:c>
      <x:c r="C4387" s="19" t="str">
        <x:v>1. GRID87：固定256在原13日期的质量回归</x:v>
      </x:c>
      <x:c r="D4387" s="19" t="str">
        <x:v>日期=2035-05-14_14；固定256完成/步数=False/747</x:v>
      </x:c>
      <x:c r="E4387" s="19" t="str">
        <x:v>固定256查询</x:v>
      </x:c>
      <x:c r="F4387" s="19" t="str">
        <x:v>0</x:v>
      </x:c>
      <x:c r="G4387" s="19" t="str">
        <x:v>速度/计算</x:v>
      </x:c>
      <x:c r="H4387" s="19" t="str">
        <x:v>D:/Codex/GRL研究/outputs/grid87/GRID87_report.md</x:v>
      </x:c>
    </x:row>
    <x:row r="4388" ht="36" customHeight="1">
      <x:c r="A4388" s="19" t="str">
        <x:v>GRID87</x:v>
      </x:c>
      <x:c r="B4388" s="19" t="str">
        <x:v>GRID87_report.md</x:v>
      </x:c>
      <x:c r="C4388" s="19" t="str">
        <x:v>1. GRID87：固定256在原13日期的质量回归</x:v>
      </x:c>
      <x:c r="D4388" s="19" t="str">
        <x:v>日期=2035-05-14_14；固定256完成/步数=False/747</x:v>
      </x:c>
      <x:c r="E4388" s="19" t="str">
        <x:v>GUARD查询</x:v>
      </x:c>
      <x:c r="F4388" s="19" t="str">
        <x:v>0</x:v>
      </x:c>
      <x:c r="G4388" s="19" t="str">
        <x:v>速度/计算</x:v>
      </x:c>
      <x:c r="H4388" s="19" t="str">
        <x:v>D:/Codex/GRL研究/outputs/grid87/GRID87_report.md</x:v>
      </x:c>
    </x:row>
    <x:row r="4389" ht="36" customHeight="1">
      <x:c r="A4389" s="19" t="str">
        <x:v>GRID87</x:v>
      </x:c>
      <x:c r="B4389" s="19" t="str">
        <x:v>GRID87_report.md</x:v>
      </x:c>
      <x:c r="C4389" s="19" t="str">
        <x:v>1. GRID87：固定256在原13日期的质量回归</x:v>
      </x:c>
      <x:c r="D4389" s="19" t="str">
        <x:v>日期=2035-05-14_14；固定256完成/步数=False/747</x:v>
      </x:c>
      <x:c r="E4389" s="19" t="str">
        <x:v>FULL查询</x:v>
      </x:c>
      <x:c r="F4389" s="19" t="str">
        <x:v>0</x:v>
      </x:c>
      <x:c r="G4389" s="19" t="str">
        <x:v>速度/计算</x:v>
      </x:c>
      <x:c r="H4389" s="19" t="str">
        <x:v>D:/Codex/GRL研究/outputs/grid87/GRID87_report.md</x:v>
      </x:c>
    </x:row>
    <x:row r="4390" ht="36" customHeight="1">
      <x:c r="A4390" s="19" t="str">
        <x:v>GRID87</x:v>
      </x:c>
      <x:c r="B4390" s="19" t="str">
        <x:v>GRID87_report.md</x:v>
      </x:c>
      <x:c r="C4390" s="19" t="str">
        <x:v>1. GRID87：固定256在原13日期的质量回归</x:v>
      </x:c>
      <x:c r="D4390" s="19" t="str">
        <x:v>日期=2035-11-19_0；固定256完成/步数=True/2017</x:v>
      </x:c>
      <x:c r="E4390" s="19" t="str">
        <x:v>固定256完成/步数</x:v>
      </x:c>
      <x:c r="F4390" s="19" t="str">
        <x:v>True/2017</x:v>
      </x:c>
      <x:c r="G4390" s="19" t="str">
        <x:v>质量/成本</x:v>
      </x:c>
      <x:c r="H4390" s="19" t="str">
        <x:v>D:/Codex/GRL研究/outputs/grid87/GRID87_report.md</x:v>
      </x:c>
    </x:row>
    <x:row r="4391" ht="36" customHeight="1">
      <x:c r="A4391" s="19" t="str">
        <x:v>GRID87</x:v>
      </x:c>
      <x:c r="B4391" s="19" t="str">
        <x:v>GRID87_report.md</x:v>
      </x:c>
      <x:c r="C4391" s="19" t="str">
        <x:v>1. GRID87：固定256在原13日期的质量回归</x:v>
      </x:c>
      <x:c r="D4391" s="19" t="str">
        <x:v>日期=2035-11-19_0；固定256完成/步数=True/2017</x:v>
      </x:c>
      <x:c r="E4391" s="19" t="str">
        <x:v>FULL步数</x:v>
      </x:c>
      <x:c r="F4391" s="19" t="str">
        <x:v>2017</x:v>
      </x:c>
      <x:c r="G4391" s="19" t="str">
        <x:v>质量/成本</x:v>
      </x:c>
      <x:c r="H4391" s="19" t="str">
        <x:v>D:/Codex/GRL研究/outputs/grid87/GRID87_report.md</x:v>
      </x:c>
    </x:row>
    <x:row r="4392" ht="36" customHeight="1">
      <x:c r="A4392" s="19" t="str">
        <x:v>GRID87</x:v>
      </x:c>
      <x:c r="B4392" s="19" t="str">
        <x:v>GRID87_report.md</x:v>
      </x:c>
      <x:c r="C4392" s="19" t="str">
        <x:v>1. GRID87：固定256在原13日期的质量回归</x:v>
      </x:c>
      <x:c r="D4392" s="19" t="str">
        <x:v>日期=2035-11-19_0；固定256完成/步数=True/2017</x:v>
      </x:c>
      <x:c r="E4392" s="19" t="str">
        <x:v>固定256质量</x:v>
      </x:c>
      <x:c r="F4392" s="19" t="str">
        <x:v>True</x:v>
      </x:c>
      <x:c r="G4392" s="19" t="str">
        <x:v>质量/成本</x:v>
      </x:c>
      <x:c r="H4392" s="19" t="str">
        <x:v>D:/Codex/GRL研究/outputs/grid87/GRID87_report.md</x:v>
      </x:c>
    </x:row>
    <x:row r="4393" ht="36" customHeight="1">
      <x:c r="A4393" s="19" t="str">
        <x:v>GRID87</x:v>
      </x:c>
      <x:c r="B4393" s="19" t="str">
        <x:v>GRID87_report.md</x:v>
      </x:c>
      <x:c r="C4393" s="19" t="str">
        <x:v>1. GRID87：固定256在原13日期的质量回归</x:v>
      </x:c>
      <x:c r="D4393" s="19" t="str">
        <x:v>日期=2035-11-19_0；固定256完成/步数=True/2017</x:v>
      </x:c>
      <x:c r="E4393" s="19" t="str">
        <x:v>固定256成本相对FULL</x:v>
      </x:c>
      <x:c r="F4393" s="19" t="str">
        <x:v>-0.0231%</x:v>
      </x:c>
      <x:c r="G4393" s="19" t="str">
        <x:v>质量/成本</x:v>
      </x:c>
      <x:c r="H4393" s="19" t="str">
        <x:v>D:/Codex/GRL研究/outputs/grid87/GRID87_report.md</x:v>
      </x:c>
    </x:row>
    <x:row r="4394" ht="36" customHeight="1">
      <x:c r="A4394" s="19" t="str">
        <x:v>GRID87</x:v>
      </x:c>
      <x:c r="B4394" s="19" t="str">
        <x:v>GRID87_report.md</x:v>
      </x:c>
      <x:c r="C4394" s="19" t="str">
        <x:v>1. GRID87：固定256在原13日期的质量回归</x:v>
      </x:c>
      <x:c r="D4394" s="19" t="str">
        <x:v>日期=2035-11-19_0；固定256完成/步数=True/2017</x:v>
      </x:c>
      <x:c r="E4394" s="19" t="str">
        <x:v>GUARD成本相对FULL</x:v>
      </x:c>
      <x:c r="F4394" s="19" t="str">
        <x:v>-0.0231%</x:v>
      </x:c>
      <x:c r="G4394" s="19" t="str">
        <x:v>质量/成本</x:v>
      </x:c>
      <x:c r="H4394" s="19" t="str">
        <x:v>D:/Codex/GRL研究/outputs/grid87/GRID87_report.md</x:v>
      </x:c>
    </x:row>
    <x:row r="4395" ht="36" customHeight="1">
      <x:c r="A4395" s="19" t="str">
        <x:v>GRID87</x:v>
      </x:c>
      <x:c r="B4395" s="19" t="str">
        <x:v>GRID87_report.md</x:v>
      </x:c>
      <x:c r="C4395" s="19" t="str">
        <x:v>1. GRID87：固定256在原13日期的质量回归</x:v>
      </x:c>
      <x:c r="D4395" s="19" t="str">
        <x:v>日期=2035-11-19_0；固定256完成/步数=True/2017</x:v>
      </x:c>
      <x:c r="E4395" s="19" t="str">
        <x:v>固定256查询</x:v>
      </x:c>
      <x:c r="F4395" s="19" t="str">
        <x:v>768</x:v>
      </x:c>
      <x:c r="G4395" s="19" t="str">
        <x:v>速度/计算</x:v>
      </x:c>
      <x:c r="H4395" s="19" t="str">
        <x:v>D:/Codex/GRL研究/outputs/grid87/GRID87_report.md</x:v>
      </x:c>
    </x:row>
    <x:row r="4396" ht="36" customHeight="1">
      <x:c r="A4396" s="19" t="str">
        <x:v>GRID87</x:v>
      </x:c>
      <x:c r="B4396" s="19" t="str">
        <x:v>GRID87_report.md</x:v>
      </x:c>
      <x:c r="C4396" s="19" t="str">
        <x:v>1. GRID87：固定256在原13日期的质量回归</x:v>
      </x:c>
      <x:c r="D4396" s="19" t="str">
        <x:v>日期=2035-11-19_0；固定256完成/步数=True/2017</x:v>
      </x:c>
      <x:c r="E4396" s="19" t="str">
        <x:v>GUARD查询</x:v>
      </x:c>
      <x:c r="F4396" s="19" t="str">
        <x:v>921</x:v>
      </x:c>
      <x:c r="G4396" s="19" t="str">
        <x:v>速度/计算</x:v>
      </x:c>
      <x:c r="H4396" s="19" t="str">
        <x:v>D:/Codex/GRL研究/outputs/grid87/GRID87_report.md</x:v>
      </x:c>
    </x:row>
    <x:row r="4397" ht="36" customHeight="1">
      <x:c r="A4397" s="19" t="str">
        <x:v>GRID87</x:v>
      </x:c>
      <x:c r="B4397" s="19" t="str">
        <x:v>GRID87_report.md</x:v>
      </x:c>
      <x:c r="C4397" s="19" t="str">
        <x:v>1. GRID87：固定256在原13日期的质量回归</x:v>
      </x:c>
      <x:c r="D4397" s="19" t="str">
        <x:v>日期=2035-11-19_0；固定256完成/步数=True/2017</x:v>
      </x:c>
      <x:c r="E4397" s="19" t="str">
        <x:v>FULL查询</x:v>
      </x:c>
      <x:c r="F4397" s="19" t="str">
        <x:v>2680</x:v>
      </x:c>
      <x:c r="G4397" s="19" t="str">
        <x:v>速度/计算</x:v>
      </x:c>
      <x:c r="H4397" s="19" t="str">
        <x:v>D:/Codex/GRL研究/outputs/grid87/GRID87_report.md</x:v>
      </x:c>
    </x:row>
    <x:row r="4398" ht="36" customHeight="1">
      <x:c r="A4398" s="19" t="str">
        <x:v>GRID87</x:v>
      </x:c>
      <x:c r="B4398" s="19" t="str">
        <x:v>GRID87_report.md</x:v>
      </x:c>
      <x:c r="C4398" s="19" t="str">
        <x:v>1. GRID87：固定256在原13日期的质量回归</x:v>
      </x:c>
      <x:c r="D4398" s="19" t="str">
        <x:v>日期=2035-01-01_8；固定256完成/步数=True/2017</x:v>
      </x:c>
      <x:c r="E4398" s="19" t="str">
        <x:v>固定256完成/步数</x:v>
      </x:c>
      <x:c r="F4398" s="19" t="str">
        <x:v>True/2017</x:v>
      </x:c>
      <x:c r="G4398" s="19" t="str">
        <x:v>质量/成本</x:v>
      </x:c>
      <x:c r="H4398" s="19" t="str">
        <x:v>D:/Codex/GRL研究/outputs/grid87/GRID87_report.md</x:v>
      </x:c>
    </x:row>
    <x:row r="4399" ht="36" customHeight="1">
      <x:c r="A4399" s="19" t="str">
        <x:v>GRID87</x:v>
      </x:c>
      <x:c r="B4399" s="19" t="str">
        <x:v>GRID87_report.md</x:v>
      </x:c>
      <x:c r="C4399" s="19" t="str">
        <x:v>1. GRID87：固定256在原13日期的质量回归</x:v>
      </x:c>
      <x:c r="D4399" s="19" t="str">
        <x:v>日期=2035-01-01_8；固定256完成/步数=True/2017</x:v>
      </x:c>
      <x:c r="E4399" s="19" t="str">
        <x:v>FULL步数</x:v>
      </x:c>
      <x:c r="F4399" s="19" t="str">
        <x:v>2017</x:v>
      </x:c>
      <x:c r="G4399" s="19" t="str">
        <x:v>质量/成本</x:v>
      </x:c>
      <x:c r="H4399" s="19" t="str">
        <x:v>D:/Codex/GRL研究/outputs/grid87/GRID87_report.md</x:v>
      </x:c>
    </x:row>
    <x:row r="4400" ht="36" customHeight="1">
      <x:c r="A4400" s="19" t="str">
        <x:v>GRID87</x:v>
      </x:c>
      <x:c r="B4400" s="19" t="str">
        <x:v>GRID87_report.md</x:v>
      </x:c>
      <x:c r="C4400" s="19" t="str">
        <x:v>1. GRID87：固定256在原13日期的质量回归</x:v>
      </x:c>
      <x:c r="D4400" s="19" t="str">
        <x:v>日期=2035-01-01_8；固定256完成/步数=True/2017</x:v>
      </x:c>
      <x:c r="E4400" s="19" t="str">
        <x:v>固定256质量</x:v>
      </x:c>
      <x:c r="F4400" s="19" t="str">
        <x:v>True</x:v>
      </x:c>
      <x:c r="G4400" s="19" t="str">
        <x:v>质量/成本</x:v>
      </x:c>
      <x:c r="H4400" s="19" t="str">
        <x:v>D:/Codex/GRL研究/outputs/grid87/GRID87_report.md</x:v>
      </x:c>
    </x:row>
    <x:row r="4401" ht="36" customHeight="1">
      <x:c r="A4401" s="19" t="str">
        <x:v>GRID87</x:v>
      </x:c>
      <x:c r="B4401" s="19" t="str">
        <x:v>GRID87_report.md</x:v>
      </x:c>
      <x:c r="C4401" s="19" t="str">
        <x:v>1. GRID87：固定256在原13日期的质量回归</x:v>
      </x:c>
      <x:c r="D4401" s="19" t="str">
        <x:v>日期=2035-01-01_8；固定256完成/步数=True/2017</x:v>
      </x:c>
      <x:c r="E4401" s="19" t="str">
        <x:v>固定256成本相对FULL</x:v>
      </x:c>
      <x:c r="F4401" s="19" t="str">
        <x:v>+0.0000%</x:v>
      </x:c>
      <x:c r="G4401" s="19" t="str">
        <x:v>质量/成本</x:v>
      </x:c>
      <x:c r="H4401" s="19" t="str">
        <x:v>D:/Codex/GRL研究/outputs/grid87/GRID87_report.md</x:v>
      </x:c>
    </x:row>
    <x:row r="4402" ht="36" customHeight="1">
      <x:c r="A4402" s="19" t="str">
        <x:v>GRID87</x:v>
      </x:c>
      <x:c r="B4402" s="19" t="str">
        <x:v>GRID87_report.md</x:v>
      </x:c>
      <x:c r="C4402" s="19" t="str">
        <x:v>1. GRID87：固定256在原13日期的质量回归</x:v>
      </x:c>
      <x:c r="D4402" s="19" t="str">
        <x:v>日期=2035-01-01_8；固定256完成/步数=True/2017</x:v>
      </x:c>
      <x:c r="E4402" s="19" t="str">
        <x:v>GUARD成本相对FULL</x:v>
      </x:c>
      <x:c r="F4402" s="19" t="str">
        <x:v>+0.0000%</x:v>
      </x:c>
      <x:c r="G4402" s="19" t="str">
        <x:v>质量/成本</x:v>
      </x:c>
      <x:c r="H4402" s="19" t="str">
        <x:v>D:/Codex/GRL研究/outputs/grid87/GRID87_report.md</x:v>
      </x:c>
    </x:row>
    <x:row r="4403" ht="36" customHeight="1">
      <x:c r="A4403" s="19" t="str">
        <x:v>GRID87</x:v>
      </x:c>
      <x:c r="B4403" s="19" t="str">
        <x:v>GRID87_report.md</x:v>
      </x:c>
      <x:c r="C4403" s="19" t="str">
        <x:v>1. GRID87：固定256在原13日期的质量回归</x:v>
      </x:c>
      <x:c r="D4403" s="19" t="str">
        <x:v>日期=2035-01-01_8；固定256完成/步数=True/2017</x:v>
      </x:c>
      <x:c r="E4403" s="19" t="str">
        <x:v>固定256查询</x:v>
      </x:c>
      <x:c r="F4403" s="19" t="str">
        <x:v>512</x:v>
      </x:c>
      <x:c r="G4403" s="19" t="str">
        <x:v>速度/计算</x:v>
      </x:c>
      <x:c r="H4403" s="19" t="str">
        <x:v>D:/Codex/GRL研究/outputs/grid87/GRID87_report.md</x:v>
      </x:c>
    </x:row>
    <x:row r="4404" ht="36" customHeight="1">
      <x:c r="A4404" s="19" t="str">
        <x:v>GRID87</x:v>
      </x:c>
      <x:c r="B4404" s="19" t="str">
        <x:v>GRID87_report.md</x:v>
      </x:c>
      <x:c r="C4404" s="19" t="str">
        <x:v>1. GRID87：固定256在原13日期的质量回归</x:v>
      </x:c>
      <x:c r="D4404" s="19" t="str">
        <x:v>日期=2035-01-01_8；固定256完成/步数=True/2017</x:v>
      </x:c>
      <x:c r="E4404" s="19" t="str">
        <x:v>GUARD查询</x:v>
      </x:c>
      <x:c r="F4404" s="19" t="str">
        <x:v>767</x:v>
      </x:c>
      <x:c r="G4404" s="19" t="str">
        <x:v>速度/计算</x:v>
      </x:c>
      <x:c r="H4404" s="19" t="str">
        <x:v>D:/Codex/GRL研究/outputs/grid87/GRID87_report.md</x:v>
      </x:c>
    </x:row>
    <x:row r="4405" ht="36" customHeight="1">
      <x:c r="A4405" s="19" t="str">
        <x:v>GRID87</x:v>
      </x:c>
      <x:c r="B4405" s="19" t="str">
        <x:v>GRID87_report.md</x:v>
      </x:c>
      <x:c r="C4405" s="19" t="str">
        <x:v>1. GRID87：固定256在原13日期的质量回归</x:v>
      </x:c>
      <x:c r="D4405" s="19" t="str">
        <x:v>日期=2035-01-01_8；固定256完成/步数=True/2017</x:v>
      </x:c>
      <x:c r="E4405" s="19" t="str">
        <x:v>FULL查询</x:v>
      </x:c>
      <x:c r="F4405" s="19" t="str">
        <x:v>1788</x:v>
      </x:c>
      <x:c r="G4405" s="19" t="str">
        <x:v>速度/计算</x:v>
      </x:c>
      <x:c r="H4405" s="19" t="str">
        <x:v>D:/Codex/GRL研究/outputs/grid87/GRID87_report.md</x:v>
      </x:c>
    </x:row>
    <x:row r="4406" ht="36" customHeight="1">
      <x:c r="A4406" s="19" t="str">
        <x:v>GRID87</x:v>
      </x:c>
      <x:c r="B4406" s="19" t="str">
        <x:v>GRID87_report.md</x:v>
      </x:c>
      <x:c r="C4406" s="19" t="str">
        <x:v>1. GRID87：固定256在原13日期的质量回归</x:v>
      </x:c>
      <x:c r="D4406" s="19" t="str">
        <x:v>日期=2035-02-19_8；固定256完成/步数=True/2017</x:v>
      </x:c>
      <x:c r="E4406" s="19" t="str">
        <x:v>固定256完成/步数</x:v>
      </x:c>
      <x:c r="F4406" s="19" t="str">
        <x:v>True/2017</x:v>
      </x:c>
      <x:c r="G4406" s="19" t="str">
        <x:v>质量/成本</x:v>
      </x:c>
      <x:c r="H4406" s="19" t="str">
        <x:v>D:/Codex/GRL研究/outputs/grid87/GRID87_report.md</x:v>
      </x:c>
    </x:row>
    <x:row r="4407" ht="36" customHeight="1">
      <x:c r="A4407" s="19" t="str">
        <x:v>GRID87</x:v>
      </x:c>
      <x:c r="B4407" s="19" t="str">
        <x:v>GRID87_report.md</x:v>
      </x:c>
      <x:c r="C4407" s="19" t="str">
        <x:v>1. GRID87：固定256在原13日期的质量回归</x:v>
      </x:c>
      <x:c r="D4407" s="19" t="str">
        <x:v>日期=2035-02-19_8；固定256完成/步数=True/2017</x:v>
      </x:c>
      <x:c r="E4407" s="19" t="str">
        <x:v>FULL步数</x:v>
      </x:c>
      <x:c r="F4407" s="19" t="str">
        <x:v>2017</x:v>
      </x:c>
      <x:c r="G4407" s="19" t="str">
        <x:v>质量/成本</x:v>
      </x:c>
      <x:c r="H4407" s="19" t="str">
        <x:v>D:/Codex/GRL研究/outputs/grid87/GRID87_report.md</x:v>
      </x:c>
    </x:row>
    <x:row r="4408" ht="36" customHeight="1">
      <x:c r="A4408" s="19" t="str">
        <x:v>GRID87</x:v>
      </x:c>
      <x:c r="B4408" s="19" t="str">
        <x:v>GRID87_report.md</x:v>
      </x:c>
      <x:c r="C4408" s="19" t="str">
        <x:v>1. GRID87：固定256在原13日期的质量回归</x:v>
      </x:c>
      <x:c r="D4408" s="19" t="str">
        <x:v>日期=2035-02-19_8；固定256完成/步数=True/2017</x:v>
      </x:c>
      <x:c r="E4408" s="19" t="str">
        <x:v>固定256质量</x:v>
      </x:c>
      <x:c r="F4408" s="19" t="str">
        <x:v>False</x:v>
      </x:c>
      <x:c r="G4408" s="19" t="str">
        <x:v>质量/成本</x:v>
      </x:c>
      <x:c r="H4408" s="19" t="str">
        <x:v>D:/Codex/GRL研究/outputs/grid87/GRID87_report.md</x:v>
      </x:c>
    </x:row>
    <x:row r="4409" ht="36" customHeight="1">
      <x:c r="A4409" s="19" t="str">
        <x:v>GRID87</x:v>
      </x:c>
      <x:c r="B4409" s="19" t="str">
        <x:v>GRID87_report.md</x:v>
      </x:c>
      <x:c r="C4409" s="19" t="str">
        <x:v>1. GRID87：固定256在原13日期的质量回归</x:v>
      </x:c>
      <x:c r="D4409" s="19" t="str">
        <x:v>日期=2035-02-19_8；固定256完成/步数=True/2017</x:v>
      </x:c>
      <x:c r="E4409" s="19" t="str">
        <x:v>固定256成本相对FULL</x:v>
      </x:c>
      <x:c r="F4409" s="19" t="str">
        <x:v>+0.9829%</x:v>
      </x:c>
      <x:c r="G4409" s="19" t="str">
        <x:v>质量/成本</x:v>
      </x:c>
      <x:c r="H4409" s="19" t="str">
        <x:v>D:/Codex/GRL研究/outputs/grid87/GRID87_report.md</x:v>
      </x:c>
    </x:row>
    <x:row r="4410" ht="36" customHeight="1">
      <x:c r="A4410" s="19" t="str">
        <x:v>GRID87</x:v>
      </x:c>
      <x:c r="B4410" s="19" t="str">
        <x:v>GRID87_report.md</x:v>
      </x:c>
      <x:c r="C4410" s="19" t="str">
        <x:v>1. GRID87：固定256在原13日期的质量回归</x:v>
      </x:c>
      <x:c r="D4410" s="19" t="str">
        <x:v>日期=2035-02-19_8；固定256完成/步数=True/2017</x:v>
      </x:c>
      <x:c r="E4410" s="19" t="str">
        <x:v>GUARD成本相对FULL</x:v>
      </x:c>
      <x:c r="F4410" s="19" t="str">
        <x:v>-2.2392%</x:v>
      </x:c>
      <x:c r="G4410" s="19" t="str">
        <x:v>质量/成本</x:v>
      </x:c>
      <x:c r="H4410" s="19" t="str">
        <x:v>D:/Codex/GRL研究/outputs/grid87/GRID87_report.md</x:v>
      </x:c>
    </x:row>
    <x:row r="4411" ht="36" customHeight="1">
      <x:c r="A4411" s="19" t="str">
        <x:v>GRID87</x:v>
      </x:c>
      <x:c r="B4411" s="19" t="str">
        <x:v>GRID87_report.md</x:v>
      </x:c>
      <x:c r="C4411" s="19" t="str">
        <x:v>1. GRID87：固定256在原13日期的质量回归</x:v>
      </x:c>
      <x:c r="D4411" s="19" t="str">
        <x:v>日期=2035-02-19_8；固定256完成/步数=True/2017</x:v>
      </x:c>
      <x:c r="E4411" s="19" t="str">
        <x:v>固定256查询</x:v>
      </x:c>
      <x:c r="F4411" s="19" t="str">
        <x:v>4096</x:v>
      </x:c>
      <x:c r="G4411" s="19" t="str">
        <x:v>速度/计算</x:v>
      </x:c>
      <x:c r="H4411" s="19" t="str">
        <x:v>D:/Codex/GRL研究/outputs/grid87/GRID87_report.md</x:v>
      </x:c>
    </x:row>
    <x:row r="4412" ht="36" customHeight="1">
      <x:c r="A4412" s="19" t="str">
        <x:v>GRID87</x:v>
      </x:c>
      <x:c r="B4412" s="19" t="str">
        <x:v>GRID87_report.md</x:v>
      </x:c>
      <x:c r="C4412" s="19" t="str">
        <x:v>1. GRID87：固定256在原13日期的质量回归</x:v>
      </x:c>
      <x:c r="D4412" s="19" t="str">
        <x:v>日期=2035-02-19_8；固定256完成/步数=True/2017</x:v>
      </x:c>
      <x:c r="E4412" s="19" t="str">
        <x:v>GUARD查询</x:v>
      </x:c>
      <x:c r="F4412" s="19" t="str">
        <x:v>6853</x:v>
      </x:c>
      <x:c r="G4412" s="19" t="str">
        <x:v>速度/计算</x:v>
      </x:c>
      <x:c r="H4412" s="19" t="str">
        <x:v>D:/Codex/GRL研究/outputs/grid87/GRID87_report.md</x:v>
      </x:c>
    </x:row>
    <x:row r="4413" ht="36" customHeight="1">
      <x:c r="A4413" s="19" t="str">
        <x:v>GRID87</x:v>
      </x:c>
      <x:c r="B4413" s="19" t="str">
        <x:v>GRID87_report.md</x:v>
      </x:c>
      <x:c r="C4413" s="19" t="str">
        <x:v>1. GRID87：固定256在原13日期的质量回归</x:v>
      </x:c>
      <x:c r="D4413" s="19" t="str">
        <x:v>日期=2035-02-19_8；固定256完成/步数=True/2017</x:v>
      </x:c>
      <x:c r="E4413" s="19" t="str">
        <x:v>FULL查询</x:v>
      </x:c>
      <x:c r="F4413" s="19" t="str">
        <x:v>13324</x:v>
      </x:c>
      <x:c r="G4413" s="19" t="str">
        <x:v>速度/计算</x:v>
      </x:c>
      <x:c r="H4413" s="19" t="str">
        <x:v>D:/Codex/GRL研究/outputs/grid87/GRID87_report.md</x:v>
      </x:c>
    </x:row>
    <x:row r="4414" ht="36" customHeight="1">
      <x:c r="A4414" s="19" t="str">
        <x:v>GRID87</x:v>
      </x:c>
      <x:c r="B4414" s="19" t="str">
        <x:v>GRID87_report.md</x:v>
      </x:c>
      <x:c r="C4414" s="19" t="str">
        <x:v>1. GRID87：固定256在原13日期的质量回归</x:v>
      </x:c>
      <x:c r="D4414" s="19" t="str">
        <x:v>日期=2035-04-02_9；固定256完成/步数=True/2017</x:v>
      </x:c>
      <x:c r="E4414" s="19" t="str">
        <x:v>固定256完成/步数</x:v>
      </x:c>
      <x:c r="F4414" s="19" t="str">
        <x:v>True/2017</x:v>
      </x:c>
      <x:c r="G4414" s="19" t="str">
        <x:v>质量/成本</x:v>
      </x:c>
      <x:c r="H4414" s="19" t="str">
        <x:v>D:/Codex/GRL研究/outputs/grid87/GRID87_report.md</x:v>
      </x:c>
    </x:row>
    <x:row r="4415" ht="36" customHeight="1">
      <x:c r="A4415" s="19" t="str">
        <x:v>GRID87</x:v>
      </x:c>
      <x:c r="B4415" s="19" t="str">
        <x:v>GRID87_report.md</x:v>
      </x:c>
      <x:c r="C4415" s="19" t="str">
        <x:v>1. GRID87：固定256在原13日期的质量回归</x:v>
      </x:c>
      <x:c r="D4415" s="19" t="str">
        <x:v>日期=2035-04-02_9；固定256完成/步数=True/2017</x:v>
      </x:c>
      <x:c r="E4415" s="19" t="str">
        <x:v>FULL步数</x:v>
      </x:c>
      <x:c r="F4415" s="19" t="str">
        <x:v>2017</x:v>
      </x:c>
      <x:c r="G4415" s="19" t="str">
        <x:v>质量/成本</x:v>
      </x:c>
      <x:c r="H4415" s="19" t="str">
        <x:v>D:/Codex/GRL研究/outputs/grid87/GRID87_report.md</x:v>
      </x:c>
    </x:row>
    <x:row r="4416" ht="36" customHeight="1">
      <x:c r="A4416" s="19" t="str">
        <x:v>GRID87</x:v>
      </x:c>
      <x:c r="B4416" s="19" t="str">
        <x:v>GRID87_report.md</x:v>
      </x:c>
      <x:c r="C4416" s="19" t="str">
        <x:v>1. GRID87：固定256在原13日期的质量回归</x:v>
      </x:c>
      <x:c r="D4416" s="19" t="str">
        <x:v>日期=2035-04-02_9；固定256完成/步数=True/2017</x:v>
      </x:c>
      <x:c r="E4416" s="19" t="str">
        <x:v>固定256质量</x:v>
      </x:c>
      <x:c r="F4416" s="19" t="str">
        <x:v>True</x:v>
      </x:c>
      <x:c r="G4416" s="19" t="str">
        <x:v>质量/成本</x:v>
      </x:c>
      <x:c r="H4416" s="19" t="str">
        <x:v>D:/Codex/GRL研究/outputs/grid87/GRID87_report.md</x:v>
      </x:c>
    </x:row>
    <x:row r="4417" ht="36" customHeight="1">
      <x:c r="A4417" s="19" t="str">
        <x:v>GRID87</x:v>
      </x:c>
      <x:c r="B4417" s="19" t="str">
        <x:v>GRID87_report.md</x:v>
      </x:c>
      <x:c r="C4417" s="19" t="str">
        <x:v>1. GRID87：固定256在原13日期的质量回归</x:v>
      </x:c>
      <x:c r="D4417" s="19" t="str">
        <x:v>日期=2035-04-02_9；固定256完成/步数=True/2017</x:v>
      </x:c>
      <x:c r="E4417" s="19" t="str">
        <x:v>固定256成本相对FULL</x:v>
      </x:c>
      <x:c r="F4417" s="19" t="str">
        <x:v>-3.8062%</x:v>
      </x:c>
      <x:c r="G4417" s="19" t="str">
        <x:v>质量/成本</x:v>
      </x:c>
      <x:c r="H4417" s="19" t="str">
        <x:v>D:/Codex/GRL研究/outputs/grid87/GRID87_report.md</x:v>
      </x:c>
    </x:row>
    <x:row r="4418" ht="36" customHeight="1">
      <x:c r="A4418" s="19" t="str">
        <x:v>GRID87</x:v>
      </x:c>
      <x:c r="B4418" s="19" t="str">
        <x:v>GRID87_report.md</x:v>
      </x:c>
      <x:c r="C4418" s="19" t="str">
        <x:v>1. GRID87：固定256在原13日期的质量回归</x:v>
      </x:c>
      <x:c r="D4418" s="19" t="str">
        <x:v>日期=2035-04-02_9；固定256完成/步数=True/2017</x:v>
      </x:c>
      <x:c r="E4418" s="19" t="str">
        <x:v>GUARD成本相对FULL</x:v>
      </x:c>
      <x:c r="F4418" s="19" t="str">
        <x:v>-3.1580%</x:v>
      </x:c>
      <x:c r="G4418" s="19" t="str">
        <x:v>质量/成本</x:v>
      </x:c>
      <x:c r="H4418" s="19" t="str">
        <x:v>D:/Codex/GRL研究/outputs/grid87/GRID87_report.md</x:v>
      </x:c>
    </x:row>
    <x:row r="4419" ht="36" customHeight="1">
      <x:c r="A4419" s="19" t="str">
        <x:v>GRID87</x:v>
      </x:c>
      <x:c r="B4419" s="19" t="str">
        <x:v>GRID87_report.md</x:v>
      </x:c>
      <x:c r="C4419" s="19" t="str">
        <x:v>1. GRID87：固定256在原13日期的质量回归</x:v>
      </x:c>
      <x:c r="D4419" s="19" t="str">
        <x:v>日期=2035-04-02_9；固定256完成/步数=True/2017</x:v>
      </x:c>
      <x:c r="E4419" s="19" t="str">
        <x:v>固定256查询</x:v>
      </x:c>
      <x:c r="F4419" s="19" t="str">
        <x:v>1792</x:v>
      </x:c>
      <x:c r="G4419" s="19" t="str">
        <x:v>速度/计算</x:v>
      </x:c>
      <x:c r="H4419" s="19" t="str">
        <x:v>D:/Codex/GRL研究/outputs/grid87/GRID87_report.md</x:v>
      </x:c>
    </x:row>
    <x:row r="4420" ht="36" customHeight="1">
      <x:c r="A4420" s="19" t="str">
        <x:v>GRID87</x:v>
      </x:c>
      <x:c r="B4420" s="19" t="str">
        <x:v>GRID87_report.md</x:v>
      </x:c>
      <x:c r="C4420" s="19" t="str">
        <x:v>1. GRID87：固定256在原13日期的质量回归</x:v>
      </x:c>
      <x:c r="D4420" s="19" t="str">
        <x:v>日期=2035-04-02_9；固定256完成/步数=True/2017</x:v>
      </x:c>
      <x:c r="E4420" s="19" t="str">
        <x:v>GUARD查询</x:v>
      </x:c>
      <x:c r="F4420" s="19" t="str">
        <x:v>2619</x:v>
      </x:c>
      <x:c r="G4420" s="19" t="str">
        <x:v>速度/计算</x:v>
      </x:c>
      <x:c r="H4420" s="19" t="str">
        <x:v>D:/Codex/GRL研究/outputs/grid87/GRID87_report.md</x:v>
      </x:c>
    </x:row>
    <x:row r="4421" ht="36" customHeight="1">
      <x:c r="A4421" s="19" t="str">
        <x:v>GRID87</x:v>
      </x:c>
      <x:c r="B4421" s="19" t="str">
        <x:v>GRID87_report.md</x:v>
      </x:c>
      <x:c r="C4421" s="19" t="str">
        <x:v>1. GRID87：固定256在原13日期的质量回归</x:v>
      </x:c>
      <x:c r="D4421" s="19" t="str">
        <x:v>日期=2035-04-02_9；固定256完成/步数=True/2017</x:v>
      </x:c>
      <x:c r="E4421" s="19" t="str">
        <x:v>FULL查询</x:v>
      </x:c>
      <x:c r="F4421" s="19" t="str">
        <x:v>9810</x:v>
      </x:c>
      <x:c r="G4421" s="19" t="str">
        <x:v>速度/计算</x:v>
      </x:c>
      <x:c r="H4421" s="19" t="str">
        <x:v>D:/Codex/GRL研究/outputs/grid87/GRID87_report.md</x:v>
      </x:c>
    </x:row>
    <x:row r="4422" ht="36" customHeight="1">
      <x:c r="A4422" s="19" t="str">
        <x:v>GRID87</x:v>
      </x:c>
      <x:c r="B4422" s="19" t="str">
        <x:v>GRID87_report.md</x:v>
      </x:c>
      <x:c r="C4422" s="19" t="str">
        <x:v>1. GRID87：固定256在原13日期的质量回归</x:v>
      </x:c>
      <x:c r="D4422" s="19" t="str">
        <x:v>日期=2035-07-09_2；固定256完成/步数=True/2017</x:v>
      </x:c>
      <x:c r="E4422" s="19" t="str">
        <x:v>固定256完成/步数</x:v>
      </x:c>
      <x:c r="F4422" s="19" t="str">
        <x:v>True/2017</x:v>
      </x:c>
      <x:c r="G4422" s="19" t="str">
        <x:v>质量/成本</x:v>
      </x:c>
      <x:c r="H4422" s="19" t="str">
        <x:v>D:/Codex/GRL研究/outputs/grid87/GRID87_report.md</x:v>
      </x:c>
    </x:row>
    <x:row r="4423" ht="36" customHeight="1">
      <x:c r="A4423" s="19" t="str">
        <x:v>GRID87</x:v>
      </x:c>
      <x:c r="B4423" s="19" t="str">
        <x:v>GRID87_report.md</x:v>
      </x:c>
      <x:c r="C4423" s="19" t="str">
        <x:v>1. GRID87：固定256在原13日期的质量回归</x:v>
      </x:c>
      <x:c r="D4423" s="19" t="str">
        <x:v>日期=2035-07-09_2；固定256完成/步数=True/2017</x:v>
      </x:c>
      <x:c r="E4423" s="19" t="str">
        <x:v>FULL步数</x:v>
      </x:c>
      <x:c r="F4423" s="19" t="str">
        <x:v>2017</x:v>
      </x:c>
      <x:c r="G4423" s="19" t="str">
        <x:v>质量/成本</x:v>
      </x:c>
      <x:c r="H4423" s="19" t="str">
        <x:v>D:/Codex/GRL研究/outputs/grid87/GRID87_report.md</x:v>
      </x:c>
    </x:row>
    <x:row r="4424" ht="36" customHeight="1">
      <x:c r="A4424" s="19" t="str">
        <x:v>GRID87</x:v>
      </x:c>
      <x:c r="B4424" s="19" t="str">
        <x:v>GRID87_report.md</x:v>
      </x:c>
      <x:c r="C4424" s="19" t="str">
        <x:v>1. GRID87：固定256在原13日期的质量回归</x:v>
      </x:c>
      <x:c r="D4424" s="19" t="str">
        <x:v>日期=2035-07-09_2；固定256完成/步数=True/2017</x:v>
      </x:c>
      <x:c r="E4424" s="19" t="str">
        <x:v>固定256质量</x:v>
      </x:c>
      <x:c r="F4424" s="19" t="str">
        <x:v>False</x:v>
      </x:c>
      <x:c r="G4424" s="19" t="str">
        <x:v>质量/成本</x:v>
      </x:c>
      <x:c r="H4424" s="19" t="str">
        <x:v>D:/Codex/GRL研究/outputs/grid87/GRID87_report.md</x:v>
      </x:c>
    </x:row>
    <x:row r="4425" ht="36" customHeight="1">
      <x:c r="A4425" s="19" t="str">
        <x:v>GRID87</x:v>
      </x:c>
      <x:c r="B4425" s="19" t="str">
        <x:v>GRID87_report.md</x:v>
      </x:c>
      <x:c r="C4425" s="19" t="str">
        <x:v>1. GRID87：固定256在原13日期的质量回归</x:v>
      </x:c>
      <x:c r="D4425" s="19" t="str">
        <x:v>日期=2035-07-09_2；固定256完成/步数=True/2017</x:v>
      </x:c>
      <x:c r="E4425" s="19" t="str">
        <x:v>固定256成本相对FULL</x:v>
      </x:c>
      <x:c r="F4425" s="19" t="str">
        <x:v>+10.3739%</x:v>
      </x:c>
      <x:c r="G4425" s="19" t="str">
        <x:v>质量/成本</x:v>
      </x:c>
      <x:c r="H4425" s="19" t="str">
        <x:v>D:/Codex/GRL研究/outputs/grid87/GRID87_report.md</x:v>
      </x:c>
    </x:row>
    <x:row r="4426" ht="36" customHeight="1">
      <x:c r="A4426" s="19" t="str">
        <x:v>GRID87</x:v>
      </x:c>
      <x:c r="B4426" s="19" t="str">
        <x:v>GRID87_report.md</x:v>
      </x:c>
      <x:c r="C4426" s="19" t="str">
        <x:v>1. GRID87：固定256在原13日期的质量回归</x:v>
      </x:c>
      <x:c r="D4426" s="19" t="str">
        <x:v>日期=2035-07-09_2；固定256完成/步数=True/2017</x:v>
      </x:c>
      <x:c r="E4426" s="19" t="str">
        <x:v>GUARD成本相对FULL</x:v>
      </x:c>
      <x:c r="F4426" s="19" t="str">
        <x:v>-0.2504%</x:v>
      </x:c>
      <x:c r="G4426" s="19" t="str">
        <x:v>质量/成本</x:v>
      </x:c>
      <x:c r="H4426" s="19" t="str">
        <x:v>D:/Codex/GRL研究/outputs/grid87/GRID87_report.md</x:v>
      </x:c>
    </x:row>
    <x:row r="4427" ht="36" customHeight="1">
      <x:c r="A4427" s="19" t="str">
        <x:v>GRID87</x:v>
      </x:c>
      <x:c r="B4427" s="19" t="str">
        <x:v>GRID87_report.md</x:v>
      </x:c>
      <x:c r="C4427" s="19" t="str">
        <x:v>1. GRID87：固定256在原13日期的质量回归</x:v>
      </x:c>
      <x:c r="D4427" s="19" t="str">
        <x:v>日期=2035-07-09_2；固定256完成/步数=True/2017</x:v>
      </x:c>
      <x:c r="E4427" s="19" t="str">
        <x:v>固定256查询</x:v>
      </x:c>
      <x:c r="F4427" s="19" t="str">
        <x:v>2560</x:v>
      </x:c>
      <x:c r="G4427" s="19" t="str">
        <x:v>速度/计算</x:v>
      </x:c>
      <x:c r="H4427" s="19" t="str">
        <x:v>D:/Codex/GRL研究/outputs/grid87/GRID87_report.md</x:v>
      </x:c>
    </x:row>
    <x:row r="4428" ht="36" customHeight="1">
      <x:c r="A4428" s="19" t="str">
        <x:v>GRID87</x:v>
      </x:c>
      <x:c r="B4428" s="19" t="str">
        <x:v>GRID87_report.md</x:v>
      </x:c>
      <x:c r="C4428" s="19" t="str">
        <x:v>1. GRID87：固定256在原13日期的质量回归</x:v>
      </x:c>
      <x:c r="D4428" s="19" t="str">
        <x:v>日期=2035-07-09_2；固定256完成/步数=True/2017</x:v>
      </x:c>
      <x:c r="E4428" s="19" t="str">
        <x:v>GUARD查询</x:v>
      </x:c>
      <x:c r="F4428" s="19" t="str">
        <x:v>5120</x:v>
      </x:c>
      <x:c r="G4428" s="19" t="str">
        <x:v>速度/计算</x:v>
      </x:c>
      <x:c r="H4428" s="19" t="str">
        <x:v>D:/Codex/GRL研究/outputs/grid87/GRID87_report.md</x:v>
      </x:c>
    </x:row>
    <x:row r="4429" ht="36" customHeight="1">
      <x:c r="A4429" s="19" t="str">
        <x:v>GRID87</x:v>
      </x:c>
      <x:c r="B4429" s="19" t="str">
        <x:v>GRID87_report.md</x:v>
      </x:c>
      <x:c r="C4429" s="19" t="str">
        <x:v>1. GRID87：固定256在原13日期的质量回归</x:v>
      </x:c>
      <x:c r="D4429" s="19" t="str">
        <x:v>日期=2035-07-09_2；固定256完成/步数=True/2017</x:v>
      </x:c>
      <x:c r="E4429" s="19" t="str">
        <x:v>FULL查询</x:v>
      </x:c>
      <x:c r="F4429" s="19" t="str">
        <x:v>11178</x:v>
      </x:c>
      <x:c r="G4429" s="19" t="str">
        <x:v>速度/计算</x:v>
      </x:c>
      <x:c r="H4429" s="19" t="str">
        <x:v>D:/Codex/GRL研究/outputs/grid87/GRID87_report.md</x:v>
      </x:c>
    </x:row>
    <x:row r="4430" ht="36" customHeight="1">
      <x:c r="A4430" s="19" t="str">
        <x:v>GRID87</x:v>
      </x:c>
      <x:c r="B4430" s="19" t="str">
        <x:v>GRID87_report.md</x:v>
      </x:c>
      <x:c r="C4430" s="19" t="str">
        <x:v>1. GRID87：固定256在原13日期的质量回归</x:v>
      </x:c>
      <x:c r="D4430" s="19" t="str">
        <x:v>日期=2035-12-10_6；固定256完成/步数=True/2017</x:v>
      </x:c>
      <x:c r="E4430" s="19" t="str">
        <x:v>固定256完成/步数</x:v>
      </x:c>
      <x:c r="F4430" s="19" t="str">
        <x:v>True/2017</x:v>
      </x:c>
      <x:c r="G4430" s="19" t="str">
        <x:v>质量/成本</x:v>
      </x:c>
      <x:c r="H4430" s="19" t="str">
        <x:v>D:/Codex/GRL研究/outputs/grid87/GRID87_report.md</x:v>
      </x:c>
    </x:row>
    <x:row r="4431" ht="36" customHeight="1">
      <x:c r="A4431" s="19" t="str">
        <x:v>GRID87</x:v>
      </x:c>
      <x:c r="B4431" s="19" t="str">
        <x:v>GRID87_report.md</x:v>
      </x:c>
      <x:c r="C4431" s="19" t="str">
        <x:v>1. GRID87：固定256在原13日期的质量回归</x:v>
      </x:c>
      <x:c r="D4431" s="19" t="str">
        <x:v>日期=2035-12-10_6；固定256完成/步数=True/2017</x:v>
      </x:c>
      <x:c r="E4431" s="19" t="str">
        <x:v>FULL步数</x:v>
      </x:c>
      <x:c r="F4431" s="19" t="str">
        <x:v>2017</x:v>
      </x:c>
      <x:c r="G4431" s="19" t="str">
        <x:v>质量/成本</x:v>
      </x:c>
      <x:c r="H4431" s="19" t="str">
        <x:v>D:/Codex/GRL研究/outputs/grid87/GRID87_report.md</x:v>
      </x:c>
    </x:row>
    <x:row r="4432" ht="36" customHeight="1">
      <x:c r="A4432" s="19" t="str">
        <x:v>GRID87</x:v>
      </x:c>
      <x:c r="B4432" s="19" t="str">
        <x:v>GRID87_report.md</x:v>
      </x:c>
      <x:c r="C4432" s="19" t="str">
        <x:v>1. GRID87：固定256在原13日期的质量回归</x:v>
      </x:c>
      <x:c r="D4432" s="19" t="str">
        <x:v>日期=2035-12-10_6；固定256完成/步数=True/2017</x:v>
      </x:c>
      <x:c r="E4432" s="19" t="str">
        <x:v>固定256质量</x:v>
      </x:c>
      <x:c r="F4432" s="19" t="str">
        <x:v>False</x:v>
      </x:c>
      <x:c r="G4432" s="19" t="str">
        <x:v>质量/成本</x:v>
      </x:c>
      <x:c r="H4432" s="19" t="str">
        <x:v>D:/Codex/GRL研究/outputs/grid87/GRID87_report.md</x:v>
      </x:c>
    </x:row>
    <x:row r="4433" ht="36" customHeight="1">
      <x:c r="A4433" s="19" t="str">
        <x:v>GRID87</x:v>
      </x:c>
      <x:c r="B4433" s="19" t="str">
        <x:v>GRID87_report.md</x:v>
      </x:c>
      <x:c r="C4433" s="19" t="str">
        <x:v>1. GRID87：固定256在原13日期的质量回归</x:v>
      </x:c>
      <x:c r="D4433" s="19" t="str">
        <x:v>日期=2035-12-10_6；固定256完成/步数=True/2017</x:v>
      </x:c>
      <x:c r="E4433" s="19" t="str">
        <x:v>固定256成本相对FULL</x:v>
      </x:c>
      <x:c r="F4433" s="19" t="str">
        <x:v>+1.0225%</x:v>
      </x:c>
      <x:c r="G4433" s="19" t="str">
        <x:v>质量/成本</x:v>
      </x:c>
      <x:c r="H4433" s="19" t="str">
        <x:v>D:/Codex/GRL研究/outputs/grid87/GRID87_report.md</x:v>
      </x:c>
    </x:row>
    <x:row r="4434" ht="36" customHeight="1">
      <x:c r="A4434" s="19" t="str">
        <x:v>GRID87</x:v>
      </x:c>
      <x:c r="B4434" s="19" t="str">
        <x:v>GRID87_report.md</x:v>
      </x:c>
      <x:c r="C4434" s="19" t="str">
        <x:v>1. GRID87：固定256在原13日期的质量回归</x:v>
      </x:c>
      <x:c r="D4434" s="19" t="str">
        <x:v>日期=2035-12-10_6；固定256完成/步数=True/2017</x:v>
      </x:c>
      <x:c r="E4434" s="19" t="str">
        <x:v>GUARD成本相对FULL</x:v>
      </x:c>
      <x:c r="F4434" s="19" t="str">
        <x:v>-0.0313%</x:v>
      </x:c>
      <x:c r="G4434" s="19" t="str">
        <x:v>质量/成本</x:v>
      </x:c>
      <x:c r="H4434" s="19" t="str">
        <x:v>D:/Codex/GRL研究/outputs/grid87/GRID87_report.md</x:v>
      </x:c>
    </x:row>
    <x:row r="4435" ht="36" customHeight="1">
      <x:c r="A4435" s="19" t="str">
        <x:v>GRID87</x:v>
      </x:c>
      <x:c r="B4435" s="19" t="str">
        <x:v>GRID87_report.md</x:v>
      </x:c>
      <x:c r="C4435" s="19" t="str">
        <x:v>1. GRID87：固定256在原13日期的质量回归</x:v>
      </x:c>
      <x:c r="D4435" s="19" t="str">
        <x:v>日期=2035-12-10_6；固定256完成/步数=True/2017</x:v>
      </x:c>
      <x:c r="E4435" s="19" t="str">
        <x:v>固定256查询</x:v>
      </x:c>
      <x:c r="F4435" s="19" t="str">
        <x:v>3584</x:v>
      </x:c>
      <x:c r="G4435" s="19" t="str">
        <x:v>速度/计算</x:v>
      </x:c>
      <x:c r="H4435" s="19" t="str">
        <x:v>D:/Codex/GRL研究/outputs/grid87/GRID87_report.md</x:v>
      </x:c>
    </x:row>
    <x:row r="4436" ht="36" customHeight="1">
      <x:c r="A4436" s="19" t="str">
        <x:v>GRID87</x:v>
      </x:c>
      <x:c r="B4436" s="19" t="str">
        <x:v>GRID87_report.md</x:v>
      </x:c>
      <x:c r="C4436" s="19" t="str">
        <x:v>1. GRID87：固定256在原13日期的质量回归</x:v>
      </x:c>
      <x:c r="D4436" s="19" t="str">
        <x:v>日期=2035-12-10_6；固定256完成/步数=True/2017</x:v>
      </x:c>
      <x:c r="E4436" s="19" t="str">
        <x:v>GUARD查询</x:v>
      </x:c>
      <x:c r="F4436" s="19" t="str">
        <x:v>4351</x:v>
      </x:c>
      <x:c r="G4436" s="19" t="str">
        <x:v>速度/计算</x:v>
      </x:c>
      <x:c r="H4436" s="19" t="str">
        <x:v>D:/Codex/GRL研究/outputs/grid87/GRID87_report.md</x:v>
      </x:c>
    </x:row>
    <x:row r="4437" ht="36" customHeight="1">
      <x:c r="A4437" s="19" t="str">
        <x:v>GRID87</x:v>
      </x:c>
      <x:c r="B4437" s="19" t="str">
        <x:v>GRID87_report.md</x:v>
      </x:c>
      <x:c r="C4437" s="19" t="str">
        <x:v>1. GRID87：固定256在原13日期的质量回归</x:v>
      </x:c>
      <x:c r="D4437" s="19" t="str">
        <x:v>日期=2035-12-10_6；固定256完成/步数=True/2017</x:v>
      </x:c>
      <x:c r="E4437" s="19" t="str">
        <x:v>FULL查询</x:v>
      </x:c>
      <x:c r="F4437" s="19" t="str">
        <x:v>12619</x:v>
      </x:c>
      <x:c r="G4437" s="19" t="str">
        <x:v>速度/计算</x:v>
      </x:c>
      <x:c r="H4437" s="19" t="str">
        <x:v>D:/Codex/GRL研究/outputs/grid87/GRID87_report.md</x:v>
      </x:c>
    </x:row>
    <x:row r="4438" ht="36" customHeight="1">
      <x:c r="A4438" s="19" t="str">
        <x:v>GRID87</x:v>
      </x:c>
      <x:c r="B4438" s="19" t="str">
        <x:v>GRID87_report.md</x:v>
      </x:c>
      <x:c r="C4438" s="19" t="str">
        <x:v>1. GRID87：固定256在原13日期的质量回归</x:v>
      </x:c>
      <x:c r="D4438" s="19" t="str">
        <x:v>日期=2035-12-17_1；固定256完成/步数=True/2017</x:v>
      </x:c>
      <x:c r="E4438" s="19" t="str">
        <x:v>固定256完成/步数</x:v>
      </x:c>
      <x:c r="F4438" s="19" t="str">
        <x:v>True/2017</x:v>
      </x:c>
      <x:c r="G4438" s="19" t="str">
        <x:v>质量/成本</x:v>
      </x:c>
      <x:c r="H4438" s="19" t="str">
        <x:v>D:/Codex/GRL研究/outputs/grid87/GRID87_report.md</x:v>
      </x:c>
    </x:row>
    <x:row r="4439" ht="36" customHeight="1">
      <x:c r="A4439" s="19" t="str">
        <x:v>GRID87</x:v>
      </x:c>
      <x:c r="B4439" s="19" t="str">
        <x:v>GRID87_report.md</x:v>
      </x:c>
      <x:c r="C4439" s="19" t="str">
        <x:v>1. GRID87：固定256在原13日期的质量回归</x:v>
      </x:c>
      <x:c r="D4439" s="19" t="str">
        <x:v>日期=2035-12-17_1；固定256完成/步数=True/2017</x:v>
      </x:c>
      <x:c r="E4439" s="19" t="str">
        <x:v>FULL步数</x:v>
      </x:c>
      <x:c r="F4439" s="19" t="str">
        <x:v>2017</x:v>
      </x:c>
      <x:c r="G4439" s="19" t="str">
        <x:v>质量/成本</x:v>
      </x:c>
      <x:c r="H4439" s="19" t="str">
        <x:v>D:/Codex/GRL研究/outputs/grid87/GRID87_report.md</x:v>
      </x:c>
    </x:row>
    <x:row r="4440" ht="36" customHeight="1">
      <x:c r="A4440" s="19" t="str">
        <x:v>GRID87</x:v>
      </x:c>
      <x:c r="B4440" s="19" t="str">
        <x:v>GRID87_report.md</x:v>
      </x:c>
      <x:c r="C4440" s="19" t="str">
        <x:v>1. GRID87：固定256在原13日期的质量回归</x:v>
      </x:c>
      <x:c r="D4440" s="19" t="str">
        <x:v>日期=2035-12-17_1；固定256完成/步数=True/2017</x:v>
      </x:c>
      <x:c r="E4440" s="19" t="str">
        <x:v>固定256质量</x:v>
      </x:c>
      <x:c r="F4440" s="19" t="str">
        <x:v>True</x:v>
      </x:c>
      <x:c r="G4440" s="19" t="str">
        <x:v>质量/成本</x:v>
      </x:c>
      <x:c r="H4440" s="19" t="str">
        <x:v>D:/Codex/GRL研究/outputs/grid87/GRID87_report.md</x:v>
      </x:c>
    </x:row>
    <x:row r="4441" ht="36" customHeight="1">
      <x:c r="A4441" s="19" t="str">
        <x:v>GRID87</x:v>
      </x:c>
      <x:c r="B4441" s="19" t="str">
        <x:v>GRID87_report.md</x:v>
      </x:c>
      <x:c r="C4441" s="19" t="str">
        <x:v>1. GRID87：固定256在原13日期的质量回归</x:v>
      </x:c>
      <x:c r="D4441" s="19" t="str">
        <x:v>日期=2035-12-17_1；固定256完成/步数=True/2017</x:v>
      </x:c>
      <x:c r="E4441" s="19" t="str">
        <x:v>固定256成本相对FULL</x:v>
      </x:c>
      <x:c r="F4441" s="19" t="str">
        <x:v>-0.1355%</x:v>
      </x:c>
      <x:c r="G4441" s="19" t="str">
        <x:v>质量/成本</x:v>
      </x:c>
      <x:c r="H4441" s="19" t="str">
        <x:v>D:/Codex/GRL研究/outputs/grid87/GRID87_report.md</x:v>
      </x:c>
    </x:row>
    <x:row r="4442" ht="36" customHeight="1">
      <x:c r="A4442" s="19" t="str">
        <x:v>GRID87</x:v>
      </x:c>
      <x:c r="B4442" s="19" t="str">
        <x:v>GRID87_report.md</x:v>
      </x:c>
      <x:c r="C4442" s="19" t="str">
        <x:v>1. GRID87：固定256在原13日期的质量回归</x:v>
      </x:c>
      <x:c r="D4442" s="19" t="str">
        <x:v>日期=2035-12-17_1；固定256完成/步数=True/2017</x:v>
      </x:c>
      <x:c r="E4442" s="19" t="str">
        <x:v>GUARD成本相对FULL</x:v>
      </x:c>
      <x:c r="F4442" s="19" t="str">
        <x:v>-0.1089%</x:v>
      </x:c>
      <x:c r="G4442" s="19" t="str">
        <x:v>质量/成本</x:v>
      </x:c>
      <x:c r="H4442" s="19" t="str">
        <x:v>D:/Codex/GRL研究/outputs/grid87/GRID87_report.md</x:v>
      </x:c>
    </x:row>
    <x:row r="4443" ht="36" customHeight="1">
      <x:c r="A4443" s="19" t="str">
        <x:v>GRID87</x:v>
      </x:c>
      <x:c r="B4443" s="19" t="str">
        <x:v>GRID87_report.md</x:v>
      </x:c>
      <x:c r="C4443" s="19" t="str">
        <x:v>1. GRID87：固定256在原13日期的质量回归</x:v>
      </x:c>
      <x:c r="D4443" s="19" t="str">
        <x:v>日期=2035-12-17_1；固定256完成/步数=True/2017</x:v>
      </x:c>
      <x:c r="E4443" s="19" t="str">
        <x:v>固定256查询</x:v>
      </x:c>
      <x:c r="F4443" s="19" t="str">
        <x:v>3328</x:v>
      </x:c>
      <x:c r="G4443" s="19" t="str">
        <x:v>速度/计算</x:v>
      </x:c>
      <x:c r="H4443" s="19" t="str">
        <x:v>D:/Codex/GRL研究/outputs/grid87/GRID87_report.md</x:v>
      </x:c>
    </x:row>
    <x:row r="4444" ht="36" customHeight="1">
      <x:c r="A4444" s="19" t="str">
        <x:v>GRID87</x:v>
      </x:c>
      <x:c r="B4444" s="19" t="str">
        <x:v>GRID87_report.md</x:v>
      </x:c>
      <x:c r="C4444" s="19" t="str">
        <x:v>1. GRID87：固定256在原13日期的质量回归</x:v>
      </x:c>
      <x:c r="D4444" s="19" t="str">
        <x:v>日期=2035-12-17_1；固定256完成/步数=True/2017</x:v>
      </x:c>
      <x:c r="E4444" s="19" t="str">
        <x:v>GUARD查询</x:v>
      </x:c>
      <x:c r="F4444" s="19" t="str">
        <x:v>4286</x:v>
      </x:c>
      <x:c r="G4444" s="19" t="str">
        <x:v>速度/计算</x:v>
      </x:c>
      <x:c r="H4444" s="19" t="str">
        <x:v>D:/Codex/GRL研究/outputs/grid87/GRID87_report.md</x:v>
      </x:c>
    </x:row>
    <x:row r="4445" ht="36" customHeight="1">
      <x:c r="A4445" s="19" t="str">
        <x:v>GRID87</x:v>
      </x:c>
      <x:c r="B4445" s="19" t="str">
        <x:v>GRID87_report.md</x:v>
      </x:c>
      <x:c r="C4445" s="19" t="str">
        <x:v>1. GRID87：固定256在原13日期的质量回归</x:v>
      </x:c>
      <x:c r="D4445" s="19" t="str">
        <x:v>日期=2035-12-17_1；固定256完成/步数=True/2017</x:v>
      </x:c>
      <x:c r="E4445" s="19" t="str">
        <x:v>FULL查询</x:v>
      </x:c>
      <x:c r="F4445" s="19" t="str">
        <x:v>12091</x:v>
      </x:c>
      <x:c r="G4445" s="19" t="str">
        <x:v>速度/计算</x:v>
      </x:c>
      <x:c r="H4445" s="19" t="str">
        <x:v>D:/Codex/GRL研究/outputs/grid87/GRID87_report.md</x:v>
      </x:c>
    </x:row>
    <x:row r="4446" ht="36" customHeight="1">
      <x:c r="A4446" s="19" t="str">
        <x:v>GRID87</x:v>
      </x:c>
      <x:c r="B4446" s="19" t="str">
        <x:v>GRID87_report.md</x:v>
      </x:c>
      <x:c r="C4446" s="19" t="str">
        <x:v>2. 首次动作分歧</x:v>
      </x:c>
      <x:c r="D4446" s="19" t="str">
        <x:v>日期=2035-03-05_0；首次分歧步=1072</x:v>
      </x:c>
      <x:c r="E4446" s="19" t="str">
        <x:v>首次分歧步</x:v>
      </x:c>
      <x:c r="F4446" s="19" t="str">
        <x:v>1072</x:v>
      </x:c>
      <x:c r="G4446" s="19" t="str">
        <x:v>其他/配置</x:v>
      </x:c>
      <x:c r="H4446" s="19" t="str">
        <x:v>D:/Codex/GRL研究/outputs/grid87/GRID87_report.md</x:v>
      </x:c>
    </x:row>
    <x:row r="4447" ht="36" customHeight="1">
      <x:c r="A4447" s="19" t="str">
        <x:v>GRID87</x:v>
      </x:c>
      <x:c r="B4447" s="19" t="str">
        <x:v>GRID87_report.md</x:v>
      </x:c>
      <x:c r="C4447" s="19" t="str">
        <x:v>2. 首次动作分歧</x:v>
      </x:c>
      <x:c r="D4447" s="19" t="str">
        <x:v>日期=2035-03-05_0；首次分歧步=1072</x:v>
      </x:c>
      <x:c r="E4447" s="19" t="str">
        <x:v>相同动作前缀步数</x:v>
      </x:c>
      <x:c r="F4447" s="19" t="str">
        <x:v>1071</x:v>
      </x:c>
      <x:c r="G4447" s="19" t="str">
        <x:v>质量/成本</x:v>
      </x:c>
      <x:c r="H4447" s="19" t="str">
        <x:v>D:/Codex/GRL研究/outputs/grid87/GRID87_report.md</x:v>
      </x:c>
    </x:row>
    <x:row r="4448" ht="36" customHeight="1">
      <x:c r="A4448" s="19" t="str">
        <x:v>GRID87</x:v>
      </x:c>
      <x:c r="B4448" s="19" t="str">
        <x:v>GRID87_report.md</x:v>
      </x:c>
      <x:c r="C4448" s="19" t="str">
        <x:v>2. 首次动作分歧</x:v>
      </x:c>
      <x:c r="D4448" s="19" t="str">
        <x:v>日期=2035-03-05_0；首次分歧步=1072</x:v>
      </x:c>
      <x:c r="E4448" s="19" t="str">
        <x:v>双方搜索调用</x:v>
      </x:c>
      <x:c r="F4448" s="19" t="str">
        <x:v>True</x:v>
      </x:c>
      <x:c r="G4448" s="19" t="str">
        <x:v>速度/计算</x:v>
      </x:c>
      <x:c r="H4448" s="19" t="str">
        <x:v>D:/Codex/GRL研究/outputs/grid87/GRID87_report.md</x:v>
      </x:c>
    </x:row>
    <x:row r="4449" ht="36" customHeight="1">
      <x:c r="A4449" s="19" t="str">
        <x:v>GRID87</x:v>
      </x:c>
      <x:c r="B4449" s="19" t="str">
        <x:v>GRID87_report.md</x:v>
      </x:c>
      <x:c r="C4449" s="19" t="str">
        <x:v>2. 首次动作分歧</x:v>
      </x:c>
      <x:c r="D4449" s="19" t="str">
        <x:v>日期=2035-03-05_0；首次分歧步=1072</x:v>
      </x:c>
      <x:c r="E4449" s="19" t="str">
        <x:v>同观测/底层动作</x:v>
      </x:c>
      <x:c r="F4449" s="19" t="str">
        <x:v>True/True</x:v>
      </x:c>
      <x:c r="G4449" s="19" t="str">
        <x:v>其他/配置</x:v>
      </x:c>
      <x:c r="H4449" s="19" t="str">
        <x:v>D:/Codex/GRL研究/outputs/grid87/GRID87_report.md</x:v>
      </x:c>
    </x:row>
    <x:row r="4450" ht="36" customHeight="1">
      <x:c r="A4450" s="19" t="str">
        <x:v>GRID87</x:v>
      </x:c>
      <x:c r="B4450" s="19" t="str">
        <x:v>GRID87_report.md</x:v>
      </x:c>
      <x:c r="C4450" s="19" t="str">
        <x:v>2. 首次动作分歧</x:v>
      </x:c>
      <x:c r="D4450" s="19" t="str">
        <x:v>日期=2035-03-05_0；首次分歧步=1072</x:v>
      </x:c>
      <x:c r="E4450" s="19" t="str">
        <x:v>GUARD查询/固定查询</x:v>
      </x:c>
      <x:c r="F4450" s="19" t="str">
        <x:v>453/256</x:v>
      </x:c>
      <x:c r="G4450" s="19" t="str">
        <x:v>速度/计算</x:v>
      </x:c>
      <x:c r="H4450" s="19" t="str">
        <x:v>D:/Codex/GRL研究/outputs/grid87/GRID87_report.md</x:v>
      </x:c>
    </x:row>
    <x:row r="4451" ht="36" customHeight="1">
      <x:c r="A4451" s="19" t="str">
        <x:v>GRID87</x:v>
      </x:c>
      <x:c r="B4451" s="19" t="str">
        <x:v>GRID87_report.md</x:v>
      </x:c>
      <x:c r="C4451" s="19" t="str">
        <x:v>2. 首次动作分歧</x:v>
      </x:c>
      <x:c r="D4451" s="19" t="str">
        <x:v>日期=2035-06-25_8；首次分歧步=408</x:v>
      </x:c>
      <x:c r="E4451" s="19" t="str">
        <x:v>首次分歧步</x:v>
      </x:c>
      <x:c r="F4451" s="19" t="str">
        <x:v>408</x:v>
      </x:c>
      <x:c r="G4451" s="19" t="str">
        <x:v>其他/配置</x:v>
      </x:c>
      <x:c r="H4451" s="19" t="str">
        <x:v>D:/Codex/GRL研究/outputs/grid87/GRID87_report.md</x:v>
      </x:c>
    </x:row>
    <x:row r="4452" ht="36" customHeight="1">
      <x:c r="A4452" s="19" t="str">
        <x:v>GRID87</x:v>
      </x:c>
      <x:c r="B4452" s="19" t="str">
        <x:v>GRID87_report.md</x:v>
      </x:c>
      <x:c r="C4452" s="19" t="str">
        <x:v>2. 首次动作分歧</x:v>
      </x:c>
      <x:c r="D4452" s="19" t="str">
        <x:v>日期=2035-06-25_8；首次分歧步=408</x:v>
      </x:c>
      <x:c r="E4452" s="19" t="str">
        <x:v>相同动作前缀步数</x:v>
      </x:c>
      <x:c r="F4452" s="19" t="str">
        <x:v>407</x:v>
      </x:c>
      <x:c r="G4452" s="19" t="str">
        <x:v>质量/成本</x:v>
      </x:c>
      <x:c r="H4452" s="19" t="str">
        <x:v>D:/Codex/GRL研究/outputs/grid87/GRID87_report.md</x:v>
      </x:c>
    </x:row>
    <x:row r="4453" ht="36" customHeight="1">
      <x:c r="A4453" s="19" t="str">
        <x:v>GRID87</x:v>
      </x:c>
      <x:c r="B4453" s="19" t="str">
        <x:v>GRID87_report.md</x:v>
      </x:c>
      <x:c r="C4453" s="19" t="str">
        <x:v>2. 首次动作分歧</x:v>
      </x:c>
      <x:c r="D4453" s="19" t="str">
        <x:v>日期=2035-06-25_8；首次分歧步=408</x:v>
      </x:c>
      <x:c r="E4453" s="19" t="str">
        <x:v>双方搜索调用</x:v>
      </x:c>
      <x:c r="F4453" s="19" t="str">
        <x:v>True</x:v>
      </x:c>
      <x:c r="G4453" s="19" t="str">
        <x:v>速度/计算</x:v>
      </x:c>
      <x:c r="H4453" s="19" t="str">
        <x:v>D:/Codex/GRL研究/outputs/grid87/GRID87_report.md</x:v>
      </x:c>
    </x:row>
    <x:row r="4454" ht="36" customHeight="1">
      <x:c r="A4454" s="19" t="str">
        <x:v>GRID87</x:v>
      </x:c>
      <x:c r="B4454" s="19" t="str">
        <x:v>GRID87_report.md</x:v>
      </x:c>
      <x:c r="C4454" s="19" t="str">
        <x:v>2. 首次动作分歧</x:v>
      </x:c>
      <x:c r="D4454" s="19" t="str">
        <x:v>日期=2035-06-25_8；首次分歧步=408</x:v>
      </x:c>
      <x:c r="E4454" s="19" t="str">
        <x:v>同观测/底层动作</x:v>
      </x:c>
      <x:c r="F4454" s="19" t="str">
        <x:v>True/True</x:v>
      </x:c>
      <x:c r="G4454" s="19" t="str">
        <x:v>其他/配置</x:v>
      </x:c>
      <x:c r="H4454" s="19" t="str">
        <x:v>D:/Codex/GRL研究/outputs/grid87/GRID87_report.md</x:v>
      </x:c>
    </x:row>
    <x:row r="4455" ht="36" customHeight="1">
      <x:c r="A4455" s="19" t="str">
        <x:v>GRID87</x:v>
      </x:c>
      <x:c r="B4455" s="19" t="str">
        <x:v>GRID87_report.md</x:v>
      </x:c>
      <x:c r="C4455" s="19" t="str">
        <x:v>2. 首次动作分歧</x:v>
      </x:c>
      <x:c r="D4455" s="19" t="str">
        <x:v>日期=2035-06-25_8；首次分歧步=408</x:v>
      </x:c>
      <x:c r="E4455" s="19" t="str">
        <x:v>GUARD查询/固定查询</x:v>
      </x:c>
      <x:c r="F4455" s="19" t="str">
        <x:v>461/256</x:v>
      </x:c>
      <x:c r="G4455" s="19" t="str">
        <x:v>速度/计算</x:v>
      </x:c>
      <x:c r="H4455" s="19" t="str">
        <x:v>D:/Codex/GRL研究/outputs/grid87/GRID87_report.md</x:v>
      </x:c>
    </x:row>
    <x:row r="4456" ht="36" customHeight="1">
      <x:c r="A4456" s="19" t="str">
        <x:v>GRID87</x:v>
      </x:c>
      <x:c r="B4456" s="19" t="str">
        <x:v>GRID87_report.md</x:v>
      </x:c>
      <x:c r="C4456" s="19" t="str">
        <x:v>2. 首次动作分歧</x:v>
      </x:c>
      <x:c r="D4456" s="19" t="str">
        <x:v>日期=2035-09-03_4；首次分歧步=None</x:v>
      </x:c>
      <x:c r="E4456" s="19" t="str">
        <x:v>首次分歧步</x:v>
      </x:c>
      <x:c r="F4456" s="19" t="str">
        <x:v>None</x:v>
      </x:c>
      <x:c r="G4456" s="19" t="str">
        <x:v>其他/配置</x:v>
      </x:c>
      <x:c r="H4456" s="19" t="str">
        <x:v>D:/Codex/GRL研究/outputs/grid87/GRID87_report.md</x:v>
      </x:c>
    </x:row>
    <x:row r="4457" ht="36" customHeight="1">
      <x:c r="A4457" s="19" t="str">
        <x:v>GRID87</x:v>
      </x:c>
      <x:c r="B4457" s="19" t="str">
        <x:v>GRID87_report.md</x:v>
      </x:c>
      <x:c r="C4457" s="19" t="str">
        <x:v>2. 首次动作分歧</x:v>
      </x:c>
      <x:c r="D4457" s="19" t="str">
        <x:v>日期=2035-09-03_4；首次分歧步=None</x:v>
      </x:c>
      <x:c r="E4457" s="19" t="str">
        <x:v>相同动作前缀步数</x:v>
      </x:c>
      <x:c r="F4457" s="19" t="str">
        <x:v>2017</x:v>
      </x:c>
      <x:c r="G4457" s="19" t="str">
        <x:v>质量/成本</x:v>
      </x:c>
      <x:c r="H4457" s="19" t="str">
        <x:v>D:/Codex/GRL研究/outputs/grid87/GRID87_report.md</x:v>
      </x:c>
    </x:row>
    <x:row r="4458" ht="36" customHeight="1">
      <x:c r="A4458" s="19" t="str">
        <x:v>GRID87</x:v>
      </x:c>
      <x:c r="B4458" s="19" t="str">
        <x:v>GRID87_report.md</x:v>
      </x:c>
      <x:c r="C4458" s="19" t="str">
        <x:v>2. 首次动作分歧</x:v>
      </x:c>
      <x:c r="D4458" s="19" t="str">
        <x:v>日期=2035-09-03_4；首次分歧步=None</x:v>
      </x:c>
      <x:c r="E4458" s="19" t="str">
        <x:v>双方搜索调用</x:v>
      </x:c>
      <x:c r="F4458" s="19" t="str">
        <x:v>—</x:v>
      </x:c>
      <x:c r="G4458" s="19" t="str">
        <x:v>速度/计算</x:v>
      </x:c>
      <x:c r="H4458" s="19" t="str">
        <x:v>D:/Codex/GRL研究/outputs/grid87/GRID87_report.md</x:v>
      </x:c>
    </x:row>
    <x:row r="4459" ht="36" customHeight="1">
      <x:c r="A4459" s="19" t="str">
        <x:v>GRID87</x:v>
      </x:c>
      <x:c r="B4459" s="19" t="str">
        <x:v>GRID87_report.md</x:v>
      </x:c>
      <x:c r="C4459" s="19" t="str">
        <x:v>2. 首次动作分歧</x:v>
      </x:c>
      <x:c r="D4459" s="19" t="str">
        <x:v>日期=2035-09-03_4；首次分歧步=None</x:v>
      </x:c>
      <x:c r="E4459" s="19" t="str">
        <x:v>同观测/底层动作</x:v>
      </x:c>
      <x:c r="F4459" s="19" t="str">
        <x:v>—/—</x:v>
      </x:c>
      <x:c r="G4459" s="19" t="str">
        <x:v>其他/配置</x:v>
      </x:c>
      <x:c r="H4459" s="19" t="str">
        <x:v>D:/Codex/GRL研究/outputs/grid87/GRID87_report.md</x:v>
      </x:c>
    </x:row>
    <x:row r="4460" ht="36" customHeight="1">
      <x:c r="A4460" s="19" t="str">
        <x:v>GRID87</x:v>
      </x:c>
      <x:c r="B4460" s="19" t="str">
        <x:v>GRID87_report.md</x:v>
      </x:c>
      <x:c r="C4460" s="19" t="str">
        <x:v>2. 首次动作分歧</x:v>
      </x:c>
      <x:c r="D4460" s="19" t="str">
        <x:v>日期=2035-09-03_4；首次分歧步=None</x:v>
      </x:c>
      <x:c r="E4460" s="19" t="str">
        <x:v>GUARD查询/固定查询</x:v>
      </x:c>
      <x:c r="F4460" s="19" t="str">
        <x:v>—/—</x:v>
      </x:c>
      <x:c r="G4460" s="19" t="str">
        <x:v>速度/计算</x:v>
      </x:c>
      <x:c r="H4460" s="19" t="str">
        <x:v>D:/Codex/GRL研究/outputs/grid87/GRID87_report.md</x:v>
      </x:c>
    </x:row>
    <x:row r="4461" ht="36" customHeight="1">
      <x:c r="A4461" s="19" t="str">
        <x:v>GRID87</x:v>
      </x:c>
      <x:c r="B4461" s="19" t="str">
        <x:v>GRID87_report.md</x:v>
      </x:c>
      <x:c r="C4461" s="19" t="str">
        <x:v>2. 首次动作分歧</x:v>
      </x:c>
      <x:c r="D4461" s="19" t="str">
        <x:v>日期=2035-10-01_5；首次分歧步=None</x:v>
      </x:c>
      <x:c r="E4461" s="19" t="str">
        <x:v>首次分歧步</x:v>
      </x:c>
      <x:c r="F4461" s="19" t="str">
        <x:v>None</x:v>
      </x:c>
      <x:c r="G4461" s="19" t="str">
        <x:v>其他/配置</x:v>
      </x:c>
      <x:c r="H4461" s="19" t="str">
        <x:v>D:/Codex/GRL研究/outputs/grid87/GRID87_report.md</x:v>
      </x:c>
    </x:row>
    <x:row r="4462" ht="36" customHeight="1">
      <x:c r="A4462" s="19" t="str">
        <x:v>GRID87</x:v>
      </x:c>
      <x:c r="B4462" s="19" t="str">
        <x:v>GRID87_report.md</x:v>
      </x:c>
      <x:c r="C4462" s="19" t="str">
        <x:v>2. 首次动作分歧</x:v>
      </x:c>
      <x:c r="D4462" s="19" t="str">
        <x:v>日期=2035-10-01_5；首次分歧步=None</x:v>
      </x:c>
      <x:c r="E4462" s="19" t="str">
        <x:v>相同动作前缀步数</x:v>
      </x:c>
      <x:c r="F4462" s="19" t="str">
        <x:v>2017</x:v>
      </x:c>
      <x:c r="G4462" s="19" t="str">
        <x:v>质量/成本</x:v>
      </x:c>
      <x:c r="H4462" s="19" t="str">
        <x:v>D:/Codex/GRL研究/outputs/grid87/GRID87_report.md</x:v>
      </x:c>
    </x:row>
    <x:row r="4463" ht="36" customHeight="1">
      <x:c r="A4463" s="19" t="str">
        <x:v>GRID87</x:v>
      </x:c>
      <x:c r="B4463" s="19" t="str">
        <x:v>GRID87_report.md</x:v>
      </x:c>
      <x:c r="C4463" s="19" t="str">
        <x:v>2. 首次动作分歧</x:v>
      </x:c>
      <x:c r="D4463" s="19" t="str">
        <x:v>日期=2035-10-01_5；首次分歧步=None</x:v>
      </x:c>
      <x:c r="E4463" s="19" t="str">
        <x:v>双方搜索调用</x:v>
      </x:c>
      <x:c r="F4463" s="19" t="str">
        <x:v>—</x:v>
      </x:c>
      <x:c r="G4463" s="19" t="str">
        <x:v>速度/计算</x:v>
      </x:c>
      <x:c r="H4463" s="19" t="str">
        <x:v>D:/Codex/GRL研究/outputs/grid87/GRID87_report.md</x:v>
      </x:c>
    </x:row>
    <x:row r="4464" ht="36" customHeight="1">
      <x:c r="A4464" s="19" t="str">
        <x:v>GRID87</x:v>
      </x:c>
      <x:c r="B4464" s="19" t="str">
        <x:v>GRID87_report.md</x:v>
      </x:c>
      <x:c r="C4464" s="19" t="str">
        <x:v>2. 首次动作分歧</x:v>
      </x:c>
      <x:c r="D4464" s="19" t="str">
        <x:v>日期=2035-10-01_5；首次分歧步=None</x:v>
      </x:c>
      <x:c r="E4464" s="19" t="str">
        <x:v>同观测/底层动作</x:v>
      </x:c>
      <x:c r="F4464" s="19" t="str">
        <x:v>—/—</x:v>
      </x:c>
      <x:c r="G4464" s="19" t="str">
        <x:v>其他/配置</x:v>
      </x:c>
      <x:c r="H4464" s="19" t="str">
        <x:v>D:/Codex/GRL研究/outputs/grid87/GRID87_report.md</x:v>
      </x:c>
    </x:row>
    <x:row r="4465" ht="36" customHeight="1">
      <x:c r="A4465" s="19" t="str">
        <x:v>GRID87</x:v>
      </x:c>
      <x:c r="B4465" s="19" t="str">
        <x:v>GRID87_report.md</x:v>
      </x:c>
      <x:c r="C4465" s="19" t="str">
        <x:v>2. 首次动作分歧</x:v>
      </x:c>
      <x:c r="D4465" s="19" t="str">
        <x:v>日期=2035-10-01_5；首次分歧步=None</x:v>
      </x:c>
      <x:c r="E4465" s="19" t="str">
        <x:v>GUARD查询/固定查询</x:v>
      </x:c>
      <x:c r="F4465" s="19" t="str">
        <x:v>—/—</x:v>
      </x:c>
      <x:c r="G4465" s="19" t="str">
        <x:v>速度/计算</x:v>
      </x:c>
      <x:c r="H4465" s="19" t="str">
        <x:v>D:/Codex/GRL研究/outputs/grid87/GRID87_report.md</x:v>
      </x:c>
    </x:row>
    <x:row r="4466" ht="36" customHeight="1">
      <x:c r="A4466" s="19" t="str">
        <x:v>GRID87</x:v>
      </x:c>
      <x:c r="B4466" s="19" t="str">
        <x:v>GRID87_report.md</x:v>
      </x:c>
      <x:c r="C4466" s="19" t="str">
        <x:v>2. 首次动作分歧</x:v>
      </x:c>
      <x:c r="D4466" s="19" t="str">
        <x:v>日期=2035-04-09_3；首次分歧步=413</x:v>
      </x:c>
      <x:c r="E4466" s="19" t="str">
        <x:v>首次分歧步</x:v>
      </x:c>
      <x:c r="F4466" s="19" t="str">
        <x:v>413</x:v>
      </x:c>
      <x:c r="G4466" s="19" t="str">
        <x:v>其他/配置</x:v>
      </x:c>
      <x:c r="H4466" s="19" t="str">
        <x:v>D:/Codex/GRL研究/outputs/grid87/GRID87_report.md</x:v>
      </x:c>
    </x:row>
    <x:row r="4467" ht="36" customHeight="1">
      <x:c r="A4467" s="19" t="str">
        <x:v>GRID87</x:v>
      </x:c>
      <x:c r="B4467" s="19" t="str">
        <x:v>GRID87_report.md</x:v>
      </x:c>
      <x:c r="C4467" s="19" t="str">
        <x:v>2. 首次动作分歧</x:v>
      </x:c>
      <x:c r="D4467" s="19" t="str">
        <x:v>日期=2035-04-09_3；首次分歧步=413</x:v>
      </x:c>
      <x:c r="E4467" s="19" t="str">
        <x:v>相同动作前缀步数</x:v>
      </x:c>
      <x:c r="F4467" s="19" t="str">
        <x:v>412</x:v>
      </x:c>
      <x:c r="G4467" s="19" t="str">
        <x:v>质量/成本</x:v>
      </x:c>
      <x:c r="H4467" s="19" t="str">
        <x:v>D:/Codex/GRL研究/outputs/grid87/GRID87_report.md</x:v>
      </x:c>
    </x:row>
    <x:row r="4468" ht="36" customHeight="1">
      <x:c r="A4468" s="19" t="str">
        <x:v>GRID87</x:v>
      </x:c>
      <x:c r="B4468" s="19" t="str">
        <x:v>GRID87_report.md</x:v>
      </x:c>
      <x:c r="C4468" s="19" t="str">
        <x:v>2. 首次动作分歧</x:v>
      </x:c>
      <x:c r="D4468" s="19" t="str">
        <x:v>日期=2035-04-09_3；首次分歧步=413</x:v>
      </x:c>
      <x:c r="E4468" s="19" t="str">
        <x:v>双方搜索调用</x:v>
      </x:c>
      <x:c r="F4468" s="19" t="str">
        <x:v>True</x:v>
      </x:c>
      <x:c r="G4468" s="19" t="str">
        <x:v>速度/计算</x:v>
      </x:c>
      <x:c r="H4468" s="19" t="str">
        <x:v>D:/Codex/GRL研究/outputs/grid87/GRID87_report.md</x:v>
      </x:c>
    </x:row>
    <x:row r="4469" ht="36" customHeight="1">
      <x:c r="A4469" s="19" t="str">
        <x:v>GRID87</x:v>
      </x:c>
      <x:c r="B4469" s="19" t="str">
        <x:v>GRID87_report.md</x:v>
      </x:c>
      <x:c r="C4469" s="19" t="str">
        <x:v>2. 首次动作分歧</x:v>
      </x:c>
      <x:c r="D4469" s="19" t="str">
        <x:v>日期=2035-04-09_3；首次分歧步=413</x:v>
      </x:c>
      <x:c r="E4469" s="19" t="str">
        <x:v>同观测/底层动作</x:v>
      </x:c>
      <x:c r="F4469" s="19" t="str">
        <x:v>True/True</x:v>
      </x:c>
      <x:c r="G4469" s="19" t="str">
        <x:v>其他/配置</x:v>
      </x:c>
      <x:c r="H4469" s="19" t="str">
        <x:v>D:/Codex/GRL研究/outputs/grid87/GRID87_report.md</x:v>
      </x:c>
    </x:row>
    <x:row r="4470" ht="36" customHeight="1">
      <x:c r="A4470" s="19" t="str">
        <x:v>GRID87</x:v>
      </x:c>
      <x:c r="B4470" s="19" t="str">
        <x:v>GRID87_report.md</x:v>
      </x:c>
      <x:c r="C4470" s="19" t="str">
        <x:v>2. 首次动作分歧</x:v>
      </x:c>
      <x:c r="D4470" s="19" t="str">
        <x:v>日期=2035-04-09_3；首次分歧步=413</x:v>
      </x:c>
      <x:c r="E4470" s="19" t="str">
        <x:v>GUARD查询/固定查询</x:v>
      </x:c>
      <x:c r="F4470" s="19" t="str">
        <x:v>212/256</x:v>
      </x:c>
      <x:c r="G4470" s="19" t="str">
        <x:v>速度/计算</x:v>
      </x:c>
      <x:c r="H4470" s="19" t="str">
        <x:v>D:/Codex/GRL研究/outputs/grid87/GRID87_report.md</x:v>
      </x:c>
    </x:row>
    <x:row r="4471" ht="36" customHeight="1">
      <x:c r="A4471" s="19" t="str">
        <x:v>GRID87</x:v>
      </x:c>
      <x:c r="B4471" s="19" t="str">
        <x:v>GRID87_report.md</x:v>
      </x:c>
      <x:c r="C4471" s="19" t="str">
        <x:v>2. 首次动作分歧</x:v>
      </x:c>
      <x:c r="D4471" s="19" t="str">
        <x:v>日期=2035-05-14_14；首次分歧步=None</x:v>
      </x:c>
      <x:c r="E4471" s="19" t="str">
        <x:v>首次分歧步</x:v>
      </x:c>
      <x:c r="F4471" s="19" t="str">
        <x:v>None</x:v>
      </x:c>
      <x:c r="G4471" s="19" t="str">
        <x:v>其他/配置</x:v>
      </x:c>
      <x:c r="H4471" s="19" t="str">
        <x:v>D:/Codex/GRL研究/outputs/grid87/GRID87_report.md</x:v>
      </x:c>
    </x:row>
    <x:row r="4472" ht="36" customHeight="1">
      <x:c r="A4472" s="19" t="str">
        <x:v>GRID87</x:v>
      </x:c>
      <x:c r="B4472" s="19" t="str">
        <x:v>GRID87_report.md</x:v>
      </x:c>
      <x:c r="C4472" s="19" t="str">
        <x:v>2. 首次动作分歧</x:v>
      </x:c>
      <x:c r="D4472" s="19" t="str">
        <x:v>日期=2035-05-14_14；首次分歧步=None</x:v>
      </x:c>
      <x:c r="E4472" s="19" t="str">
        <x:v>相同动作前缀步数</x:v>
      </x:c>
      <x:c r="F4472" s="19" t="str">
        <x:v>747</x:v>
      </x:c>
      <x:c r="G4472" s="19" t="str">
        <x:v>质量/成本</x:v>
      </x:c>
      <x:c r="H4472" s="19" t="str">
        <x:v>D:/Codex/GRL研究/outputs/grid87/GRID87_report.md</x:v>
      </x:c>
    </x:row>
    <x:row r="4473" ht="36" customHeight="1">
      <x:c r="A4473" s="19" t="str">
        <x:v>GRID87</x:v>
      </x:c>
      <x:c r="B4473" s="19" t="str">
        <x:v>GRID87_report.md</x:v>
      </x:c>
      <x:c r="C4473" s="19" t="str">
        <x:v>2. 首次动作分歧</x:v>
      </x:c>
      <x:c r="D4473" s="19" t="str">
        <x:v>日期=2035-05-14_14；首次分歧步=None</x:v>
      </x:c>
      <x:c r="E4473" s="19" t="str">
        <x:v>双方搜索调用</x:v>
      </x:c>
      <x:c r="F4473" s="19" t="str">
        <x:v>—</x:v>
      </x:c>
      <x:c r="G4473" s="19" t="str">
        <x:v>速度/计算</x:v>
      </x:c>
      <x:c r="H4473" s="19" t="str">
        <x:v>D:/Codex/GRL研究/outputs/grid87/GRID87_report.md</x:v>
      </x:c>
    </x:row>
    <x:row r="4474" ht="36" customHeight="1">
      <x:c r="A4474" s="19" t="str">
        <x:v>GRID87</x:v>
      </x:c>
      <x:c r="B4474" s="19" t="str">
        <x:v>GRID87_report.md</x:v>
      </x:c>
      <x:c r="C4474" s="19" t="str">
        <x:v>2. 首次动作分歧</x:v>
      </x:c>
      <x:c r="D4474" s="19" t="str">
        <x:v>日期=2035-05-14_14；首次分歧步=None</x:v>
      </x:c>
      <x:c r="E4474" s="19" t="str">
        <x:v>同观测/底层动作</x:v>
      </x:c>
      <x:c r="F4474" s="19" t="str">
        <x:v>—/—</x:v>
      </x:c>
      <x:c r="G4474" s="19" t="str">
        <x:v>其他/配置</x:v>
      </x:c>
      <x:c r="H4474" s="19" t="str">
        <x:v>D:/Codex/GRL研究/outputs/grid87/GRID87_report.md</x:v>
      </x:c>
    </x:row>
    <x:row r="4475" ht="36" customHeight="1">
      <x:c r="A4475" s="19" t="str">
        <x:v>GRID87</x:v>
      </x:c>
      <x:c r="B4475" s="19" t="str">
        <x:v>GRID87_report.md</x:v>
      </x:c>
      <x:c r="C4475" s="19" t="str">
        <x:v>2. 首次动作分歧</x:v>
      </x:c>
      <x:c r="D4475" s="19" t="str">
        <x:v>日期=2035-05-14_14；首次分歧步=None</x:v>
      </x:c>
      <x:c r="E4475" s="19" t="str">
        <x:v>GUARD查询/固定查询</x:v>
      </x:c>
      <x:c r="F4475" s="19" t="str">
        <x:v>—/—</x:v>
      </x:c>
      <x:c r="G4475" s="19" t="str">
        <x:v>速度/计算</x:v>
      </x:c>
      <x:c r="H4475" s="19" t="str">
        <x:v>D:/Codex/GRL研究/outputs/grid87/GRID87_report.md</x:v>
      </x:c>
    </x:row>
    <x:row r="4476" ht="36" customHeight="1">
      <x:c r="A4476" s="19" t="str">
        <x:v>GRID87</x:v>
      </x:c>
      <x:c r="B4476" s="19" t="str">
        <x:v>GRID87_report.md</x:v>
      </x:c>
      <x:c r="C4476" s="19" t="str">
        <x:v>2. 首次动作分歧</x:v>
      </x:c>
      <x:c r="D4476" s="19" t="str">
        <x:v>日期=2035-11-19_0；首次分歧步=None</x:v>
      </x:c>
      <x:c r="E4476" s="19" t="str">
        <x:v>首次分歧步</x:v>
      </x:c>
      <x:c r="F4476" s="19" t="str">
        <x:v>None</x:v>
      </x:c>
      <x:c r="G4476" s="19" t="str">
        <x:v>其他/配置</x:v>
      </x:c>
      <x:c r="H4476" s="19" t="str">
        <x:v>D:/Codex/GRL研究/outputs/grid87/GRID87_report.md</x:v>
      </x:c>
    </x:row>
    <x:row r="4477" ht="36" customHeight="1">
      <x:c r="A4477" s="19" t="str">
        <x:v>GRID87</x:v>
      </x:c>
      <x:c r="B4477" s="19" t="str">
        <x:v>GRID87_report.md</x:v>
      </x:c>
      <x:c r="C4477" s="19" t="str">
        <x:v>2. 首次动作分歧</x:v>
      </x:c>
      <x:c r="D4477" s="19" t="str">
        <x:v>日期=2035-11-19_0；首次分歧步=None</x:v>
      </x:c>
      <x:c r="E4477" s="19" t="str">
        <x:v>相同动作前缀步数</x:v>
      </x:c>
      <x:c r="F4477" s="19" t="str">
        <x:v>2017</x:v>
      </x:c>
      <x:c r="G4477" s="19" t="str">
        <x:v>质量/成本</x:v>
      </x:c>
      <x:c r="H4477" s="19" t="str">
        <x:v>D:/Codex/GRL研究/outputs/grid87/GRID87_report.md</x:v>
      </x:c>
    </x:row>
    <x:row r="4478" ht="36" customHeight="1">
      <x:c r="A4478" s="19" t="str">
        <x:v>GRID87</x:v>
      </x:c>
      <x:c r="B4478" s="19" t="str">
        <x:v>GRID87_report.md</x:v>
      </x:c>
      <x:c r="C4478" s="19" t="str">
        <x:v>2. 首次动作分歧</x:v>
      </x:c>
      <x:c r="D4478" s="19" t="str">
        <x:v>日期=2035-11-19_0；首次分歧步=None</x:v>
      </x:c>
      <x:c r="E4478" s="19" t="str">
        <x:v>双方搜索调用</x:v>
      </x:c>
      <x:c r="F4478" s="19" t="str">
        <x:v>—</x:v>
      </x:c>
      <x:c r="G4478" s="19" t="str">
        <x:v>速度/计算</x:v>
      </x:c>
      <x:c r="H4478" s="19" t="str">
        <x:v>D:/Codex/GRL研究/outputs/grid87/GRID87_report.md</x:v>
      </x:c>
    </x:row>
    <x:row r="4479" ht="36" customHeight="1">
      <x:c r="A4479" s="19" t="str">
        <x:v>GRID87</x:v>
      </x:c>
      <x:c r="B4479" s="19" t="str">
        <x:v>GRID87_report.md</x:v>
      </x:c>
      <x:c r="C4479" s="19" t="str">
        <x:v>2. 首次动作分歧</x:v>
      </x:c>
      <x:c r="D4479" s="19" t="str">
        <x:v>日期=2035-11-19_0；首次分歧步=None</x:v>
      </x:c>
      <x:c r="E4479" s="19" t="str">
        <x:v>同观测/底层动作</x:v>
      </x:c>
      <x:c r="F4479" s="19" t="str">
        <x:v>—/—</x:v>
      </x:c>
      <x:c r="G4479" s="19" t="str">
        <x:v>其他/配置</x:v>
      </x:c>
      <x:c r="H4479" s="19" t="str">
        <x:v>D:/Codex/GRL研究/outputs/grid87/GRID87_report.md</x:v>
      </x:c>
    </x:row>
    <x:row r="4480" ht="36" customHeight="1">
      <x:c r="A4480" s="19" t="str">
        <x:v>GRID87</x:v>
      </x:c>
      <x:c r="B4480" s="19" t="str">
        <x:v>GRID87_report.md</x:v>
      </x:c>
      <x:c r="C4480" s="19" t="str">
        <x:v>2. 首次动作分歧</x:v>
      </x:c>
      <x:c r="D4480" s="19" t="str">
        <x:v>日期=2035-11-19_0；首次分歧步=None</x:v>
      </x:c>
      <x:c r="E4480" s="19" t="str">
        <x:v>GUARD查询/固定查询</x:v>
      </x:c>
      <x:c r="F4480" s="19" t="str">
        <x:v>—/—</x:v>
      </x:c>
      <x:c r="G4480" s="19" t="str">
        <x:v>速度/计算</x:v>
      </x:c>
      <x:c r="H4480" s="19" t="str">
        <x:v>D:/Codex/GRL研究/outputs/grid87/GRID87_report.md</x:v>
      </x:c>
    </x:row>
    <x:row r="4481" ht="36" customHeight="1">
      <x:c r="A4481" s="19" t="str">
        <x:v>GRID87</x:v>
      </x:c>
      <x:c r="B4481" s="19" t="str">
        <x:v>GRID87_report.md</x:v>
      </x:c>
      <x:c r="C4481" s="19" t="str">
        <x:v>2. 首次动作分歧</x:v>
      </x:c>
      <x:c r="D4481" s="19" t="str">
        <x:v>日期=2035-01-01_8；首次分歧步=None</x:v>
      </x:c>
      <x:c r="E4481" s="19" t="str">
        <x:v>首次分歧步</x:v>
      </x:c>
      <x:c r="F4481" s="19" t="str">
        <x:v>None</x:v>
      </x:c>
      <x:c r="G4481" s="19" t="str">
        <x:v>其他/配置</x:v>
      </x:c>
      <x:c r="H4481" s="19" t="str">
        <x:v>D:/Codex/GRL研究/outputs/grid87/GRID87_report.md</x:v>
      </x:c>
    </x:row>
    <x:row r="4482" ht="36" customHeight="1">
      <x:c r="A4482" s="19" t="str">
        <x:v>GRID87</x:v>
      </x:c>
      <x:c r="B4482" s="19" t="str">
        <x:v>GRID87_report.md</x:v>
      </x:c>
      <x:c r="C4482" s="19" t="str">
        <x:v>2. 首次动作分歧</x:v>
      </x:c>
      <x:c r="D4482" s="19" t="str">
        <x:v>日期=2035-01-01_8；首次分歧步=None</x:v>
      </x:c>
      <x:c r="E4482" s="19" t="str">
        <x:v>相同动作前缀步数</x:v>
      </x:c>
      <x:c r="F4482" s="19" t="str">
        <x:v>2017</x:v>
      </x:c>
      <x:c r="G4482" s="19" t="str">
        <x:v>质量/成本</x:v>
      </x:c>
      <x:c r="H4482" s="19" t="str">
        <x:v>D:/Codex/GRL研究/outputs/grid87/GRID87_report.md</x:v>
      </x:c>
    </x:row>
    <x:row r="4483" ht="36" customHeight="1">
      <x:c r="A4483" s="19" t="str">
        <x:v>GRID87</x:v>
      </x:c>
      <x:c r="B4483" s="19" t="str">
        <x:v>GRID87_report.md</x:v>
      </x:c>
      <x:c r="C4483" s="19" t="str">
        <x:v>2. 首次动作分歧</x:v>
      </x:c>
      <x:c r="D4483" s="19" t="str">
        <x:v>日期=2035-01-01_8；首次分歧步=None</x:v>
      </x:c>
      <x:c r="E4483" s="19" t="str">
        <x:v>双方搜索调用</x:v>
      </x:c>
      <x:c r="F4483" s="19" t="str">
        <x:v>—</x:v>
      </x:c>
      <x:c r="G4483" s="19" t="str">
        <x:v>速度/计算</x:v>
      </x:c>
      <x:c r="H4483" s="19" t="str">
        <x:v>D:/Codex/GRL研究/outputs/grid87/GRID87_report.md</x:v>
      </x:c>
    </x:row>
    <x:row r="4484" ht="36" customHeight="1">
      <x:c r="A4484" s="19" t="str">
        <x:v>GRID87</x:v>
      </x:c>
      <x:c r="B4484" s="19" t="str">
        <x:v>GRID87_report.md</x:v>
      </x:c>
      <x:c r="C4484" s="19" t="str">
        <x:v>2. 首次动作分歧</x:v>
      </x:c>
      <x:c r="D4484" s="19" t="str">
        <x:v>日期=2035-01-01_8；首次分歧步=None</x:v>
      </x:c>
      <x:c r="E4484" s="19" t="str">
        <x:v>同观测/底层动作</x:v>
      </x:c>
      <x:c r="F4484" s="19" t="str">
        <x:v>—/—</x:v>
      </x:c>
      <x:c r="G4484" s="19" t="str">
        <x:v>其他/配置</x:v>
      </x:c>
      <x:c r="H4484" s="19" t="str">
        <x:v>D:/Codex/GRL研究/outputs/grid87/GRID87_report.md</x:v>
      </x:c>
    </x:row>
    <x:row r="4485" ht="36" customHeight="1">
      <x:c r="A4485" s="19" t="str">
        <x:v>GRID87</x:v>
      </x:c>
      <x:c r="B4485" s="19" t="str">
        <x:v>GRID87_report.md</x:v>
      </x:c>
      <x:c r="C4485" s="19" t="str">
        <x:v>2. 首次动作分歧</x:v>
      </x:c>
      <x:c r="D4485" s="19" t="str">
        <x:v>日期=2035-01-01_8；首次分歧步=None</x:v>
      </x:c>
      <x:c r="E4485" s="19" t="str">
        <x:v>GUARD查询/固定查询</x:v>
      </x:c>
      <x:c r="F4485" s="19" t="str">
        <x:v>—/—</x:v>
      </x:c>
      <x:c r="G4485" s="19" t="str">
        <x:v>速度/计算</x:v>
      </x:c>
      <x:c r="H4485" s="19" t="str">
        <x:v>D:/Codex/GRL研究/outputs/grid87/GRID87_report.md</x:v>
      </x:c>
    </x:row>
    <x:row r="4486" ht="36" customHeight="1">
      <x:c r="A4486" s="19" t="str">
        <x:v>GRID87</x:v>
      </x:c>
      <x:c r="B4486" s="19" t="str">
        <x:v>GRID87_report.md</x:v>
      </x:c>
      <x:c r="C4486" s="19" t="str">
        <x:v>2. 首次动作分歧</x:v>
      </x:c>
      <x:c r="D4486" s="19" t="str">
        <x:v>日期=2035-02-19_8；首次分歧步=19</x:v>
      </x:c>
      <x:c r="E4486" s="19" t="str">
        <x:v>首次分歧步</x:v>
      </x:c>
      <x:c r="F4486" s="19" t="str">
        <x:v>19</x:v>
      </x:c>
      <x:c r="G4486" s="19" t="str">
        <x:v>其他/配置</x:v>
      </x:c>
      <x:c r="H4486" s="19" t="str">
        <x:v>D:/Codex/GRL研究/outputs/grid87/GRID87_report.md</x:v>
      </x:c>
    </x:row>
    <x:row r="4487" ht="36" customHeight="1">
      <x:c r="A4487" s="19" t="str">
        <x:v>GRID87</x:v>
      </x:c>
      <x:c r="B4487" s="19" t="str">
        <x:v>GRID87_report.md</x:v>
      </x:c>
      <x:c r="C4487" s="19" t="str">
        <x:v>2. 首次动作分歧</x:v>
      </x:c>
      <x:c r="D4487" s="19" t="str">
        <x:v>日期=2035-02-19_8；首次分歧步=19</x:v>
      </x:c>
      <x:c r="E4487" s="19" t="str">
        <x:v>相同动作前缀步数</x:v>
      </x:c>
      <x:c r="F4487" s="19" t="str">
        <x:v>18</x:v>
      </x:c>
      <x:c r="G4487" s="19" t="str">
        <x:v>质量/成本</x:v>
      </x:c>
      <x:c r="H4487" s="19" t="str">
        <x:v>D:/Codex/GRL研究/outputs/grid87/GRID87_report.md</x:v>
      </x:c>
    </x:row>
    <x:row r="4488" ht="36" customHeight="1">
      <x:c r="A4488" s="19" t="str">
        <x:v>GRID87</x:v>
      </x:c>
      <x:c r="B4488" s="19" t="str">
        <x:v>GRID87_report.md</x:v>
      </x:c>
      <x:c r="C4488" s="19" t="str">
        <x:v>2. 首次动作分歧</x:v>
      </x:c>
      <x:c r="D4488" s="19" t="str">
        <x:v>日期=2035-02-19_8；首次分歧步=19</x:v>
      </x:c>
      <x:c r="E4488" s="19" t="str">
        <x:v>双方搜索调用</x:v>
      </x:c>
      <x:c r="F4488" s="19" t="str">
        <x:v>True</x:v>
      </x:c>
      <x:c r="G4488" s="19" t="str">
        <x:v>速度/计算</x:v>
      </x:c>
      <x:c r="H4488" s="19" t="str">
        <x:v>D:/Codex/GRL研究/outputs/grid87/GRID87_report.md</x:v>
      </x:c>
    </x:row>
    <x:row r="4489" ht="36" customHeight="1">
      <x:c r="A4489" s="19" t="str">
        <x:v>GRID87</x:v>
      </x:c>
      <x:c r="B4489" s="19" t="str">
        <x:v>GRID87_report.md</x:v>
      </x:c>
      <x:c r="C4489" s="19" t="str">
        <x:v>2. 首次动作分歧</x:v>
      </x:c>
      <x:c r="D4489" s="19" t="str">
        <x:v>日期=2035-02-19_8；首次分歧步=19</x:v>
      </x:c>
      <x:c r="E4489" s="19" t="str">
        <x:v>同观测/底层动作</x:v>
      </x:c>
      <x:c r="F4489" s="19" t="str">
        <x:v>True/True</x:v>
      </x:c>
      <x:c r="G4489" s="19" t="str">
        <x:v>其他/配置</x:v>
      </x:c>
      <x:c r="H4489" s="19" t="str">
        <x:v>D:/Codex/GRL研究/outputs/grid87/GRID87_report.md</x:v>
      </x:c>
    </x:row>
    <x:row r="4490" ht="36" customHeight="1">
      <x:c r="A4490" s="19" t="str">
        <x:v>GRID87</x:v>
      </x:c>
      <x:c r="B4490" s="19" t="str">
        <x:v>GRID87_report.md</x:v>
      </x:c>
      <x:c r="C4490" s="19" t="str">
        <x:v>2. 首次动作分歧</x:v>
      </x:c>
      <x:c r="D4490" s="19" t="str">
        <x:v>日期=2035-02-19_8；首次分歧步=19</x:v>
      </x:c>
      <x:c r="E4490" s="19" t="str">
        <x:v>GUARD查询/固定查询</x:v>
      </x:c>
      <x:c r="F4490" s="19" t="str">
        <x:v>549/256</x:v>
      </x:c>
      <x:c r="G4490" s="19" t="str">
        <x:v>速度/计算</x:v>
      </x:c>
      <x:c r="H4490" s="19" t="str">
        <x:v>D:/Codex/GRL研究/outputs/grid87/GRID87_report.md</x:v>
      </x:c>
    </x:row>
    <x:row r="4491" ht="36" customHeight="1">
      <x:c r="A4491" s="19" t="str">
        <x:v>GRID87</x:v>
      </x:c>
      <x:c r="B4491" s="19" t="str">
        <x:v>GRID87_report.md</x:v>
      </x:c>
      <x:c r="C4491" s="19" t="str">
        <x:v>2. 首次动作分歧</x:v>
      </x:c>
      <x:c r="D4491" s="19" t="str">
        <x:v>日期=2035-04-02_9；首次分歧步=997</x:v>
      </x:c>
      <x:c r="E4491" s="19" t="str">
        <x:v>首次分歧步</x:v>
      </x:c>
      <x:c r="F4491" s="19" t="str">
        <x:v>997</x:v>
      </x:c>
      <x:c r="G4491" s="19" t="str">
        <x:v>其他/配置</x:v>
      </x:c>
      <x:c r="H4491" s="19" t="str">
        <x:v>D:/Codex/GRL研究/outputs/grid87/GRID87_report.md</x:v>
      </x:c>
    </x:row>
    <x:row r="4492" ht="36" customHeight="1">
      <x:c r="A4492" s="19" t="str">
        <x:v>GRID87</x:v>
      </x:c>
      <x:c r="B4492" s="19" t="str">
        <x:v>GRID87_report.md</x:v>
      </x:c>
      <x:c r="C4492" s="19" t="str">
        <x:v>2. 首次动作分歧</x:v>
      </x:c>
      <x:c r="D4492" s="19" t="str">
        <x:v>日期=2035-04-02_9；首次分歧步=997</x:v>
      </x:c>
      <x:c r="E4492" s="19" t="str">
        <x:v>相同动作前缀步数</x:v>
      </x:c>
      <x:c r="F4492" s="19" t="str">
        <x:v>996</x:v>
      </x:c>
      <x:c r="G4492" s="19" t="str">
        <x:v>质量/成本</x:v>
      </x:c>
      <x:c r="H4492" s="19" t="str">
        <x:v>D:/Codex/GRL研究/outputs/grid87/GRID87_report.md</x:v>
      </x:c>
    </x:row>
    <x:row r="4493" ht="36" customHeight="1">
      <x:c r="A4493" s="19" t="str">
        <x:v>GRID87</x:v>
      </x:c>
      <x:c r="B4493" s="19" t="str">
        <x:v>GRID87_report.md</x:v>
      </x:c>
      <x:c r="C4493" s="19" t="str">
        <x:v>2. 首次动作分歧</x:v>
      </x:c>
      <x:c r="D4493" s="19" t="str">
        <x:v>日期=2035-04-02_9；首次分歧步=997</x:v>
      </x:c>
      <x:c r="E4493" s="19" t="str">
        <x:v>双方搜索调用</x:v>
      </x:c>
      <x:c r="F4493" s="19" t="str">
        <x:v>True</x:v>
      </x:c>
      <x:c r="G4493" s="19" t="str">
        <x:v>速度/计算</x:v>
      </x:c>
      <x:c r="H4493" s="19" t="str">
        <x:v>D:/Codex/GRL研究/outputs/grid87/GRID87_report.md</x:v>
      </x:c>
    </x:row>
    <x:row r="4494" ht="36" customHeight="1">
      <x:c r="A4494" s="19" t="str">
        <x:v>GRID87</x:v>
      </x:c>
      <x:c r="B4494" s="19" t="str">
        <x:v>GRID87_report.md</x:v>
      </x:c>
      <x:c r="C4494" s="19" t="str">
        <x:v>2. 首次动作分歧</x:v>
      </x:c>
      <x:c r="D4494" s="19" t="str">
        <x:v>日期=2035-04-02_9；首次分歧步=997</x:v>
      </x:c>
      <x:c r="E4494" s="19" t="str">
        <x:v>同观测/底层动作</x:v>
      </x:c>
      <x:c r="F4494" s="19" t="str">
        <x:v>True/True</x:v>
      </x:c>
      <x:c r="G4494" s="19" t="str">
        <x:v>其他/配置</x:v>
      </x:c>
      <x:c r="H4494" s="19" t="str">
        <x:v>D:/Codex/GRL研究/outputs/grid87/GRID87_report.md</x:v>
      </x:c>
    </x:row>
    <x:row r="4495" ht="36" customHeight="1">
      <x:c r="A4495" s="19" t="str">
        <x:v>GRID87</x:v>
      </x:c>
      <x:c r="B4495" s="19" t="str">
        <x:v>GRID87_report.md</x:v>
      </x:c>
      <x:c r="C4495" s="19" t="str">
        <x:v>2. 首次动作分歧</x:v>
      </x:c>
      <x:c r="D4495" s="19" t="str">
        <x:v>日期=2035-04-02_9；首次分歧步=997</x:v>
      </x:c>
      <x:c r="E4495" s="19" t="str">
        <x:v>GUARD查询/固定查询</x:v>
      </x:c>
      <x:c r="F4495" s="19" t="str">
        <x:v>502/256</x:v>
      </x:c>
      <x:c r="G4495" s="19" t="str">
        <x:v>速度/计算</x:v>
      </x:c>
      <x:c r="H4495" s="19" t="str">
        <x:v>D:/Codex/GRL研究/outputs/grid87/GRID87_report.md</x:v>
      </x:c>
    </x:row>
    <x:row r="4496" ht="36" customHeight="1">
      <x:c r="A4496" s="19" t="str">
        <x:v>GRID87</x:v>
      </x:c>
      <x:c r="B4496" s="19" t="str">
        <x:v>GRID87_report.md</x:v>
      </x:c>
      <x:c r="C4496" s="19" t="str">
        <x:v>2. 首次动作分歧</x:v>
      </x:c>
      <x:c r="D4496" s="19" t="str">
        <x:v>日期=2035-07-09_2；首次分歧步=407</x:v>
      </x:c>
      <x:c r="E4496" s="19" t="str">
        <x:v>首次分歧步</x:v>
      </x:c>
      <x:c r="F4496" s="19" t="str">
        <x:v>407</x:v>
      </x:c>
      <x:c r="G4496" s="19" t="str">
        <x:v>其他/配置</x:v>
      </x:c>
      <x:c r="H4496" s="19" t="str">
        <x:v>D:/Codex/GRL研究/outputs/grid87/GRID87_report.md</x:v>
      </x:c>
    </x:row>
    <x:row r="4497" ht="36" customHeight="1">
      <x:c r="A4497" s="19" t="str">
        <x:v>GRID87</x:v>
      </x:c>
      <x:c r="B4497" s="19" t="str">
        <x:v>GRID87_report.md</x:v>
      </x:c>
      <x:c r="C4497" s="19" t="str">
        <x:v>2. 首次动作分歧</x:v>
      </x:c>
      <x:c r="D4497" s="19" t="str">
        <x:v>日期=2035-07-09_2；首次分歧步=407</x:v>
      </x:c>
      <x:c r="E4497" s="19" t="str">
        <x:v>相同动作前缀步数</x:v>
      </x:c>
      <x:c r="F4497" s="19" t="str">
        <x:v>406</x:v>
      </x:c>
      <x:c r="G4497" s="19" t="str">
        <x:v>质量/成本</x:v>
      </x:c>
      <x:c r="H4497" s="19" t="str">
        <x:v>D:/Codex/GRL研究/outputs/grid87/GRID87_report.md</x:v>
      </x:c>
    </x:row>
    <x:row r="4498" ht="36" customHeight="1">
      <x:c r="A4498" s="19" t="str">
        <x:v>GRID87</x:v>
      </x:c>
      <x:c r="B4498" s="19" t="str">
        <x:v>GRID87_report.md</x:v>
      </x:c>
      <x:c r="C4498" s="19" t="str">
        <x:v>2. 首次动作分歧</x:v>
      </x:c>
      <x:c r="D4498" s="19" t="str">
        <x:v>日期=2035-07-09_2；首次分歧步=407</x:v>
      </x:c>
      <x:c r="E4498" s="19" t="str">
        <x:v>双方搜索调用</x:v>
      </x:c>
      <x:c r="F4498" s="19" t="str">
        <x:v>True</x:v>
      </x:c>
      <x:c r="G4498" s="19" t="str">
        <x:v>速度/计算</x:v>
      </x:c>
      <x:c r="H4498" s="19" t="str">
        <x:v>D:/Codex/GRL研究/outputs/grid87/GRID87_report.md</x:v>
      </x:c>
    </x:row>
    <x:row r="4499" ht="36" customHeight="1">
      <x:c r="A4499" s="19" t="str">
        <x:v>GRID87</x:v>
      </x:c>
      <x:c r="B4499" s="19" t="str">
        <x:v>GRID87_report.md</x:v>
      </x:c>
      <x:c r="C4499" s="19" t="str">
        <x:v>2. 首次动作分歧</x:v>
      </x:c>
      <x:c r="D4499" s="19" t="str">
        <x:v>日期=2035-07-09_2；首次分歧步=407</x:v>
      </x:c>
      <x:c r="E4499" s="19" t="str">
        <x:v>同观测/底层动作</x:v>
      </x:c>
      <x:c r="F4499" s="19" t="str">
        <x:v>True/True</x:v>
      </x:c>
      <x:c r="G4499" s="19" t="str">
        <x:v>其他/配置</x:v>
      </x:c>
      <x:c r="H4499" s="19" t="str">
        <x:v>D:/Codex/GRL研究/outputs/grid87/GRID87_report.md</x:v>
      </x:c>
    </x:row>
    <x:row r="4500" ht="36" customHeight="1">
      <x:c r="A4500" s="19" t="str">
        <x:v>GRID87</x:v>
      </x:c>
      <x:c r="B4500" s="19" t="str">
        <x:v>GRID87_report.md</x:v>
      </x:c>
      <x:c r="C4500" s="19" t="str">
        <x:v>2. 首次动作分歧</x:v>
      </x:c>
      <x:c r="D4500" s="19" t="str">
        <x:v>日期=2035-07-09_2；首次分歧步=407</x:v>
      </x:c>
      <x:c r="E4500" s="19" t="str">
        <x:v>GUARD查询/固定查询</x:v>
      </x:c>
      <x:c r="F4500" s="19" t="str">
        <x:v>320/256</x:v>
      </x:c>
      <x:c r="G4500" s="19" t="str">
        <x:v>速度/计算</x:v>
      </x:c>
      <x:c r="H4500" s="19" t="str">
        <x:v>D:/Codex/GRL研究/outputs/grid87/GRID87_report.md</x:v>
      </x:c>
    </x:row>
    <x:row r="4501" ht="36" customHeight="1">
      <x:c r="A4501" s="19" t="str">
        <x:v>GRID87</x:v>
      </x:c>
      <x:c r="B4501" s="19" t="str">
        <x:v>GRID87_report.md</x:v>
      </x:c>
      <x:c r="C4501" s="19" t="str">
        <x:v>2. 首次动作分歧</x:v>
      </x:c>
      <x:c r="D4501" s="19" t="str">
        <x:v>日期=2035-12-10_6；首次分歧步=1170</x:v>
      </x:c>
      <x:c r="E4501" s="19" t="str">
        <x:v>首次分歧步</x:v>
      </x:c>
      <x:c r="F4501" s="19" t="str">
        <x:v>1170</x:v>
      </x:c>
      <x:c r="G4501" s="19" t="str">
        <x:v>其他/配置</x:v>
      </x:c>
      <x:c r="H4501" s="19" t="str">
        <x:v>D:/Codex/GRL研究/outputs/grid87/GRID87_report.md</x:v>
      </x:c>
    </x:row>
    <x:row r="4502" ht="36" customHeight="1">
      <x:c r="A4502" s="19" t="str">
        <x:v>GRID87</x:v>
      </x:c>
      <x:c r="B4502" s="19" t="str">
        <x:v>GRID87_report.md</x:v>
      </x:c>
      <x:c r="C4502" s="19" t="str">
        <x:v>2. 首次动作分歧</x:v>
      </x:c>
      <x:c r="D4502" s="19" t="str">
        <x:v>日期=2035-12-10_6；首次分歧步=1170</x:v>
      </x:c>
      <x:c r="E4502" s="19" t="str">
        <x:v>相同动作前缀步数</x:v>
      </x:c>
      <x:c r="F4502" s="19" t="str">
        <x:v>1169</x:v>
      </x:c>
      <x:c r="G4502" s="19" t="str">
        <x:v>质量/成本</x:v>
      </x:c>
      <x:c r="H4502" s="19" t="str">
        <x:v>D:/Codex/GRL研究/outputs/grid87/GRID87_report.md</x:v>
      </x:c>
    </x:row>
    <x:row r="4503" ht="36" customHeight="1">
      <x:c r="A4503" s="19" t="str">
        <x:v>GRID87</x:v>
      </x:c>
      <x:c r="B4503" s="19" t="str">
        <x:v>GRID87_report.md</x:v>
      </x:c>
      <x:c r="C4503" s="19" t="str">
        <x:v>2. 首次动作分歧</x:v>
      </x:c>
      <x:c r="D4503" s="19" t="str">
        <x:v>日期=2035-12-10_6；首次分歧步=1170</x:v>
      </x:c>
      <x:c r="E4503" s="19" t="str">
        <x:v>双方搜索调用</x:v>
      </x:c>
      <x:c r="F4503" s="19" t="str">
        <x:v>True</x:v>
      </x:c>
      <x:c r="G4503" s="19" t="str">
        <x:v>速度/计算</x:v>
      </x:c>
      <x:c r="H4503" s="19" t="str">
        <x:v>D:/Codex/GRL研究/outputs/grid87/GRID87_report.md</x:v>
      </x:c>
    </x:row>
    <x:row r="4504" ht="36" customHeight="1">
      <x:c r="A4504" s="19" t="str">
        <x:v>GRID87</x:v>
      </x:c>
      <x:c r="B4504" s="19" t="str">
        <x:v>GRID87_report.md</x:v>
      </x:c>
      <x:c r="C4504" s="19" t="str">
        <x:v>2. 首次动作分歧</x:v>
      </x:c>
      <x:c r="D4504" s="19" t="str">
        <x:v>日期=2035-12-10_6；首次分歧步=1170</x:v>
      </x:c>
      <x:c r="E4504" s="19" t="str">
        <x:v>同观测/底层动作</x:v>
      </x:c>
      <x:c r="F4504" s="19" t="str">
        <x:v>True/True</x:v>
      </x:c>
      <x:c r="G4504" s="19" t="str">
        <x:v>其他/配置</x:v>
      </x:c>
      <x:c r="H4504" s="19" t="str">
        <x:v>D:/Codex/GRL研究/outputs/grid87/GRID87_report.md</x:v>
      </x:c>
    </x:row>
    <x:row r="4505" ht="36" customHeight="1">
      <x:c r="A4505" s="19" t="str">
        <x:v>GRID87</x:v>
      </x:c>
      <x:c r="B4505" s="19" t="str">
        <x:v>GRID87_report.md</x:v>
      </x:c>
      <x:c r="C4505" s="19" t="str">
        <x:v>2. 首次动作分歧</x:v>
      </x:c>
      <x:c r="D4505" s="19" t="str">
        <x:v>日期=2035-12-10_6；首次分歧步=1170</x:v>
      </x:c>
      <x:c r="E4505" s="19" t="str">
        <x:v>GUARD查询/固定查询</x:v>
      </x:c>
      <x:c r="F4505" s="19" t="str">
        <x:v>227/256</x:v>
      </x:c>
      <x:c r="G4505" s="19" t="str">
        <x:v>速度/计算</x:v>
      </x:c>
      <x:c r="H4505" s="19" t="str">
        <x:v>D:/Codex/GRL研究/outputs/grid87/GRID87_report.md</x:v>
      </x:c>
    </x:row>
    <x:row r="4506" ht="36" customHeight="1">
      <x:c r="A4506" s="19" t="str">
        <x:v>GRID87</x:v>
      </x:c>
      <x:c r="B4506" s="19" t="str">
        <x:v>GRID87_report.md</x:v>
      </x:c>
      <x:c r="C4506" s="19" t="str">
        <x:v>2. 首次动作分歧</x:v>
      </x:c>
      <x:c r="D4506" s="19" t="str">
        <x:v>日期=2035-12-17_1；首次分歧步=1501</x:v>
      </x:c>
      <x:c r="E4506" s="19" t="str">
        <x:v>首次分歧步</x:v>
      </x:c>
      <x:c r="F4506" s="19" t="str">
        <x:v>1501</x:v>
      </x:c>
      <x:c r="G4506" s="19" t="str">
        <x:v>其他/配置</x:v>
      </x:c>
      <x:c r="H4506" s="19" t="str">
        <x:v>D:/Codex/GRL研究/outputs/grid87/GRID87_report.md</x:v>
      </x:c>
    </x:row>
    <x:row r="4507" ht="36" customHeight="1">
      <x:c r="A4507" s="19" t="str">
        <x:v>GRID87</x:v>
      </x:c>
      <x:c r="B4507" s="19" t="str">
        <x:v>GRID87_report.md</x:v>
      </x:c>
      <x:c r="C4507" s="19" t="str">
        <x:v>2. 首次动作分歧</x:v>
      </x:c>
      <x:c r="D4507" s="19" t="str">
        <x:v>日期=2035-12-17_1；首次分歧步=1501</x:v>
      </x:c>
      <x:c r="E4507" s="19" t="str">
        <x:v>相同动作前缀步数</x:v>
      </x:c>
      <x:c r="F4507" s="19" t="str">
        <x:v>1500</x:v>
      </x:c>
      <x:c r="G4507" s="19" t="str">
        <x:v>质量/成本</x:v>
      </x:c>
      <x:c r="H4507" s="19" t="str">
        <x:v>D:/Codex/GRL研究/outputs/grid87/GRID87_report.md</x:v>
      </x:c>
    </x:row>
    <x:row r="4508" ht="36" customHeight="1">
      <x:c r="A4508" s="19" t="str">
        <x:v>GRID87</x:v>
      </x:c>
      <x:c r="B4508" s="19" t="str">
        <x:v>GRID87_report.md</x:v>
      </x:c>
      <x:c r="C4508" s="19" t="str">
        <x:v>2. 首次动作分歧</x:v>
      </x:c>
      <x:c r="D4508" s="19" t="str">
        <x:v>日期=2035-12-17_1；首次分歧步=1501</x:v>
      </x:c>
      <x:c r="E4508" s="19" t="str">
        <x:v>双方搜索调用</x:v>
      </x:c>
      <x:c r="F4508" s="19" t="str">
        <x:v>True</x:v>
      </x:c>
      <x:c r="G4508" s="19" t="str">
        <x:v>速度/计算</x:v>
      </x:c>
      <x:c r="H4508" s="19" t="str">
        <x:v>D:/Codex/GRL研究/outputs/grid87/GRID87_report.md</x:v>
      </x:c>
    </x:row>
    <x:row r="4509" ht="36" customHeight="1">
      <x:c r="A4509" s="19" t="str">
        <x:v>GRID87</x:v>
      </x:c>
      <x:c r="B4509" s="19" t="str">
        <x:v>GRID87_report.md</x:v>
      </x:c>
      <x:c r="C4509" s="19" t="str">
        <x:v>2. 首次动作分歧</x:v>
      </x:c>
      <x:c r="D4509" s="19" t="str">
        <x:v>日期=2035-12-17_1；首次分歧步=1501</x:v>
      </x:c>
      <x:c r="E4509" s="19" t="str">
        <x:v>同观测/底层动作</x:v>
      </x:c>
      <x:c r="F4509" s="19" t="str">
        <x:v>True/True</x:v>
      </x:c>
      <x:c r="G4509" s="19" t="str">
        <x:v>其他/配置</x:v>
      </x:c>
      <x:c r="H4509" s="19" t="str">
        <x:v>D:/Codex/GRL研究/outputs/grid87/GRID87_report.md</x:v>
      </x:c>
    </x:row>
    <x:row r="4510" ht="36" customHeight="1">
      <x:c r="A4510" s="19" t="str">
        <x:v>GRID87</x:v>
      </x:c>
      <x:c r="B4510" s="19" t="str">
        <x:v>GRID87_report.md</x:v>
      </x:c>
      <x:c r="C4510" s="19" t="str">
        <x:v>2. 首次动作分歧</x:v>
      </x:c>
      <x:c r="D4510" s="19" t="str">
        <x:v>日期=2035-12-17_1；首次分歧步=1501</x:v>
      </x:c>
      <x:c r="E4510" s="19" t="str">
        <x:v>GUARD查询/固定查询</x:v>
      </x:c>
      <x:c r="F4510" s="19" t="str">
        <x:v>590/256</x:v>
      </x:c>
      <x:c r="G4510" s="19" t="str">
        <x:v>速度/计算</x:v>
      </x:c>
      <x:c r="H4510" s="19" t="str">
        <x:v>D:/Codex/GRL研究/outputs/grid87/GRID87_report.md</x:v>
      </x:c>
    </x:row>
    <x:row r="4511" ht="36" customHeight="1">
      <x:c r="A4511" s="19" t="str">
        <x:v>GRID88</x:v>
      </x:c>
      <x:c r="B4511" s="19" t="str">
        <x:v>GRID88_report.md</x:v>
      </x:c>
      <x:c r="C4511" s="19" t="str">
        <x:v>1. GRID88：反馈核查与固定查询预算的闭环比较</x:v>
      </x:c>
      <x:c r="D4511" s="19" t="str">
        <x:v>方法=FRAME_GUARD；质量通过=13/13</x:v>
      </x:c>
      <x:c r="E4511" s="19" t="str">
        <x:v>质量通过</x:v>
      </x:c>
      <x:c r="F4511" s="19" t="str">
        <x:v>13/13</x:v>
      </x:c>
      <x:c r="G4511" s="19" t="str">
        <x:v>质量/成本</x:v>
      </x:c>
      <x:c r="H4511" s="19" t="str">
        <x:v>D:/Codex/GRL研究/outputs/grid88/GRID88_report.md</x:v>
      </x:c>
    </x:row>
    <x:row r="4512" ht="36" customHeight="1">
      <x:c r="A4512" s="19" t="str">
        <x:v>GRID88</x:v>
      </x:c>
      <x:c r="B4512" s="19" t="str">
        <x:v>GRID88_report.md</x:v>
      </x:c>
      <x:c r="C4512" s="19" t="str">
        <x:v>1. GRID88：反馈核查与固定查询预算的闭环比较</x:v>
      </x:c>
      <x:c r="D4512" s="19" t="str">
        <x:v>方法=FRAME_GUARD；质量通过=13/13</x:v>
      </x:c>
      <x:c r="E4512" s="19" t="str">
        <x:v>完成整周</x:v>
      </x:c>
      <x:c r="F4512" s="19" t="str">
        <x:v>11/13</x:v>
      </x:c>
      <x:c r="G4512" s="19" t="str">
        <x:v>质量/成本</x:v>
      </x:c>
      <x:c r="H4512" s="19" t="str">
        <x:v>D:/Codex/GRL研究/outputs/grid88/GRID88_report.md</x:v>
      </x:c>
    </x:row>
    <x:row r="4513" ht="36" customHeight="1">
      <x:c r="A4513" s="19" t="str">
        <x:v>GRID88</x:v>
      </x:c>
      <x:c r="B4513" s="19" t="str">
        <x:v>GRID88_report.md</x:v>
      </x:c>
      <x:c r="C4513" s="19" t="str">
        <x:v>1. GRID88：反馈核查与固定查询预算的闭环比较</x:v>
      </x:c>
      <x:c r="D4513" s="19" t="str">
        <x:v>方法=FRAME_GUARD；质量通过=13/13</x:v>
      </x:c>
      <x:c r="E4513" s="19" t="str">
        <x:v>搜索查询合计¹</x:v>
      </x:c>
      <x:c r="F4513" s="19" t="str">
        <x:v>35614</x:v>
      </x:c>
      <x:c r="G4513" s="19" t="str">
        <x:v>速度/计算</x:v>
      </x:c>
      <x:c r="H4513" s="19" t="str">
        <x:v>D:/Codex/GRL研究/outputs/grid88/GRID88_report.md</x:v>
      </x:c>
    </x:row>
    <x:row r="4514" ht="36" customHeight="1">
      <x:c r="A4514" s="19" t="str">
        <x:v>GRID88</x:v>
      </x:c>
      <x:c r="B4514" s="19" t="str">
        <x:v>GRID88_report.md</x:v>
      </x:c>
      <x:c r="C4514" s="19" t="str">
        <x:v>1. GRID88：反馈核查与固定查询预算的闭环比较</x:v>
      </x:c>
      <x:c r="D4514" s="19" t="str">
        <x:v>方法=FRAME_GUARD；质量通过=13/13</x:v>
      </x:c>
      <x:c r="E4514" s="19" t="str">
        <x:v>完整控制秒/日期²</x:v>
      </x:c>
      <x:c r="F4514" s="19" t="str">
        <x:v>74.737</x:v>
      </x:c>
      <x:c r="G4514" s="19" t="str">
        <x:v>速度/计算</x:v>
      </x:c>
      <x:c r="H4514" s="19" t="str">
        <x:v>D:/Codex/GRL研究/outputs/grid88/GRID88_report.md</x:v>
      </x:c>
    </x:row>
    <x:row r="4515" ht="36" customHeight="1">
      <x:c r="A4515" s="19" t="str">
        <x:v>GRID88</x:v>
      </x:c>
      <x:c r="B4515" s="19" t="str">
        <x:v>GRID88_report.md</x:v>
      </x:c>
      <x:c r="C4515" s="19" t="str">
        <x:v>1. GRID88：反馈核查与固定查询预算的闭环比较</x:v>
      </x:c>
      <x:c r="D4515" s="19" t="str">
        <x:v>方法=FRAME_GUARD；质量通过=13/13</x:v>
      </x:c>
      <x:c r="E4515" s="19" t="str">
        <x:v>最大可比完整周成本增幅</x:v>
      </x:c>
      <x:c r="F4515" s="19" t="str">
        <x:v>+0.3720%</x:v>
      </x:c>
      <x:c r="G4515" s="19" t="str">
        <x:v>质量/成本</x:v>
      </x:c>
      <x:c r="H4515" s="19" t="str">
        <x:v>D:/Codex/GRL研究/outputs/grid88/GRID88_report.md</x:v>
      </x:c>
    </x:row>
    <x:row r="4516" ht="36" customHeight="1">
      <x:c r="A4516" s="19" t="str">
        <x:v>GRID88</x:v>
      </x:c>
      <x:c r="B4516" s="19" t="str">
        <x:v>GRID88_report.md</x:v>
      </x:c>
      <x:c r="C4516" s="19" t="str">
        <x:v>1. GRID88：反馈核查与固定查询预算的闭环比较</x:v>
      </x:c>
      <x:c r="D4516" s="19" t="str">
        <x:v>方法=FIXED_512；质量通过=11/13</x:v>
      </x:c>
      <x:c r="E4516" s="19" t="str">
        <x:v>质量通过</x:v>
      </x:c>
      <x:c r="F4516" s="19" t="str">
        <x:v>11/13</x:v>
      </x:c>
      <x:c r="G4516" s="19" t="str">
        <x:v>质量/成本</x:v>
      </x:c>
      <x:c r="H4516" s="19" t="str">
        <x:v>D:/Codex/GRL研究/outputs/grid88/GRID88_report.md</x:v>
      </x:c>
    </x:row>
    <x:row r="4517" ht="36" customHeight="1">
      <x:c r="A4517" s="19" t="str">
        <x:v>GRID88</x:v>
      </x:c>
      <x:c r="B4517" s="19" t="str">
        <x:v>GRID88_report.md</x:v>
      </x:c>
      <x:c r="C4517" s="19" t="str">
        <x:v>1. GRID88：反馈核查与固定查询预算的闭环比较</x:v>
      </x:c>
      <x:c r="D4517" s="19" t="str">
        <x:v>方法=FIXED_512；质量通过=11/13</x:v>
      </x:c>
      <x:c r="E4517" s="19" t="str">
        <x:v>完成整周</x:v>
      </x:c>
      <x:c r="F4517" s="19" t="str">
        <x:v>11/13</x:v>
      </x:c>
      <x:c r="G4517" s="19" t="str">
        <x:v>质量/成本</x:v>
      </x:c>
      <x:c r="H4517" s="19" t="str">
        <x:v>D:/Codex/GRL研究/outputs/grid88/GRID88_report.md</x:v>
      </x:c>
    </x:row>
    <x:row r="4518" ht="36" customHeight="1">
      <x:c r="A4518" s="19" t="str">
        <x:v>GRID88</x:v>
      </x:c>
      <x:c r="B4518" s="19" t="str">
        <x:v>GRID88_report.md</x:v>
      </x:c>
      <x:c r="C4518" s="19" t="str">
        <x:v>1. GRID88：反馈核查与固定查询预算的闭环比较</x:v>
      </x:c>
      <x:c r="D4518" s="19" t="str">
        <x:v>方法=FIXED_512；质量通过=11/13</x:v>
      </x:c>
      <x:c r="E4518" s="19" t="str">
        <x:v>搜索查询合计¹</x:v>
      </x:c>
      <x:c r="F4518" s="19" t="str">
        <x:v>52736</x:v>
      </x:c>
      <x:c r="G4518" s="19" t="str">
        <x:v>速度/计算</x:v>
      </x:c>
      <x:c r="H4518" s="19" t="str">
        <x:v>D:/Codex/GRL研究/outputs/grid88/GRID88_report.md</x:v>
      </x:c>
    </x:row>
    <x:row r="4519" ht="36" customHeight="1">
      <x:c r="A4519" s="19" t="str">
        <x:v>GRID88</x:v>
      </x:c>
      <x:c r="B4519" s="19" t="str">
        <x:v>GRID88_report.md</x:v>
      </x:c>
      <x:c r="C4519" s="19" t="str">
        <x:v>1. GRID88：反馈核查与固定查询预算的闭环比较</x:v>
      </x:c>
      <x:c r="D4519" s="19" t="str">
        <x:v>方法=FIXED_512；质量通过=11/13</x:v>
      </x:c>
      <x:c r="E4519" s="19" t="str">
        <x:v>完整控制秒/日期²</x:v>
      </x:c>
      <x:c r="F4519" s="19" t="str">
        <x:v>79.185</x:v>
      </x:c>
      <x:c r="G4519" s="19" t="str">
        <x:v>速度/计算</x:v>
      </x:c>
      <x:c r="H4519" s="19" t="str">
        <x:v>D:/Codex/GRL研究/outputs/grid88/GRID88_report.md</x:v>
      </x:c>
    </x:row>
    <x:row r="4520" ht="36" customHeight="1">
      <x:c r="A4520" s="19" t="str">
        <x:v>GRID88</x:v>
      </x:c>
      <x:c r="B4520" s="19" t="str">
        <x:v>GRID88_report.md</x:v>
      </x:c>
      <x:c r="C4520" s="19" t="str">
        <x:v>1. GRID88：反馈核查与固定查询预算的闭环比较</x:v>
      </x:c>
      <x:c r="D4520" s="19" t="str">
        <x:v>方法=FIXED_512；质量通过=11/13</x:v>
      </x:c>
      <x:c r="E4520" s="19" t="str">
        <x:v>最大可比完整周成本增幅</x:v>
      </x:c>
      <x:c r="F4520" s="19" t="str">
        <x:v>+1.4550%</x:v>
      </x:c>
      <x:c r="G4520" s="19" t="str">
        <x:v>质量/成本</x:v>
      </x:c>
      <x:c r="H4520" s="19" t="str">
        <x:v>D:/Codex/GRL研究/outputs/grid88/GRID88_report.md</x:v>
      </x:c>
    </x:row>
    <x:row r="4521" ht="36" customHeight="1">
      <x:c r="A4521" s="19" t="str">
        <x:v>GRID88</x:v>
      </x:c>
      <x:c r="B4521" s="19" t="str">
        <x:v>GRID88_report.md</x:v>
      </x:c>
      <x:c r="C4521" s="19" t="str">
        <x:v>2. GRID88：反馈核查与固定查询预算的闭环比较</x:v>
      </x:c>
      <x:c r="D4521" s="19" t="str">
        <x:v>FRAME相对固定预算=FIXED_512；控制时间宏平均减少=+3.883%</x:v>
      </x:c>
      <x:c r="E4521" s="19" t="str">
        <x:v>控制时间宏平均减少</x:v>
      </x:c>
      <x:c r="F4521" s="19" t="str">
        <x:v>+3.883%</x:v>
      </x:c>
      <x:c r="G4521" s="19" t="str">
        <x:v>速度/计算</x:v>
      </x:c>
      <x:c r="H4521" s="19" t="str">
        <x:v>D:/Codex/GRL研究/outputs/grid88/GRID88_report.md</x:v>
      </x:c>
    </x:row>
    <x:row r="4522" ht="36" customHeight="1">
      <x:c r="A4522" s="19" t="str">
        <x:v>GRID88</x:v>
      </x:c>
      <x:c r="B4522" s="19" t="str">
        <x:v>GRID88_report.md</x:v>
      </x:c>
      <x:c r="C4522" s="19" t="str">
        <x:v>2. GRID88：反馈核查与固定查询预算的闭环比较</x:v>
      </x:c>
      <x:c r="D4522" s="19" t="str">
        <x:v>FRAME相对固定预算=FIXED_512；控制时间宏平均减少=+3.883%</x:v>
      </x:c>
      <x:c r="E4522" s="19" t="str">
        <x:v>匹配时域查询宏平均减少</x:v>
      </x:c>
      <x:c r="F4522" s="19" t="str">
        <x:v>+33.573%</x:v>
      </x:c>
      <x:c r="G4522" s="19" t="str">
        <x:v>速度/计算</x:v>
      </x:c>
      <x:c r="H4522" s="19" t="str">
        <x:v>D:/Codex/GRL研究/outputs/grid88/GRID88_report.md</x:v>
      </x:c>
    </x:row>
    <x:row r="4523" ht="36" customHeight="1">
      <x:c r="A4523" s="19" t="str">
        <x:v>GRID88</x:v>
      </x:c>
      <x:c r="B4523" s="19" t="str">
        <x:v>GRID88_report.md</x:v>
      </x:c>
      <x:c r="C4523" s="19" t="str">
        <x:v>2. GRID88：反馈核查与固定查询预算的闭环比较</x:v>
      </x:c>
      <x:c r="D4523" s="19" t="str">
        <x:v>FRAME相对固定预算=FIXED_512；控制时间宏平均减少=+3.883%</x:v>
      </x:c>
      <x:c r="E4523" s="19" t="str">
        <x:v>正向日期</x:v>
      </x:c>
      <x:c r="F4523" s="19" t="str">
        <x:v>11/13</x:v>
      </x:c>
      <x:c r="G4523" s="19" t="str">
        <x:v>其他/配置</x:v>
      </x:c>
      <x:c r="H4523" s="19" t="str">
        <x:v>D:/Codex/GRL研究/outputs/grid88/GRID88_report.md</x:v>
      </x:c>
    </x:row>
    <x:row r="4524" ht="36" customHeight="1">
      <x:c r="A4524" s="19" t="str">
        <x:v>GRID88</x:v>
      </x:c>
      <x:c r="B4524" s="19" t="str">
        <x:v>GRID88_report.md</x:v>
      </x:c>
      <x:c r="C4524" s="19" t="str">
        <x:v>2. GRID88：反馈核查与固定查询预算的闭环比较</x:v>
      </x:c>
      <x:c r="D4524" s="19" t="str">
        <x:v>FRAME相对固定预算=FIXED_512；控制时间宏平均减少=+3.883%</x:v>
      </x:c>
      <x:c r="E4524" s="19" t="str">
        <x:v>两次时间重复</x:v>
      </x:c>
      <x:c r="F4524" s="19" t="str">
        <x:v>+4.150% / +3.605%</x:v>
      </x:c>
      <x:c r="G4524" s="19" t="str">
        <x:v>速度/计算</x:v>
      </x:c>
      <x:c r="H4524" s="19" t="str">
        <x:v>D:/Codex/GRL研究/outputs/grid88/GRID88_report.md</x:v>
      </x:c>
    </x:row>
    <x:row r="4525" ht="36" customHeight="1">
      <x:c r="A4525" s="19" t="str">
        <x:v>GRID88</x:v>
      </x:c>
      <x:c r="B4525" s="19" t="str">
        <x:v>GRID88_report.md</x:v>
      </x:c>
      <x:c r="C4525" s="19" t="str">
        <x:v>2. GRID88：反馈核查与固定查询预算的闭环比较</x:v>
      </x:c>
      <x:c r="D4525" s="19" t="str">
        <x:v>FRAME相对固定预算=FIXED_512；控制时间宏平均减少=+3.883%</x:v>
      </x:c>
      <x:c r="E4525" s="19" t="str">
        <x:v>同时域日期</x:v>
      </x:c>
      <x:c r="F4525" s="19" t="str">
        <x:v>13/13</x:v>
      </x:c>
      <x:c r="G4525" s="19" t="str">
        <x:v>其他/配置</x:v>
      </x:c>
      <x:c r="H4525" s="19" t="str">
        <x:v>D:/Codex/GRL研究/outputs/grid88/GRID88_report.md</x:v>
      </x:c>
    </x:row>
    <x:row r="4526" ht="36" customHeight="1">
      <x:c r="A4526" s="19" t="str">
        <x:v>GRID88</x:v>
      </x:c>
      <x:c r="B4526" s="19" t="str">
        <x:v>GRID88_report.md</x:v>
      </x:c>
      <x:c r="C4526" s="19" t="str">
        <x:v>2. GRID88：反馈核查与固定查询预算的闭环比较</x:v>
      </x:c>
      <x:c r="D4526" s="19" t="str">
        <x:v>FRAME相对固定预算=FIXED_512；控制时间宏平均减少=+3.883%</x:v>
      </x:c>
      <x:c r="E4526" s="19" t="str">
        <x:v>判读</x:v>
      </x:c>
      <x:c r="F4526" s="19" t="str">
        <x:v>FIXED_QUALITY_FAILED</x:v>
      </x:c>
      <x:c r="G4526" s="19" t="str">
        <x:v>其他/配置</x:v>
      </x:c>
      <x:c r="H4526" s="19" t="str">
        <x:v>D:/Codex/GRL研究/outputs/grid88/GRID88_report.md</x:v>
      </x:c>
    </x:row>
    <x:row r="4527" ht="36" customHeight="1">
      <x:c r="A4527" s="19" t="str">
        <x:v>GRID88</x:v>
      </x:c>
      <x:c r="B4527" s="19" t="str">
        <x:v>GRID88_report.md</x:v>
      </x:c>
      <x:c r="C4527" s="19" t="str">
        <x:v>3. 逐日期成本、查询、时间与延迟</x:v>
      </x:c>
      <x:c r="D4527" s="19" t="str">
        <x:v>日期=2035-03-05_0；方法=FRAME_GUARD</x:v>
      </x:c>
      <x:c r="E4527" s="19" t="str">
        <x:v>方法</x:v>
      </x:c>
      <x:c r="F4527" s="19" t="str">
        <x:v>FRAME_GUARD</x:v>
      </x:c>
      <x:c r="G4527" s="19" t="str">
        <x:v>其他/配置</x:v>
      </x:c>
      <x:c r="H4527" s="19" t="str">
        <x:v>D:/Codex/GRL研究/outputs/grid88/GRID88_report.md</x:v>
      </x:c>
    </x:row>
    <x:row r="4528" ht="36" customHeight="1">
      <x:c r="A4528" s="19" t="str">
        <x:v>GRID88</x:v>
      </x:c>
      <x:c r="B4528" s="19" t="str">
        <x:v>GRID88_report.md</x:v>
      </x:c>
      <x:c r="C4528" s="19" t="str">
        <x:v>3. 逐日期成本、查询、时间与延迟</x:v>
      </x:c>
      <x:c r="D4528" s="19" t="str">
        <x:v>日期=2035-03-05_0；方法=FRAME_GUARD</x:v>
      </x:c>
      <x:c r="E4528" s="19" t="str">
        <x:v>完成/步数</x:v>
      </x:c>
      <x:c r="F4528" s="19" t="str">
        <x:v>True/2017</x:v>
      </x:c>
      <x:c r="G4528" s="19" t="str">
        <x:v>质量/成本</x:v>
      </x:c>
      <x:c r="H4528" s="19" t="str">
        <x:v>D:/Codex/GRL研究/outputs/grid88/GRID88_report.md</x:v>
      </x:c>
    </x:row>
    <x:row r="4529" ht="36" customHeight="1">
      <x:c r="A4529" s="19" t="str">
        <x:v>GRID88</x:v>
      </x:c>
      <x:c r="B4529" s="19" t="str">
        <x:v>GRID88_report.md</x:v>
      </x:c>
      <x:c r="C4529" s="19" t="str">
        <x:v>3. 逐日期成本、查询、时间与延迟</x:v>
      </x:c>
      <x:c r="D4529" s="19" t="str">
        <x:v>日期=2035-03-05_0；方法=FRAME_GUARD</x:v>
      </x:c>
      <x:c r="E4529" s="19" t="str">
        <x:v>完整周成本相对FULL</x:v>
      </x:c>
      <x:c r="F4529" s="19" t="str">
        <x:v>+0.3720%</x:v>
      </x:c>
      <x:c r="G4529" s="19" t="str">
        <x:v>质量/成本</x:v>
      </x:c>
      <x:c r="H4529" s="19" t="str">
        <x:v>D:/Codex/GRL研究/outputs/grid88/GRID88_report.md</x:v>
      </x:c>
    </x:row>
    <x:row r="4530" ht="36" customHeight="1">
      <x:c r="A4530" s="19" t="str">
        <x:v>GRID88</x:v>
      </x:c>
      <x:c r="B4530" s="19" t="str">
        <x:v>GRID88_report.md</x:v>
      </x:c>
      <x:c r="C4530" s="19" t="str">
        <x:v>3. 逐日期成本、查询、时间与延迟</x:v>
      </x:c>
      <x:c r="D4530" s="19" t="str">
        <x:v>日期=2035-03-05_0；方法=FRAME_GUARD</x:v>
      </x:c>
      <x:c r="E4530" s="19" t="str">
        <x:v>质量通过</x:v>
      </x:c>
      <x:c r="F4530" s="19" t="str">
        <x:v>True</x:v>
      </x:c>
      <x:c r="G4530" s="19" t="str">
        <x:v>质量/成本</x:v>
      </x:c>
      <x:c r="H4530" s="19" t="str">
        <x:v>D:/Codex/GRL研究/outputs/grid88/GRID88_report.md</x:v>
      </x:c>
    </x:row>
    <x:row r="4531" ht="36" customHeight="1">
      <x:c r="A4531" s="19" t="str">
        <x:v>GRID88</x:v>
      </x:c>
      <x:c r="B4531" s="19" t="str">
        <x:v>GRID88_report.md</x:v>
      </x:c>
      <x:c r="C4531" s="19" t="str">
        <x:v>3. 逐日期成本、查询、时间与延迟</x:v>
      </x:c>
      <x:c r="D4531" s="19" t="str">
        <x:v>日期=2035-03-05_0；方法=FRAME_GUARD</x:v>
      </x:c>
      <x:c r="E4531" s="19" t="str">
        <x:v>查询</x:v>
      </x:c>
      <x:c r="F4531" s="19" t="str">
        <x:v>3720</x:v>
      </x:c>
      <x:c r="G4531" s="19" t="str">
        <x:v>速度/计算</x:v>
      </x:c>
      <x:c r="H4531" s="19" t="str">
        <x:v>D:/Codex/GRL研究/outputs/grid88/GRID88_report.md</x:v>
      </x:c>
    </x:row>
    <x:row r="4532" ht="36" customHeight="1">
      <x:c r="A4532" s="19" t="str">
        <x:v>GRID88</x:v>
      </x:c>
      <x:c r="B4532" s="19" t="str">
        <x:v>GRID88_report.md</x:v>
      </x:c>
      <x:c r="C4532" s="19" t="str">
        <x:v>3. 逐日期成本、查询、时间与延迟</x:v>
      </x:c>
      <x:c r="D4532" s="19" t="str">
        <x:v>日期=2035-03-05_0；方法=FRAME_GUARD</x:v>
      </x:c>
      <x:c r="E4532" s="19" t="str">
        <x:v>控制秒均值[最小,最大]</x:v>
      </x:c>
      <x:c r="F4532" s="19" t="str">
        <x:v>124.061[123.351,124.771]</x:v>
      </x:c>
      <x:c r="G4532" s="19" t="str">
        <x:v>速度/计算</x:v>
      </x:c>
      <x:c r="H4532" s="19" t="str">
        <x:v>D:/Codex/GRL研究/outputs/grid88/GRID88_report.md</x:v>
      </x:c>
    </x:row>
    <x:row r="4533" ht="36" customHeight="1">
      <x:c r="A4533" s="19" t="str">
        <x:v>GRID88</x:v>
      </x:c>
      <x:c r="B4533" s="19" t="str">
        <x:v>GRID88_report.md</x:v>
      </x:c>
      <x:c r="C4533" s="19" t="str">
        <x:v>3. 逐日期成本、查询、时间与延迟</x:v>
      </x:c>
      <x:c r="D4533" s="19" t="str">
        <x:v>日期=2035-03-05_0；方法=FRAME_GUARD</x:v>
      </x:c>
      <x:c r="E4533" s="19" t="str">
        <x:v>P95秒</x:v>
      </x:c>
      <x:c r="F4533" s="19" t="str">
        <x:v>0.0391</x:v>
      </x:c>
      <x:c r="G4533" s="19" t="str">
        <x:v>速度/计算</x:v>
      </x:c>
      <x:c r="H4533" s="19" t="str">
        <x:v>D:/Codex/GRL研究/outputs/grid88/GRID88_report.md</x:v>
      </x:c>
    </x:row>
    <x:row r="4534" ht="36" customHeight="1">
      <x:c r="A4534" s="19" t="str">
        <x:v>GRID88</x:v>
      </x:c>
      <x:c r="B4534" s="19" t="str">
        <x:v>GRID88_report.md</x:v>
      </x:c>
      <x:c r="C4534" s="19" t="str">
        <x:v>3. 逐日期成本、查询、时间与延迟</x:v>
      </x:c>
      <x:c r="D4534" s="19" t="str">
        <x:v>日期=2035-03-05_0；方法=FIXED_512</x:v>
      </x:c>
      <x:c r="E4534" s="19" t="str">
        <x:v>方法</x:v>
      </x:c>
      <x:c r="F4534" s="19" t="str">
        <x:v>FIXED_512</x:v>
      </x:c>
      <x:c r="G4534" s="19" t="str">
        <x:v>其他/配置</x:v>
      </x:c>
      <x:c r="H4534" s="19" t="str">
        <x:v>D:/Codex/GRL研究/outputs/grid88/GRID88_report.md</x:v>
      </x:c>
    </x:row>
    <x:row r="4535" ht="36" customHeight="1">
      <x:c r="A4535" s="19" t="str">
        <x:v>GRID88</x:v>
      </x:c>
      <x:c r="B4535" s="19" t="str">
        <x:v>GRID88_report.md</x:v>
      </x:c>
      <x:c r="C4535" s="19" t="str">
        <x:v>3. 逐日期成本、查询、时间与延迟</x:v>
      </x:c>
      <x:c r="D4535" s="19" t="str">
        <x:v>日期=2035-03-05_0；方法=FIXED_512</x:v>
      </x:c>
      <x:c r="E4535" s="19" t="str">
        <x:v>完成/步数</x:v>
      </x:c>
      <x:c r="F4535" s="19" t="str">
        <x:v>True/2017</x:v>
      </x:c>
      <x:c r="G4535" s="19" t="str">
        <x:v>质量/成本</x:v>
      </x:c>
      <x:c r="H4535" s="19" t="str">
        <x:v>D:/Codex/GRL研究/outputs/grid88/GRID88_report.md</x:v>
      </x:c>
    </x:row>
    <x:row r="4536" ht="36" customHeight="1">
      <x:c r="A4536" s="19" t="str">
        <x:v>GRID88</x:v>
      </x:c>
      <x:c r="B4536" s="19" t="str">
        <x:v>GRID88_report.md</x:v>
      </x:c>
      <x:c r="C4536" s="19" t="str">
        <x:v>3. 逐日期成本、查询、时间与延迟</x:v>
      </x:c>
      <x:c r="D4536" s="19" t="str">
        <x:v>日期=2035-03-05_0；方法=FIXED_512</x:v>
      </x:c>
      <x:c r="E4536" s="19" t="str">
        <x:v>完整周成本相对FULL</x:v>
      </x:c>
      <x:c r="F4536" s="19" t="str">
        <x:v>+0.4382%</x:v>
      </x:c>
      <x:c r="G4536" s="19" t="str">
        <x:v>质量/成本</x:v>
      </x:c>
      <x:c r="H4536" s="19" t="str">
        <x:v>D:/Codex/GRL研究/outputs/grid88/GRID88_report.md</x:v>
      </x:c>
    </x:row>
    <x:row r="4537" ht="36" customHeight="1">
      <x:c r="A4537" s="19" t="str">
        <x:v>GRID88</x:v>
      </x:c>
      <x:c r="B4537" s="19" t="str">
        <x:v>GRID88_report.md</x:v>
      </x:c>
      <x:c r="C4537" s="19" t="str">
        <x:v>3. 逐日期成本、查询、时间与延迟</x:v>
      </x:c>
      <x:c r="D4537" s="19" t="str">
        <x:v>日期=2035-03-05_0；方法=FIXED_512</x:v>
      </x:c>
      <x:c r="E4537" s="19" t="str">
        <x:v>质量通过</x:v>
      </x:c>
      <x:c r="F4537" s="19" t="str">
        <x:v>True</x:v>
      </x:c>
      <x:c r="G4537" s="19" t="str">
        <x:v>质量/成本</x:v>
      </x:c>
      <x:c r="H4537" s="19" t="str">
        <x:v>D:/Codex/GRL研究/outputs/grid88/GRID88_report.md</x:v>
      </x:c>
    </x:row>
    <x:row r="4538" ht="36" customHeight="1">
      <x:c r="A4538" s="19" t="str">
        <x:v>GRID88</x:v>
      </x:c>
      <x:c r="B4538" s="19" t="str">
        <x:v>GRID88_report.md</x:v>
      </x:c>
      <x:c r="C4538" s="19" t="str">
        <x:v>3. 逐日期成本、查询、时间与延迟</x:v>
      </x:c>
      <x:c r="D4538" s="19" t="str">
        <x:v>日期=2035-03-05_0；方法=FIXED_512</x:v>
      </x:c>
      <x:c r="E4538" s="19" t="str">
        <x:v>查询</x:v>
      </x:c>
      <x:c r="F4538" s="19" t="str">
        <x:v>5632</x:v>
      </x:c>
      <x:c r="G4538" s="19" t="str">
        <x:v>速度/计算</x:v>
      </x:c>
      <x:c r="H4538" s="19" t="str">
        <x:v>D:/Codex/GRL研究/outputs/grid88/GRID88_report.md</x:v>
      </x:c>
    </x:row>
    <x:row r="4539" ht="36" customHeight="1">
      <x:c r="A4539" s="19" t="str">
        <x:v>GRID88</x:v>
      </x:c>
      <x:c r="B4539" s="19" t="str">
        <x:v>GRID88_report.md</x:v>
      </x:c>
      <x:c r="C4539" s="19" t="str">
        <x:v>3. 逐日期成本、查询、时间与延迟</x:v>
      </x:c>
      <x:c r="D4539" s="19" t="str">
        <x:v>日期=2035-03-05_0；方法=FIXED_512</x:v>
      </x:c>
      <x:c r="E4539" s="19" t="str">
        <x:v>控制秒均值[最小,最大]</x:v>
      </x:c>
      <x:c r="F4539" s="19" t="str">
        <x:v>126.019[125.991,126.047]</x:v>
      </x:c>
      <x:c r="G4539" s="19" t="str">
        <x:v>速度/计算</x:v>
      </x:c>
      <x:c r="H4539" s="19" t="str">
        <x:v>D:/Codex/GRL研究/outputs/grid88/GRID88_report.md</x:v>
      </x:c>
    </x:row>
    <x:row r="4540" ht="36" customHeight="1">
      <x:c r="A4540" s="19" t="str">
        <x:v>GRID88</x:v>
      </x:c>
      <x:c r="B4540" s="19" t="str">
        <x:v>GRID88_report.md</x:v>
      </x:c>
      <x:c r="C4540" s="19" t="str">
        <x:v>3. 逐日期成本、查询、时间与延迟</x:v>
      </x:c>
      <x:c r="D4540" s="19" t="str">
        <x:v>日期=2035-03-05_0；方法=FIXED_512</x:v>
      </x:c>
      <x:c r="E4540" s="19" t="str">
        <x:v>P95秒</x:v>
      </x:c>
      <x:c r="F4540" s="19" t="str">
        <x:v>0.0395</x:v>
      </x:c>
      <x:c r="G4540" s="19" t="str">
        <x:v>速度/计算</x:v>
      </x:c>
      <x:c r="H4540" s="19" t="str">
        <x:v>D:/Codex/GRL研究/outputs/grid88/GRID88_report.md</x:v>
      </x:c>
    </x:row>
    <x:row r="4541" ht="36" customHeight="1">
      <x:c r="A4541" s="19" t="str">
        <x:v>GRID88</x:v>
      </x:c>
      <x:c r="B4541" s="19" t="str">
        <x:v>GRID88_report.md</x:v>
      </x:c>
      <x:c r="C4541" s="19" t="str">
        <x:v>3. 逐日期成本、查询、时间与延迟</x:v>
      </x:c>
      <x:c r="D4541" s="19" t="str">
        <x:v>日期=2035-06-25_8；方法=FRAME_GUARD</x:v>
      </x:c>
      <x:c r="E4541" s="19" t="str">
        <x:v>方法</x:v>
      </x:c>
      <x:c r="F4541" s="19" t="str">
        <x:v>FRAME_GUARD</x:v>
      </x:c>
      <x:c r="G4541" s="19" t="str">
        <x:v>其他/配置</x:v>
      </x:c>
      <x:c r="H4541" s="19" t="str">
        <x:v>D:/Codex/GRL研究/outputs/grid88/GRID88_report.md</x:v>
      </x:c>
    </x:row>
    <x:row r="4542" ht="36" customHeight="1">
      <x:c r="A4542" s="19" t="str">
        <x:v>GRID88</x:v>
      </x:c>
      <x:c r="B4542" s="19" t="str">
        <x:v>GRID88_report.md</x:v>
      </x:c>
      <x:c r="C4542" s="19" t="str">
        <x:v>3. 逐日期成本、查询、时间与延迟</x:v>
      </x:c>
      <x:c r="D4542" s="19" t="str">
        <x:v>日期=2035-06-25_8；方法=FRAME_GUARD</x:v>
      </x:c>
      <x:c r="E4542" s="19" t="str">
        <x:v>完成/步数</x:v>
      </x:c>
      <x:c r="F4542" s="19" t="str">
        <x:v>False/1901</x:v>
      </x:c>
      <x:c r="G4542" s="19" t="str">
        <x:v>质量/成本</x:v>
      </x:c>
      <x:c r="H4542" s="19" t="str">
        <x:v>D:/Codex/GRL研究/outputs/grid88/GRID88_report.md</x:v>
      </x:c>
    </x:row>
    <x:row r="4543" ht="36" customHeight="1">
      <x:c r="A4543" s="19" t="str">
        <x:v>GRID88</x:v>
      </x:c>
      <x:c r="B4543" s="19" t="str">
        <x:v>GRID88_report.md</x:v>
      </x:c>
      <x:c r="C4543" s="19" t="str">
        <x:v>3. 逐日期成本、查询、时间与延迟</x:v>
      </x:c>
      <x:c r="D4543" s="19" t="str">
        <x:v>日期=2035-06-25_8；方法=FRAME_GUARD</x:v>
      </x:c>
      <x:c r="E4543" s="19" t="str">
        <x:v>完整周成本相对FULL</x:v>
      </x:c>
      <x:c r="F4543" s="19" t="str">
        <x:v>未双方完成</x:v>
      </x:c>
      <x:c r="G4543" s="19" t="str">
        <x:v>质量/成本</x:v>
      </x:c>
      <x:c r="H4543" s="19" t="str">
        <x:v>D:/Codex/GRL研究/outputs/grid88/GRID88_report.md</x:v>
      </x:c>
    </x:row>
    <x:row r="4544" ht="36" customHeight="1">
      <x:c r="A4544" s="19" t="str">
        <x:v>GRID88</x:v>
      </x:c>
      <x:c r="B4544" s="19" t="str">
        <x:v>GRID88_report.md</x:v>
      </x:c>
      <x:c r="C4544" s="19" t="str">
        <x:v>3. 逐日期成本、查询、时间与延迟</x:v>
      </x:c>
      <x:c r="D4544" s="19" t="str">
        <x:v>日期=2035-06-25_8；方法=FRAME_GUARD</x:v>
      </x:c>
      <x:c r="E4544" s="19" t="str">
        <x:v>质量通过</x:v>
      </x:c>
      <x:c r="F4544" s="19" t="str">
        <x:v>True</x:v>
      </x:c>
      <x:c r="G4544" s="19" t="str">
        <x:v>质量/成本</x:v>
      </x:c>
      <x:c r="H4544" s="19" t="str">
        <x:v>D:/Codex/GRL研究/outputs/grid88/GRID88_report.md</x:v>
      </x:c>
    </x:row>
    <x:row r="4545" ht="36" customHeight="1">
      <x:c r="A4545" s="19" t="str">
        <x:v>GRID88</x:v>
      </x:c>
      <x:c r="B4545" s="19" t="str">
        <x:v>GRID88_report.md</x:v>
      </x:c>
      <x:c r="C4545" s="19" t="str">
        <x:v>3. 逐日期成本、查询、时间与延迟</x:v>
      </x:c>
      <x:c r="D4545" s="19" t="str">
        <x:v>日期=2035-06-25_8；方法=FRAME_GUARD</x:v>
      </x:c>
      <x:c r="E4545" s="19" t="str">
        <x:v>查询</x:v>
      </x:c>
      <x:c r="F4545" s="19" t="str">
        <x:v>1889</x:v>
      </x:c>
      <x:c r="G4545" s="19" t="str">
        <x:v>速度/计算</x:v>
      </x:c>
      <x:c r="H4545" s="19" t="str">
        <x:v>D:/Codex/GRL研究/outputs/grid88/GRID88_report.md</x:v>
      </x:c>
    </x:row>
    <x:row r="4546" ht="36" customHeight="1">
      <x:c r="A4546" s="19" t="str">
        <x:v>GRID88</x:v>
      </x:c>
      <x:c r="B4546" s="19" t="str">
        <x:v>GRID88_report.md</x:v>
      </x:c>
      <x:c r="C4546" s="19" t="str">
        <x:v>3. 逐日期成本、查询、时间与延迟</x:v>
      </x:c>
      <x:c r="D4546" s="19" t="str">
        <x:v>日期=2035-06-25_8；方法=FRAME_GUARD</x:v>
      </x:c>
      <x:c r="E4546" s="19" t="str">
        <x:v>控制秒均值[最小,最大]</x:v>
      </x:c>
      <x:c r="F4546" s="19" t="str">
        <x:v>52.488[52.273,52.703]</x:v>
      </x:c>
      <x:c r="G4546" s="19" t="str">
        <x:v>速度/计算</x:v>
      </x:c>
      <x:c r="H4546" s="19" t="str">
        <x:v>D:/Codex/GRL研究/outputs/grid88/GRID88_report.md</x:v>
      </x:c>
    </x:row>
    <x:row r="4547" ht="36" customHeight="1">
      <x:c r="A4547" s="19" t="str">
        <x:v>GRID88</x:v>
      </x:c>
      <x:c r="B4547" s="19" t="str">
        <x:v>GRID88_report.md</x:v>
      </x:c>
      <x:c r="C4547" s="19" t="str">
        <x:v>3. 逐日期成本、查询、时间与延迟</x:v>
      </x:c>
      <x:c r="D4547" s="19" t="str">
        <x:v>日期=2035-06-25_8；方法=FRAME_GUARD</x:v>
      </x:c>
      <x:c r="E4547" s="19" t="str">
        <x:v>P95秒</x:v>
      </x:c>
      <x:c r="F4547" s="19" t="str">
        <x:v>0.0331</x:v>
      </x:c>
      <x:c r="G4547" s="19" t="str">
        <x:v>速度/计算</x:v>
      </x:c>
      <x:c r="H4547" s="19" t="str">
        <x:v>D:/Codex/GRL研究/outputs/grid88/GRID88_report.md</x:v>
      </x:c>
    </x:row>
    <x:row r="4548" ht="36" customHeight="1">
      <x:c r="A4548" s="19" t="str">
        <x:v>GRID88</x:v>
      </x:c>
      <x:c r="B4548" s="19" t="str">
        <x:v>GRID88_report.md</x:v>
      </x:c>
      <x:c r="C4548" s="19" t="str">
        <x:v>3. 逐日期成本、查询、时间与延迟</x:v>
      </x:c>
      <x:c r="D4548" s="19" t="str">
        <x:v>日期=2035-06-25_8；方法=FIXED_512</x:v>
      </x:c>
      <x:c r="E4548" s="19" t="str">
        <x:v>方法</x:v>
      </x:c>
      <x:c r="F4548" s="19" t="str">
        <x:v>FIXED_512</x:v>
      </x:c>
      <x:c r="G4548" s="19" t="str">
        <x:v>其他/配置</x:v>
      </x:c>
      <x:c r="H4548" s="19" t="str">
        <x:v>D:/Codex/GRL研究/outputs/grid88/GRID88_report.md</x:v>
      </x:c>
    </x:row>
    <x:row r="4549" ht="36" customHeight="1">
      <x:c r="A4549" s="19" t="str">
        <x:v>GRID88</x:v>
      </x:c>
      <x:c r="B4549" s="19" t="str">
        <x:v>GRID88_report.md</x:v>
      </x:c>
      <x:c r="C4549" s="19" t="str">
        <x:v>3. 逐日期成本、查询、时间与延迟</x:v>
      </x:c>
      <x:c r="D4549" s="19" t="str">
        <x:v>日期=2035-06-25_8；方法=FIXED_512</x:v>
      </x:c>
      <x:c r="E4549" s="19" t="str">
        <x:v>完成/步数</x:v>
      </x:c>
      <x:c r="F4549" s="19" t="str">
        <x:v>False/1901</x:v>
      </x:c>
      <x:c r="G4549" s="19" t="str">
        <x:v>质量/成本</x:v>
      </x:c>
      <x:c r="H4549" s="19" t="str">
        <x:v>D:/Codex/GRL研究/outputs/grid88/GRID88_report.md</x:v>
      </x:c>
    </x:row>
    <x:row r="4550" ht="36" customHeight="1">
      <x:c r="A4550" s="19" t="str">
        <x:v>GRID88</x:v>
      </x:c>
      <x:c r="B4550" s="19" t="str">
        <x:v>GRID88_report.md</x:v>
      </x:c>
      <x:c r="C4550" s="19" t="str">
        <x:v>3. 逐日期成本、查询、时间与延迟</x:v>
      </x:c>
      <x:c r="D4550" s="19" t="str">
        <x:v>日期=2035-06-25_8；方法=FIXED_512</x:v>
      </x:c>
      <x:c r="E4550" s="19" t="str">
        <x:v>完整周成本相对FULL</x:v>
      </x:c>
      <x:c r="F4550" s="19" t="str">
        <x:v>未双方完成</x:v>
      </x:c>
      <x:c r="G4550" s="19" t="str">
        <x:v>质量/成本</x:v>
      </x:c>
      <x:c r="H4550" s="19" t="str">
        <x:v>D:/Codex/GRL研究/outputs/grid88/GRID88_report.md</x:v>
      </x:c>
    </x:row>
    <x:row r="4551" ht="36" customHeight="1">
      <x:c r="A4551" s="19" t="str">
        <x:v>GRID88</x:v>
      </x:c>
      <x:c r="B4551" s="19" t="str">
        <x:v>GRID88_report.md</x:v>
      </x:c>
      <x:c r="C4551" s="19" t="str">
        <x:v>3. 逐日期成本、查询、时间与延迟</x:v>
      </x:c>
      <x:c r="D4551" s="19" t="str">
        <x:v>日期=2035-06-25_8；方法=FIXED_512</x:v>
      </x:c>
      <x:c r="E4551" s="19" t="str">
        <x:v>质量通过</x:v>
      </x:c>
      <x:c r="F4551" s="19" t="str">
        <x:v>True</x:v>
      </x:c>
      <x:c r="G4551" s="19" t="str">
        <x:v>质量/成本</x:v>
      </x:c>
      <x:c r="H4551" s="19" t="str">
        <x:v>D:/Codex/GRL研究/outputs/grid88/GRID88_report.md</x:v>
      </x:c>
    </x:row>
    <x:row r="4552" ht="36" customHeight="1">
      <x:c r="A4552" s="19" t="str">
        <x:v>GRID88</x:v>
      </x:c>
      <x:c r="B4552" s="19" t="str">
        <x:v>GRID88_report.md</x:v>
      </x:c>
      <x:c r="C4552" s="19" t="str">
        <x:v>3. 逐日期成本、查询、时间与延迟</x:v>
      </x:c>
      <x:c r="D4552" s="19" t="str">
        <x:v>日期=2035-06-25_8；方法=FIXED_512</x:v>
      </x:c>
      <x:c r="E4552" s="19" t="str">
        <x:v>查询</x:v>
      </x:c>
      <x:c r="F4552" s="19" t="str">
        <x:v>2560</x:v>
      </x:c>
      <x:c r="G4552" s="19" t="str">
        <x:v>速度/计算</x:v>
      </x:c>
      <x:c r="H4552" s="19" t="str">
        <x:v>D:/Codex/GRL研究/outputs/grid88/GRID88_report.md</x:v>
      </x:c>
    </x:row>
    <x:row r="4553" ht="36" customHeight="1">
      <x:c r="A4553" s="19" t="str">
        <x:v>GRID88</x:v>
      </x:c>
      <x:c r="B4553" s="19" t="str">
        <x:v>GRID88_report.md</x:v>
      </x:c>
      <x:c r="C4553" s="19" t="str">
        <x:v>3. 逐日期成本、查询、时间与延迟</x:v>
      </x:c>
      <x:c r="D4553" s="19" t="str">
        <x:v>日期=2035-06-25_8；方法=FIXED_512</x:v>
      </x:c>
      <x:c r="E4553" s="19" t="str">
        <x:v>控制秒均值[最小,最大]</x:v>
      </x:c>
      <x:c r="F4553" s="19" t="str">
        <x:v>54.334[53.899,54.769]</x:v>
      </x:c>
      <x:c r="G4553" s="19" t="str">
        <x:v>速度/计算</x:v>
      </x:c>
      <x:c r="H4553" s="19" t="str">
        <x:v>D:/Codex/GRL研究/outputs/grid88/GRID88_report.md</x:v>
      </x:c>
    </x:row>
    <x:row r="4554" ht="36" customHeight="1">
      <x:c r="A4554" s="19" t="str">
        <x:v>GRID88</x:v>
      </x:c>
      <x:c r="B4554" s="19" t="str">
        <x:v>GRID88_report.md</x:v>
      </x:c>
      <x:c r="C4554" s="19" t="str">
        <x:v>3. 逐日期成本、查询、时间与延迟</x:v>
      </x:c>
      <x:c r="D4554" s="19" t="str">
        <x:v>日期=2035-06-25_8；方法=FIXED_512</x:v>
      </x:c>
      <x:c r="E4554" s="19" t="str">
        <x:v>P95秒</x:v>
      </x:c>
      <x:c r="F4554" s="19" t="str">
        <x:v>0.0328</x:v>
      </x:c>
      <x:c r="G4554" s="19" t="str">
        <x:v>速度/计算</x:v>
      </x:c>
      <x:c r="H4554" s="19" t="str">
        <x:v>D:/Codex/GRL研究/outputs/grid88/GRID88_report.md</x:v>
      </x:c>
    </x:row>
    <x:row r="4555" ht="36" customHeight="1">
      <x:c r="A4555" s="19" t="str">
        <x:v>GRID88</x:v>
      </x:c>
      <x:c r="B4555" s="19" t="str">
        <x:v>GRID88_report.md</x:v>
      </x:c>
      <x:c r="C4555" s="19" t="str">
        <x:v>3. 逐日期成本、查询、时间与延迟</x:v>
      </x:c>
      <x:c r="D4555" s="19" t="str">
        <x:v>日期=2035-09-03_4；方法=FRAME_GUARD</x:v>
      </x:c>
      <x:c r="E4555" s="19" t="str">
        <x:v>方法</x:v>
      </x:c>
      <x:c r="F4555" s="19" t="str">
        <x:v>FRAME_GUARD</x:v>
      </x:c>
      <x:c r="G4555" s="19" t="str">
        <x:v>其他/配置</x:v>
      </x:c>
      <x:c r="H4555" s="19" t="str">
        <x:v>D:/Codex/GRL研究/outputs/grid88/GRID88_report.md</x:v>
      </x:c>
    </x:row>
    <x:row r="4556" ht="36" customHeight="1">
      <x:c r="A4556" s="19" t="str">
        <x:v>GRID88</x:v>
      </x:c>
      <x:c r="B4556" s="19" t="str">
        <x:v>GRID88_report.md</x:v>
      </x:c>
      <x:c r="C4556" s="19" t="str">
        <x:v>3. 逐日期成本、查询、时间与延迟</x:v>
      </x:c>
      <x:c r="D4556" s="19" t="str">
        <x:v>日期=2035-09-03_4；方法=FRAME_GUARD</x:v>
      </x:c>
      <x:c r="E4556" s="19" t="str">
        <x:v>完成/步数</x:v>
      </x:c>
      <x:c r="F4556" s="19" t="str">
        <x:v>True/2017</x:v>
      </x:c>
      <x:c r="G4556" s="19" t="str">
        <x:v>质量/成本</x:v>
      </x:c>
      <x:c r="H4556" s="19" t="str">
        <x:v>D:/Codex/GRL研究/outputs/grid88/GRID88_report.md</x:v>
      </x:c>
    </x:row>
    <x:row r="4557" ht="36" customHeight="1">
      <x:c r="A4557" s="19" t="str">
        <x:v>GRID88</x:v>
      </x:c>
      <x:c r="B4557" s="19" t="str">
        <x:v>GRID88_report.md</x:v>
      </x:c>
      <x:c r="C4557" s="19" t="str">
        <x:v>3. 逐日期成本、查询、时间与延迟</x:v>
      </x:c>
      <x:c r="D4557" s="19" t="str">
        <x:v>日期=2035-09-03_4；方法=FRAME_GUARD</x:v>
      </x:c>
      <x:c r="E4557" s="19" t="str">
        <x:v>完整周成本相对FULL</x:v>
      </x:c>
      <x:c r="F4557" s="19" t="str">
        <x:v>-1.8666%</x:v>
      </x:c>
      <x:c r="G4557" s="19" t="str">
        <x:v>质量/成本</x:v>
      </x:c>
      <x:c r="H4557" s="19" t="str">
        <x:v>D:/Codex/GRL研究/outputs/grid88/GRID88_report.md</x:v>
      </x:c>
    </x:row>
    <x:row r="4558" ht="36" customHeight="1">
      <x:c r="A4558" s="19" t="str">
        <x:v>GRID88</x:v>
      </x:c>
      <x:c r="B4558" s="19" t="str">
        <x:v>GRID88_report.md</x:v>
      </x:c>
      <x:c r="C4558" s="19" t="str">
        <x:v>3. 逐日期成本、查询、时间与延迟</x:v>
      </x:c>
      <x:c r="D4558" s="19" t="str">
        <x:v>日期=2035-09-03_4；方法=FRAME_GUARD</x:v>
      </x:c>
      <x:c r="E4558" s="19" t="str">
        <x:v>质量通过</x:v>
      </x:c>
      <x:c r="F4558" s="19" t="str">
        <x:v>True</x:v>
      </x:c>
      <x:c r="G4558" s="19" t="str">
        <x:v>质量/成本</x:v>
      </x:c>
      <x:c r="H4558" s="19" t="str">
        <x:v>D:/Codex/GRL研究/outputs/grid88/GRID88_report.md</x:v>
      </x:c>
    </x:row>
    <x:row r="4559" ht="36" customHeight="1">
      <x:c r="A4559" s="19" t="str">
        <x:v>GRID88</x:v>
      </x:c>
      <x:c r="B4559" s="19" t="str">
        <x:v>GRID88_report.md</x:v>
      </x:c>
      <x:c r="C4559" s="19" t="str">
        <x:v>3. 逐日期成本、查询、时间与延迟</x:v>
      </x:c>
      <x:c r="D4559" s="19" t="str">
        <x:v>日期=2035-09-03_4；方法=FRAME_GUARD</x:v>
      </x:c>
      <x:c r="E4559" s="19" t="str">
        <x:v>查询</x:v>
      </x:c>
      <x:c r="F4559" s="19" t="str">
        <x:v>2987</x:v>
      </x:c>
      <x:c r="G4559" s="19" t="str">
        <x:v>速度/计算</x:v>
      </x:c>
      <x:c r="H4559" s="19" t="str">
        <x:v>D:/Codex/GRL研究/outputs/grid88/GRID88_report.md</x:v>
      </x:c>
    </x:row>
    <x:row r="4560" ht="36" customHeight="1">
      <x:c r="A4560" s="19" t="str">
        <x:v>GRID88</x:v>
      </x:c>
      <x:c r="B4560" s="19" t="str">
        <x:v>GRID88_report.md</x:v>
      </x:c>
      <x:c r="C4560" s="19" t="str">
        <x:v>3. 逐日期成本、查询、时间与延迟</x:v>
      </x:c>
      <x:c r="D4560" s="19" t="str">
        <x:v>日期=2035-09-03_4；方法=FRAME_GUARD</x:v>
      </x:c>
      <x:c r="E4560" s="19" t="str">
        <x:v>控制秒均值[最小,最大]</x:v>
      </x:c>
      <x:c r="F4560" s="19" t="str">
        <x:v>50.536[50.084,50.988]</x:v>
      </x:c>
      <x:c r="G4560" s="19" t="str">
        <x:v>速度/计算</x:v>
      </x:c>
      <x:c r="H4560" s="19" t="str">
        <x:v>D:/Codex/GRL研究/outputs/grid88/GRID88_report.md</x:v>
      </x:c>
    </x:row>
    <x:row r="4561" ht="36" customHeight="1">
      <x:c r="A4561" s="19" t="str">
        <x:v>GRID88</x:v>
      </x:c>
      <x:c r="B4561" s="19" t="str">
        <x:v>GRID88_report.md</x:v>
      </x:c>
      <x:c r="C4561" s="19" t="str">
        <x:v>3. 逐日期成本、查询、时间与延迟</x:v>
      </x:c>
      <x:c r="D4561" s="19" t="str">
        <x:v>日期=2035-09-03_4；方法=FRAME_GUARD</x:v>
      </x:c>
      <x:c r="E4561" s="19" t="str">
        <x:v>P95秒</x:v>
      </x:c>
      <x:c r="F4561" s="19" t="str">
        <x:v>0.0316</x:v>
      </x:c>
      <x:c r="G4561" s="19" t="str">
        <x:v>速度/计算</x:v>
      </x:c>
      <x:c r="H4561" s="19" t="str">
        <x:v>D:/Codex/GRL研究/outputs/grid88/GRID88_report.md</x:v>
      </x:c>
    </x:row>
    <x:row r="4562" ht="36" customHeight="1">
      <x:c r="A4562" s="19" t="str">
        <x:v>GRID88</x:v>
      </x:c>
      <x:c r="B4562" s="19" t="str">
        <x:v>GRID88_report.md</x:v>
      </x:c>
      <x:c r="C4562" s="19" t="str">
        <x:v>3. 逐日期成本、查询、时间与延迟</x:v>
      </x:c>
      <x:c r="D4562" s="19" t="str">
        <x:v>日期=2035-09-03_4；方法=FIXED_512</x:v>
      </x:c>
      <x:c r="E4562" s="19" t="str">
        <x:v>方法</x:v>
      </x:c>
      <x:c r="F4562" s="19" t="str">
        <x:v>FIXED_512</x:v>
      </x:c>
      <x:c r="G4562" s="19" t="str">
        <x:v>其他/配置</x:v>
      </x:c>
      <x:c r="H4562" s="19" t="str">
        <x:v>D:/Codex/GRL研究/outputs/grid88/GRID88_report.md</x:v>
      </x:c>
    </x:row>
    <x:row r="4563" ht="36" customHeight="1">
      <x:c r="A4563" s="19" t="str">
        <x:v>GRID88</x:v>
      </x:c>
      <x:c r="B4563" s="19" t="str">
        <x:v>GRID88_report.md</x:v>
      </x:c>
      <x:c r="C4563" s="19" t="str">
        <x:v>3. 逐日期成本、查询、时间与延迟</x:v>
      </x:c>
      <x:c r="D4563" s="19" t="str">
        <x:v>日期=2035-09-03_4；方法=FIXED_512</x:v>
      </x:c>
      <x:c r="E4563" s="19" t="str">
        <x:v>完成/步数</x:v>
      </x:c>
      <x:c r="F4563" s="19" t="str">
        <x:v>True/2017</x:v>
      </x:c>
      <x:c r="G4563" s="19" t="str">
        <x:v>质量/成本</x:v>
      </x:c>
      <x:c r="H4563" s="19" t="str">
        <x:v>D:/Codex/GRL研究/outputs/grid88/GRID88_report.md</x:v>
      </x:c>
    </x:row>
    <x:row r="4564" ht="36" customHeight="1">
      <x:c r="A4564" s="19" t="str">
        <x:v>GRID88</x:v>
      </x:c>
      <x:c r="B4564" s="19" t="str">
        <x:v>GRID88_report.md</x:v>
      </x:c>
      <x:c r="C4564" s="19" t="str">
        <x:v>3. 逐日期成本、查询、时间与延迟</x:v>
      </x:c>
      <x:c r="D4564" s="19" t="str">
        <x:v>日期=2035-09-03_4；方法=FIXED_512</x:v>
      </x:c>
      <x:c r="E4564" s="19" t="str">
        <x:v>完整周成本相对FULL</x:v>
      </x:c>
      <x:c r="F4564" s="19" t="str">
        <x:v>+0.0000%</x:v>
      </x:c>
      <x:c r="G4564" s="19" t="str">
        <x:v>质量/成本</x:v>
      </x:c>
      <x:c r="H4564" s="19" t="str">
        <x:v>D:/Codex/GRL研究/outputs/grid88/GRID88_report.md</x:v>
      </x:c>
    </x:row>
    <x:row r="4565" ht="36" customHeight="1">
      <x:c r="A4565" s="19" t="str">
        <x:v>GRID88</x:v>
      </x:c>
      <x:c r="B4565" s="19" t="str">
        <x:v>GRID88_report.md</x:v>
      </x:c>
      <x:c r="C4565" s="19" t="str">
        <x:v>3. 逐日期成本、查询、时间与延迟</x:v>
      </x:c>
      <x:c r="D4565" s="19" t="str">
        <x:v>日期=2035-09-03_4；方法=FIXED_512</x:v>
      </x:c>
      <x:c r="E4565" s="19" t="str">
        <x:v>质量通过</x:v>
      </x:c>
      <x:c r="F4565" s="19" t="str">
        <x:v>True</x:v>
      </x:c>
      <x:c r="G4565" s="19" t="str">
        <x:v>质量/成本</x:v>
      </x:c>
      <x:c r="H4565" s="19" t="str">
        <x:v>D:/Codex/GRL研究/outputs/grid88/GRID88_report.md</x:v>
      </x:c>
    </x:row>
    <x:row r="4566" ht="36" customHeight="1">
      <x:c r="A4566" s="19" t="str">
        <x:v>GRID88</x:v>
      </x:c>
      <x:c r="B4566" s="19" t="str">
        <x:v>GRID88_report.md</x:v>
      </x:c>
      <x:c r="C4566" s="19" t="str">
        <x:v>3. 逐日期成本、查询、时间与延迟</x:v>
      </x:c>
      <x:c r="D4566" s="19" t="str">
        <x:v>日期=2035-09-03_4；方法=FIXED_512</x:v>
      </x:c>
      <x:c r="E4566" s="19" t="str">
        <x:v>查询</x:v>
      </x:c>
      <x:c r="F4566" s="19" t="str">
        <x:v>4096</x:v>
      </x:c>
      <x:c r="G4566" s="19" t="str">
        <x:v>速度/计算</x:v>
      </x:c>
      <x:c r="H4566" s="19" t="str">
        <x:v>D:/Codex/GRL研究/outputs/grid88/GRID88_report.md</x:v>
      </x:c>
    </x:row>
    <x:row r="4567" ht="36" customHeight="1">
      <x:c r="A4567" s="19" t="str">
        <x:v>GRID88</x:v>
      </x:c>
      <x:c r="B4567" s="19" t="str">
        <x:v>GRID88_report.md</x:v>
      </x:c>
      <x:c r="C4567" s="19" t="str">
        <x:v>3. 逐日期成本、查询、时间与延迟</x:v>
      </x:c>
      <x:c r="D4567" s="19" t="str">
        <x:v>日期=2035-09-03_4；方法=FIXED_512</x:v>
      </x:c>
      <x:c r="E4567" s="19" t="str">
        <x:v>控制秒均值[最小,最大]</x:v>
      </x:c>
      <x:c r="F4567" s="19" t="str">
        <x:v>55.700[55.469,55.931]</x:v>
      </x:c>
      <x:c r="G4567" s="19" t="str">
        <x:v>速度/计算</x:v>
      </x:c>
      <x:c r="H4567" s="19" t="str">
        <x:v>D:/Codex/GRL研究/outputs/grid88/GRID88_report.md</x:v>
      </x:c>
    </x:row>
    <x:row r="4568" ht="36" customHeight="1">
      <x:c r="A4568" s="19" t="str">
        <x:v>GRID88</x:v>
      </x:c>
      <x:c r="B4568" s="19" t="str">
        <x:v>GRID88_report.md</x:v>
      </x:c>
      <x:c r="C4568" s="19" t="str">
        <x:v>3. 逐日期成本、查询、时间与延迟</x:v>
      </x:c>
      <x:c r="D4568" s="19" t="str">
        <x:v>日期=2035-09-03_4；方法=FIXED_512</x:v>
      </x:c>
      <x:c r="E4568" s="19" t="str">
        <x:v>P95秒</x:v>
      </x:c>
      <x:c r="F4568" s="19" t="str">
        <x:v>0.0316</x:v>
      </x:c>
      <x:c r="G4568" s="19" t="str">
        <x:v>速度/计算</x:v>
      </x:c>
      <x:c r="H4568" s="19" t="str">
        <x:v>D:/Codex/GRL研究/outputs/grid88/GRID88_report.md</x:v>
      </x:c>
    </x:row>
    <x:row r="4569" ht="36" customHeight="1">
      <x:c r="A4569" s="19" t="str">
        <x:v>GRID88</x:v>
      </x:c>
      <x:c r="B4569" s="19" t="str">
        <x:v>GRID88_report.md</x:v>
      </x:c>
      <x:c r="C4569" s="19" t="str">
        <x:v>3. 逐日期成本、查询、时间与延迟</x:v>
      </x:c>
      <x:c r="D4569" s="19" t="str">
        <x:v>日期=2035-10-01_5；方法=FRAME_GUARD</x:v>
      </x:c>
      <x:c r="E4569" s="19" t="str">
        <x:v>方法</x:v>
      </x:c>
      <x:c r="F4569" s="19" t="str">
        <x:v>FRAME_GUARD</x:v>
      </x:c>
      <x:c r="G4569" s="19" t="str">
        <x:v>其他/配置</x:v>
      </x:c>
      <x:c r="H4569" s="19" t="str">
        <x:v>D:/Codex/GRL研究/outputs/grid88/GRID88_report.md</x:v>
      </x:c>
    </x:row>
    <x:row r="4570" ht="36" customHeight="1">
      <x:c r="A4570" s="19" t="str">
        <x:v>GRID88</x:v>
      </x:c>
      <x:c r="B4570" s="19" t="str">
        <x:v>GRID88_report.md</x:v>
      </x:c>
      <x:c r="C4570" s="19" t="str">
        <x:v>3. 逐日期成本、查询、时间与延迟</x:v>
      </x:c>
      <x:c r="D4570" s="19" t="str">
        <x:v>日期=2035-10-01_5；方法=FRAME_GUARD</x:v>
      </x:c>
      <x:c r="E4570" s="19" t="str">
        <x:v>完成/步数</x:v>
      </x:c>
      <x:c r="F4570" s="19" t="str">
        <x:v>True/2017</x:v>
      </x:c>
      <x:c r="G4570" s="19" t="str">
        <x:v>质量/成本</x:v>
      </x:c>
      <x:c r="H4570" s="19" t="str">
        <x:v>D:/Codex/GRL研究/outputs/grid88/GRID88_report.md</x:v>
      </x:c>
    </x:row>
    <x:row r="4571" ht="36" customHeight="1">
      <x:c r="A4571" s="19" t="str">
        <x:v>GRID88</x:v>
      </x:c>
      <x:c r="B4571" s="19" t="str">
        <x:v>GRID88_report.md</x:v>
      </x:c>
      <x:c r="C4571" s="19" t="str">
        <x:v>3. 逐日期成本、查询、时间与延迟</x:v>
      </x:c>
      <x:c r="D4571" s="19" t="str">
        <x:v>日期=2035-10-01_5；方法=FRAME_GUARD</x:v>
      </x:c>
      <x:c r="E4571" s="19" t="str">
        <x:v>完整周成本相对FULL</x:v>
      </x:c>
      <x:c r="F4571" s="19" t="str">
        <x:v>+0.0000%</x:v>
      </x:c>
      <x:c r="G4571" s="19" t="str">
        <x:v>质量/成本</x:v>
      </x:c>
      <x:c r="H4571" s="19" t="str">
        <x:v>D:/Codex/GRL研究/outputs/grid88/GRID88_report.md</x:v>
      </x:c>
    </x:row>
    <x:row r="4572" ht="36" customHeight="1">
      <x:c r="A4572" s="19" t="str">
        <x:v>GRID88</x:v>
      </x:c>
      <x:c r="B4572" s="19" t="str">
        <x:v>GRID88_report.md</x:v>
      </x:c>
      <x:c r="C4572" s="19" t="str">
        <x:v>3. 逐日期成本、查询、时间与延迟</x:v>
      </x:c>
      <x:c r="D4572" s="19" t="str">
        <x:v>日期=2035-10-01_5；方法=FRAME_GUARD</x:v>
      </x:c>
      <x:c r="E4572" s="19" t="str">
        <x:v>质量通过</x:v>
      </x:c>
      <x:c r="F4572" s="19" t="str">
        <x:v>True</x:v>
      </x:c>
      <x:c r="G4572" s="19" t="str">
        <x:v>质量/成本</x:v>
      </x:c>
      <x:c r="H4572" s="19" t="str">
        <x:v>D:/Codex/GRL研究/outputs/grid88/GRID88_report.md</x:v>
      </x:c>
    </x:row>
    <x:row r="4573" ht="36" customHeight="1">
      <x:c r="A4573" s="19" t="str">
        <x:v>GRID88</x:v>
      </x:c>
      <x:c r="B4573" s="19" t="str">
        <x:v>GRID88_report.md</x:v>
      </x:c>
      <x:c r="C4573" s="19" t="str">
        <x:v>3. 逐日期成本、查询、时间与延迟</x:v>
      </x:c>
      <x:c r="D4573" s="19" t="str">
        <x:v>日期=2035-10-01_5；方法=FRAME_GUARD</x:v>
      </x:c>
      <x:c r="E4573" s="19" t="str">
        <x:v>查询</x:v>
      </x:c>
      <x:c r="F4573" s="19" t="str">
        <x:v>512</x:v>
      </x:c>
      <x:c r="G4573" s="19" t="str">
        <x:v>速度/计算</x:v>
      </x:c>
      <x:c r="H4573" s="19" t="str">
        <x:v>D:/Codex/GRL研究/outputs/grid88/GRID88_report.md</x:v>
      </x:c>
    </x:row>
    <x:row r="4574" ht="36" customHeight="1">
      <x:c r="A4574" s="19" t="str">
        <x:v>GRID88</x:v>
      </x:c>
      <x:c r="B4574" s="19" t="str">
        <x:v>GRID88_report.md</x:v>
      </x:c>
      <x:c r="C4574" s="19" t="str">
        <x:v>3. 逐日期成本、查询、时间与延迟</x:v>
      </x:c>
      <x:c r="D4574" s="19" t="str">
        <x:v>日期=2035-10-01_5；方法=FRAME_GUARD</x:v>
      </x:c>
      <x:c r="E4574" s="19" t="str">
        <x:v>控制秒均值[最小,最大]</x:v>
      </x:c>
      <x:c r="F4574" s="19" t="str">
        <x:v>43.438[43.225,43.652]</x:v>
      </x:c>
      <x:c r="G4574" s="19" t="str">
        <x:v>速度/计算</x:v>
      </x:c>
      <x:c r="H4574" s="19" t="str">
        <x:v>D:/Codex/GRL研究/outputs/grid88/GRID88_report.md</x:v>
      </x:c>
    </x:row>
    <x:row r="4575" ht="36" customHeight="1">
      <x:c r="A4575" s="19" t="str">
        <x:v>GRID88</x:v>
      </x:c>
      <x:c r="B4575" s="19" t="str">
        <x:v>GRID88_report.md</x:v>
      </x:c>
      <x:c r="C4575" s="19" t="str">
        <x:v>3. 逐日期成本、查询、时间与延迟</x:v>
      </x:c>
      <x:c r="D4575" s="19" t="str">
        <x:v>日期=2035-10-01_5；方法=FRAME_GUARD</x:v>
      </x:c>
      <x:c r="E4575" s="19" t="str">
        <x:v>P95秒</x:v>
      </x:c>
      <x:c r="F4575" s="19" t="str">
        <x:v>0.0289</x:v>
      </x:c>
      <x:c r="G4575" s="19" t="str">
        <x:v>速度/计算</x:v>
      </x:c>
      <x:c r="H4575" s="19" t="str">
        <x:v>D:/Codex/GRL研究/outputs/grid88/GRID88_report.md</x:v>
      </x:c>
    </x:row>
    <x:row r="4576" ht="36" customHeight="1">
      <x:c r="A4576" s="19" t="str">
        <x:v>GRID88</x:v>
      </x:c>
      <x:c r="B4576" s="19" t="str">
        <x:v>GRID88_report.md</x:v>
      </x:c>
      <x:c r="C4576" s="19" t="str">
        <x:v>3. 逐日期成本、查询、时间与延迟</x:v>
      </x:c>
      <x:c r="D4576" s="19" t="str">
        <x:v>日期=2035-10-01_5；方法=FIXED_512</x:v>
      </x:c>
      <x:c r="E4576" s="19" t="str">
        <x:v>方法</x:v>
      </x:c>
      <x:c r="F4576" s="19" t="str">
        <x:v>FIXED_512</x:v>
      </x:c>
      <x:c r="G4576" s="19" t="str">
        <x:v>其他/配置</x:v>
      </x:c>
      <x:c r="H4576" s="19" t="str">
        <x:v>D:/Codex/GRL研究/outputs/grid88/GRID88_report.md</x:v>
      </x:c>
    </x:row>
    <x:row r="4577" ht="36" customHeight="1">
      <x:c r="A4577" s="19" t="str">
        <x:v>GRID88</x:v>
      </x:c>
      <x:c r="B4577" s="19" t="str">
        <x:v>GRID88_report.md</x:v>
      </x:c>
      <x:c r="C4577" s="19" t="str">
        <x:v>3. 逐日期成本、查询、时间与延迟</x:v>
      </x:c>
      <x:c r="D4577" s="19" t="str">
        <x:v>日期=2035-10-01_5；方法=FIXED_512</x:v>
      </x:c>
      <x:c r="E4577" s="19" t="str">
        <x:v>完成/步数</x:v>
      </x:c>
      <x:c r="F4577" s="19" t="str">
        <x:v>True/2017</x:v>
      </x:c>
      <x:c r="G4577" s="19" t="str">
        <x:v>质量/成本</x:v>
      </x:c>
      <x:c r="H4577" s="19" t="str">
        <x:v>D:/Codex/GRL研究/outputs/grid88/GRID88_report.md</x:v>
      </x:c>
    </x:row>
    <x:row r="4578" ht="36" customHeight="1">
      <x:c r="A4578" s="19" t="str">
        <x:v>GRID88</x:v>
      </x:c>
      <x:c r="B4578" s="19" t="str">
        <x:v>GRID88_report.md</x:v>
      </x:c>
      <x:c r="C4578" s="19" t="str">
        <x:v>3. 逐日期成本、查询、时间与延迟</x:v>
      </x:c>
      <x:c r="D4578" s="19" t="str">
        <x:v>日期=2035-10-01_5；方法=FIXED_512</x:v>
      </x:c>
      <x:c r="E4578" s="19" t="str">
        <x:v>完整周成本相对FULL</x:v>
      </x:c>
      <x:c r="F4578" s="19" t="str">
        <x:v>+0.0000%</x:v>
      </x:c>
      <x:c r="G4578" s="19" t="str">
        <x:v>质量/成本</x:v>
      </x:c>
      <x:c r="H4578" s="19" t="str">
        <x:v>D:/Codex/GRL研究/outputs/grid88/GRID88_report.md</x:v>
      </x:c>
    </x:row>
    <x:row r="4579" ht="36" customHeight="1">
      <x:c r="A4579" s="19" t="str">
        <x:v>GRID88</x:v>
      </x:c>
      <x:c r="B4579" s="19" t="str">
        <x:v>GRID88_report.md</x:v>
      </x:c>
      <x:c r="C4579" s="19" t="str">
        <x:v>3. 逐日期成本、查询、时间与延迟</x:v>
      </x:c>
      <x:c r="D4579" s="19" t="str">
        <x:v>日期=2035-10-01_5；方法=FIXED_512</x:v>
      </x:c>
      <x:c r="E4579" s="19" t="str">
        <x:v>质量通过</x:v>
      </x:c>
      <x:c r="F4579" s="19" t="str">
        <x:v>True</x:v>
      </x:c>
      <x:c r="G4579" s="19" t="str">
        <x:v>质量/成本</x:v>
      </x:c>
      <x:c r="H4579" s="19" t="str">
        <x:v>D:/Codex/GRL研究/outputs/grid88/GRID88_report.md</x:v>
      </x:c>
    </x:row>
    <x:row r="4580" ht="36" customHeight="1">
      <x:c r="A4580" s="19" t="str">
        <x:v>GRID88</x:v>
      </x:c>
      <x:c r="B4580" s="19" t="str">
        <x:v>GRID88_report.md</x:v>
      </x:c>
      <x:c r="C4580" s="19" t="str">
        <x:v>3. 逐日期成本、查询、时间与延迟</x:v>
      </x:c>
      <x:c r="D4580" s="19" t="str">
        <x:v>日期=2035-10-01_5；方法=FIXED_512</x:v>
      </x:c>
      <x:c r="E4580" s="19" t="str">
        <x:v>查询</x:v>
      </x:c>
      <x:c r="F4580" s="19" t="str">
        <x:v>1024</x:v>
      </x:c>
      <x:c r="G4580" s="19" t="str">
        <x:v>速度/计算</x:v>
      </x:c>
      <x:c r="H4580" s="19" t="str">
        <x:v>D:/Codex/GRL研究/outputs/grid88/GRID88_report.md</x:v>
      </x:c>
    </x:row>
    <x:row r="4581" ht="36" customHeight="1">
      <x:c r="A4581" s="19" t="str">
        <x:v>GRID88</x:v>
      </x:c>
      <x:c r="B4581" s="19" t="str">
        <x:v>GRID88_report.md</x:v>
      </x:c>
      <x:c r="C4581" s="19" t="str">
        <x:v>3. 逐日期成本、查询、时间与延迟</x:v>
      </x:c>
      <x:c r="D4581" s="19" t="str">
        <x:v>日期=2035-10-01_5；方法=FIXED_512</x:v>
      </x:c>
      <x:c r="E4581" s="19" t="str">
        <x:v>控制秒均值[最小,最大]</x:v>
      </x:c>
      <x:c r="F4581" s="19" t="str">
        <x:v>44.974[44.962,44.985]</x:v>
      </x:c>
      <x:c r="G4581" s="19" t="str">
        <x:v>速度/计算</x:v>
      </x:c>
      <x:c r="H4581" s="19" t="str">
        <x:v>D:/Codex/GRL研究/outputs/grid88/GRID88_report.md</x:v>
      </x:c>
    </x:row>
    <x:row r="4582" ht="36" customHeight="1">
      <x:c r="A4582" s="19" t="str">
        <x:v>GRID88</x:v>
      </x:c>
      <x:c r="B4582" s="19" t="str">
        <x:v>GRID88_report.md</x:v>
      </x:c>
      <x:c r="C4582" s="19" t="str">
        <x:v>3. 逐日期成本、查询、时间与延迟</x:v>
      </x:c>
      <x:c r="D4582" s="19" t="str">
        <x:v>日期=2035-10-01_5；方法=FIXED_512</x:v>
      </x:c>
      <x:c r="E4582" s="19" t="str">
        <x:v>P95秒</x:v>
      </x:c>
      <x:c r="F4582" s="19" t="str">
        <x:v>0.0291</x:v>
      </x:c>
      <x:c r="G4582" s="19" t="str">
        <x:v>速度/计算</x:v>
      </x:c>
      <x:c r="H4582" s="19" t="str">
        <x:v>D:/Codex/GRL研究/outputs/grid88/GRID88_report.md</x:v>
      </x:c>
    </x:row>
    <x:row r="4583" ht="36" customHeight="1">
      <x:c r="A4583" s="19" t="str">
        <x:v>GRID88</x:v>
      </x:c>
      <x:c r="B4583" s="19" t="str">
        <x:v>GRID88_report.md</x:v>
      </x:c>
      <x:c r="C4583" s="19" t="str">
        <x:v>3. 逐日期成本、查询、时间与延迟</x:v>
      </x:c>
      <x:c r="D4583" s="19" t="str">
        <x:v>日期=2035-04-09_3；方法=FRAME_GUARD</x:v>
      </x:c>
      <x:c r="E4583" s="19" t="str">
        <x:v>方法</x:v>
      </x:c>
      <x:c r="F4583" s="19" t="str">
        <x:v>FRAME_GUARD</x:v>
      </x:c>
      <x:c r="G4583" s="19" t="str">
        <x:v>其他/配置</x:v>
      </x:c>
      <x:c r="H4583" s="19" t="str">
        <x:v>D:/Codex/GRL研究/outputs/grid88/GRID88_report.md</x:v>
      </x:c>
    </x:row>
    <x:row r="4584" ht="36" customHeight="1">
      <x:c r="A4584" s="19" t="str">
        <x:v>GRID88</x:v>
      </x:c>
      <x:c r="B4584" s="19" t="str">
        <x:v>GRID88_report.md</x:v>
      </x:c>
      <x:c r="C4584" s="19" t="str">
        <x:v>3. 逐日期成本、查询、时间与延迟</x:v>
      </x:c>
      <x:c r="D4584" s="19" t="str">
        <x:v>日期=2035-04-09_3；方法=FRAME_GUARD</x:v>
      </x:c>
      <x:c r="E4584" s="19" t="str">
        <x:v>完成/步数</x:v>
      </x:c>
      <x:c r="F4584" s="19" t="str">
        <x:v>True/2017</x:v>
      </x:c>
      <x:c r="G4584" s="19" t="str">
        <x:v>质量/成本</x:v>
      </x:c>
      <x:c r="H4584" s="19" t="str">
        <x:v>D:/Codex/GRL研究/outputs/grid88/GRID88_report.md</x:v>
      </x:c>
    </x:row>
    <x:row r="4585" ht="36" customHeight="1">
      <x:c r="A4585" s="19" t="str">
        <x:v>GRID88</x:v>
      </x:c>
      <x:c r="B4585" s="19" t="str">
        <x:v>GRID88_report.md</x:v>
      </x:c>
      <x:c r="C4585" s="19" t="str">
        <x:v>3. 逐日期成本、查询、时间与延迟</x:v>
      </x:c>
      <x:c r="D4585" s="19" t="str">
        <x:v>日期=2035-04-09_3；方法=FRAME_GUARD</x:v>
      </x:c>
      <x:c r="E4585" s="19" t="str">
        <x:v>完整周成本相对FULL</x:v>
      </x:c>
      <x:c r="F4585" s="19" t="str">
        <x:v>-1.3891%</x:v>
      </x:c>
      <x:c r="G4585" s="19" t="str">
        <x:v>质量/成本</x:v>
      </x:c>
      <x:c r="H4585" s="19" t="str">
        <x:v>D:/Codex/GRL研究/outputs/grid88/GRID88_report.md</x:v>
      </x:c>
    </x:row>
    <x:row r="4586" ht="36" customHeight="1">
      <x:c r="A4586" s="19" t="str">
        <x:v>GRID88</x:v>
      </x:c>
      <x:c r="B4586" s="19" t="str">
        <x:v>GRID88_report.md</x:v>
      </x:c>
      <x:c r="C4586" s="19" t="str">
        <x:v>3. 逐日期成本、查询、时间与延迟</x:v>
      </x:c>
      <x:c r="D4586" s="19" t="str">
        <x:v>日期=2035-04-09_3；方法=FRAME_GUARD</x:v>
      </x:c>
      <x:c r="E4586" s="19" t="str">
        <x:v>质量通过</x:v>
      </x:c>
      <x:c r="F4586" s="19" t="str">
        <x:v>True</x:v>
      </x:c>
      <x:c r="G4586" s="19" t="str">
        <x:v>质量/成本</x:v>
      </x:c>
      <x:c r="H4586" s="19" t="str">
        <x:v>D:/Codex/GRL研究/outputs/grid88/GRID88_report.md</x:v>
      </x:c>
    </x:row>
    <x:row r="4587" ht="36" customHeight="1">
      <x:c r="A4587" s="19" t="str">
        <x:v>GRID88</x:v>
      </x:c>
      <x:c r="B4587" s="19" t="str">
        <x:v>GRID88_report.md</x:v>
      </x:c>
      <x:c r="C4587" s="19" t="str">
        <x:v>3. 逐日期成本、查询、时间与延迟</x:v>
      </x:c>
      <x:c r="D4587" s="19" t="str">
        <x:v>日期=2035-04-09_3；方法=FRAME_GUARD</x:v>
      </x:c>
      <x:c r="E4587" s="19" t="str">
        <x:v>查询</x:v>
      </x:c>
      <x:c r="F4587" s="19" t="str">
        <x:v>1589</x:v>
      </x:c>
      <x:c r="G4587" s="19" t="str">
        <x:v>速度/计算</x:v>
      </x:c>
      <x:c r="H4587" s="19" t="str">
        <x:v>D:/Codex/GRL研究/outputs/grid88/GRID88_report.md</x:v>
      </x:c>
    </x:row>
    <x:row r="4588" ht="36" customHeight="1">
      <x:c r="A4588" s="19" t="str">
        <x:v>GRID88</x:v>
      </x:c>
      <x:c r="B4588" s="19" t="str">
        <x:v>GRID88_report.md</x:v>
      </x:c>
      <x:c r="C4588" s="19" t="str">
        <x:v>3. 逐日期成本、查询、时间与延迟</x:v>
      </x:c>
      <x:c r="D4588" s="19" t="str">
        <x:v>日期=2035-04-09_3；方法=FRAME_GUARD</x:v>
      </x:c>
      <x:c r="E4588" s="19" t="str">
        <x:v>控制秒均值[最小,最大]</x:v>
      </x:c>
      <x:c r="F4588" s="19" t="str">
        <x:v>44.678[44.416,44.941]</x:v>
      </x:c>
      <x:c r="G4588" s="19" t="str">
        <x:v>速度/计算</x:v>
      </x:c>
      <x:c r="H4588" s="19" t="str">
        <x:v>D:/Codex/GRL研究/outputs/grid88/GRID88_report.md</x:v>
      </x:c>
    </x:row>
    <x:row r="4589" ht="36" customHeight="1">
      <x:c r="A4589" s="19" t="str">
        <x:v>GRID88</x:v>
      </x:c>
      <x:c r="B4589" s="19" t="str">
        <x:v>GRID88_report.md</x:v>
      </x:c>
      <x:c r="C4589" s="19" t="str">
        <x:v>3. 逐日期成本、查询、时间与延迟</x:v>
      </x:c>
      <x:c r="D4589" s="19" t="str">
        <x:v>日期=2035-04-09_3；方法=FRAME_GUARD</x:v>
      </x:c>
      <x:c r="E4589" s="19" t="str">
        <x:v>P95秒</x:v>
      </x:c>
      <x:c r="F4589" s="19" t="str">
        <x:v>0.0276</x:v>
      </x:c>
      <x:c r="G4589" s="19" t="str">
        <x:v>速度/计算</x:v>
      </x:c>
      <x:c r="H4589" s="19" t="str">
        <x:v>D:/Codex/GRL研究/outputs/grid88/GRID88_report.md</x:v>
      </x:c>
    </x:row>
    <x:row r="4590" ht="36" customHeight="1">
      <x:c r="A4590" s="19" t="str">
        <x:v>GRID88</x:v>
      </x:c>
      <x:c r="B4590" s="19" t="str">
        <x:v>GRID88_report.md</x:v>
      </x:c>
      <x:c r="C4590" s="19" t="str">
        <x:v>3. 逐日期成本、查询、时间与延迟</x:v>
      </x:c>
      <x:c r="D4590" s="19" t="str">
        <x:v>日期=2035-04-09_3；方法=FIXED_512</x:v>
      </x:c>
      <x:c r="E4590" s="19" t="str">
        <x:v>方法</x:v>
      </x:c>
      <x:c r="F4590" s="19" t="str">
        <x:v>FIXED_512</x:v>
      </x:c>
      <x:c r="G4590" s="19" t="str">
        <x:v>其他/配置</x:v>
      </x:c>
      <x:c r="H4590" s="19" t="str">
        <x:v>D:/Codex/GRL研究/outputs/grid88/GRID88_report.md</x:v>
      </x:c>
    </x:row>
    <x:row r="4591" ht="36" customHeight="1">
      <x:c r="A4591" s="19" t="str">
        <x:v>GRID88</x:v>
      </x:c>
      <x:c r="B4591" s="19" t="str">
        <x:v>GRID88_report.md</x:v>
      </x:c>
      <x:c r="C4591" s="19" t="str">
        <x:v>3. 逐日期成本、查询、时间与延迟</x:v>
      </x:c>
      <x:c r="D4591" s="19" t="str">
        <x:v>日期=2035-04-09_3；方法=FIXED_512</x:v>
      </x:c>
      <x:c r="E4591" s="19" t="str">
        <x:v>完成/步数</x:v>
      </x:c>
      <x:c r="F4591" s="19" t="str">
        <x:v>True/2017</x:v>
      </x:c>
      <x:c r="G4591" s="19" t="str">
        <x:v>质量/成本</x:v>
      </x:c>
      <x:c r="H4591" s="19" t="str">
        <x:v>D:/Codex/GRL研究/outputs/grid88/GRID88_report.md</x:v>
      </x:c>
    </x:row>
    <x:row r="4592" ht="36" customHeight="1">
      <x:c r="A4592" s="19" t="str">
        <x:v>GRID88</x:v>
      </x:c>
      <x:c r="B4592" s="19" t="str">
        <x:v>GRID88_report.md</x:v>
      </x:c>
      <x:c r="C4592" s="19" t="str">
        <x:v>3. 逐日期成本、查询、时间与延迟</x:v>
      </x:c>
      <x:c r="D4592" s="19" t="str">
        <x:v>日期=2035-04-09_3；方法=FIXED_512</x:v>
      </x:c>
      <x:c r="E4592" s="19" t="str">
        <x:v>完整周成本相对FULL</x:v>
      </x:c>
      <x:c r="F4592" s="19" t="str">
        <x:v>-1.2000%</x:v>
      </x:c>
      <x:c r="G4592" s="19" t="str">
        <x:v>质量/成本</x:v>
      </x:c>
      <x:c r="H4592" s="19" t="str">
        <x:v>D:/Codex/GRL研究/outputs/grid88/GRID88_report.md</x:v>
      </x:c>
    </x:row>
    <x:row r="4593" ht="36" customHeight="1">
      <x:c r="A4593" s="19" t="str">
        <x:v>GRID88</x:v>
      </x:c>
      <x:c r="B4593" s="19" t="str">
        <x:v>GRID88_report.md</x:v>
      </x:c>
      <x:c r="C4593" s="19" t="str">
        <x:v>3. 逐日期成本、查询、时间与延迟</x:v>
      </x:c>
      <x:c r="D4593" s="19" t="str">
        <x:v>日期=2035-04-09_3；方法=FIXED_512</x:v>
      </x:c>
      <x:c r="E4593" s="19" t="str">
        <x:v>质量通过</x:v>
      </x:c>
      <x:c r="F4593" s="19" t="str">
        <x:v>True</x:v>
      </x:c>
      <x:c r="G4593" s="19" t="str">
        <x:v>质量/成本</x:v>
      </x:c>
      <x:c r="H4593" s="19" t="str">
        <x:v>D:/Codex/GRL研究/outputs/grid88/GRID88_report.md</x:v>
      </x:c>
    </x:row>
    <x:row r="4594" ht="36" customHeight="1">
      <x:c r="A4594" s="19" t="str">
        <x:v>GRID88</x:v>
      </x:c>
      <x:c r="B4594" s="19" t="str">
        <x:v>GRID88_report.md</x:v>
      </x:c>
      <x:c r="C4594" s="19" t="str">
        <x:v>3. 逐日期成本、查询、时间与延迟</x:v>
      </x:c>
      <x:c r="D4594" s="19" t="str">
        <x:v>日期=2035-04-09_3；方法=FIXED_512</x:v>
      </x:c>
      <x:c r="E4594" s="19" t="str">
        <x:v>查询</x:v>
      </x:c>
      <x:c r="F4594" s="19" t="str">
        <x:v>3072</x:v>
      </x:c>
      <x:c r="G4594" s="19" t="str">
        <x:v>速度/计算</x:v>
      </x:c>
      <x:c r="H4594" s="19" t="str">
        <x:v>D:/Codex/GRL研究/outputs/grid88/GRID88_report.md</x:v>
      </x:c>
    </x:row>
    <x:row r="4595" ht="36" customHeight="1">
      <x:c r="A4595" s="19" t="str">
        <x:v>GRID88</x:v>
      </x:c>
      <x:c r="B4595" s="19" t="str">
        <x:v>GRID88_report.md</x:v>
      </x:c>
      <x:c r="C4595" s="19" t="str">
        <x:v>3. 逐日期成本、查询、时间与延迟</x:v>
      </x:c>
      <x:c r="D4595" s="19" t="str">
        <x:v>日期=2035-04-09_3；方法=FIXED_512</x:v>
      </x:c>
      <x:c r="E4595" s="19" t="str">
        <x:v>控制秒均值[最小,最大]</x:v>
      </x:c>
      <x:c r="F4595" s="19" t="str">
        <x:v>50.321[50.111,50.531]</x:v>
      </x:c>
      <x:c r="G4595" s="19" t="str">
        <x:v>速度/计算</x:v>
      </x:c>
      <x:c r="H4595" s="19" t="str">
        <x:v>D:/Codex/GRL研究/outputs/grid88/GRID88_report.md</x:v>
      </x:c>
    </x:row>
    <x:row r="4596" ht="36" customHeight="1">
      <x:c r="A4596" s="19" t="str">
        <x:v>GRID88</x:v>
      </x:c>
      <x:c r="B4596" s="19" t="str">
        <x:v>GRID88_report.md</x:v>
      </x:c>
      <x:c r="C4596" s="19" t="str">
        <x:v>3. 逐日期成本、查询、时间与延迟</x:v>
      </x:c>
      <x:c r="D4596" s="19" t="str">
        <x:v>日期=2035-04-09_3；方法=FIXED_512</x:v>
      </x:c>
      <x:c r="E4596" s="19" t="str">
        <x:v>P95秒</x:v>
      </x:c>
      <x:c r="F4596" s="19" t="str">
        <x:v>0.0278</x:v>
      </x:c>
      <x:c r="G4596" s="19" t="str">
        <x:v>速度/计算</x:v>
      </x:c>
      <x:c r="H4596" s="19" t="str">
        <x:v>D:/Codex/GRL研究/outputs/grid88/GRID88_report.md</x:v>
      </x:c>
    </x:row>
    <x:row r="4597" ht="36" customHeight="1">
      <x:c r="A4597" s="19" t="str">
        <x:v>GRID88</x:v>
      </x:c>
      <x:c r="B4597" s="19" t="str">
        <x:v>GRID88_report.md</x:v>
      </x:c>
      <x:c r="C4597" s="19" t="str">
        <x:v>3. 逐日期成本、查询、时间与延迟</x:v>
      </x:c>
      <x:c r="D4597" s="19" t="str">
        <x:v>日期=2035-05-14_14；方法=FRAME_GUARD</x:v>
      </x:c>
      <x:c r="E4597" s="19" t="str">
        <x:v>方法</x:v>
      </x:c>
      <x:c r="F4597" s="19" t="str">
        <x:v>FRAME_GUARD</x:v>
      </x:c>
      <x:c r="G4597" s="19" t="str">
        <x:v>其他/配置</x:v>
      </x:c>
      <x:c r="H4597" s="19" t="str">
        <x:v>D:/Codex/GRL研究/outputs/grid88/GRID88_report.md</x:v>
      </x:c>
    </x:row>
    <x:row r="4598" ht="36" customHeight="1">
      <x:c r="A4598" s="19" t="str">
        <x:v>GRID88</x:v>
      </x:c>
      <x:c r="B4598" s="19" t="str">
        <x:v>GRID88_report.md</x:v>
      </x:c>
      <x:c r="C4598" s="19" t="str">
        <x:v>3. 逐日期成本、查询、时间与延迟</x:v>
      </x:c>
      <x:c r="D4598" s="19" t="str">
        <x:v>日期=2035-05-14_14；方法=FRAME_GUARD</x:v>
      </x:c>
      <x:c r="E4598" s="19" t="str">
        <x:v>完成/步数</x:v>
      </x:c>
      <x:c r="F4598" s="19" t="str">
        <x:v>False/747</x:v>
      </x:c>
      <x:c r="G4598" s="19" t="str">
        <x:v>质量/成本</x:v>
      </x:c>
      <x:c r="H4598" s="19" t="str">
        <x:v>D:/Codex/GRL研究/outputs/grid88/GRID88_report.md</x:v>
      </x:c>
    </x:row>
    <x:row r="4599" ht="36" customHeight="1">
      <x:c r="A4599" s="19" t="str">
        <x:v>GRID88</x:v>
      </x:c>
      <x:c r="B4599" s="19" t="str">
        <x:v>GRID88_report.md</x:v>
      </x:c>
      <x:c r="C4599" s="19" t="str">
        <x:v>3. 逐日期成本、查询、时间与延迟</x:v>
      </x:c>
      <x:c r="D4599" s="19" t="str">
        <x:v>日期=2035-05-14_14；方法=FRAME_GUARD</x:v>
      </x:c>
      <x:c r="E4599" s="19" t="str">
        <x:v>完整周成本相对FULL</x:v>
      </x:c>
      <x:c r="F4599" s="19" t="str">
        <x:v>未双方完成</x:v>
      </x:c>
      <x:c r="G4599" s="19" t="str">
        <x:v>质量/成本</x:v>
      </x:c>
      <x:c r="H4599" s="19" t="str">
        <x:v>D:/Codex/GRL研究/outputs/grid88/GRID88_report.md</x:v>
      </x:c>
    </x:row>
    <x:row r="4600" ht="36" customHeight="1">
      <x:c r="A4600" s="19" t="str">
        <x:v>GRID88</x:v>
      </x:c>
      <x:c r="B4600" s="19" t="str">
        <x:v>GRID88_report.md</x:v>
      </x:c>
      <x:c r="C4600" s="19" t="str">
        <x:v>3. 逐日期成本、查询、时间与延迟</x:v>
      </x:c>
      <x:c r="D4600" s="19" t="str">
        <x:v>日期=2035-05-14_14；方法=FRAME_GUARD</x:v>
      </x:c>
      <x:c r="E4600" s="19" t="str">
        <x:v>质量通过</x:v>
      </x:c>
      <x:c r="F4600" s="19" t="str">
        <x:v>True</x:v>
      </x:c>
      <x:c r="G4600" s="19" t="str">
        <x:v>质量/成本</x:v>
      </x:c>
      <x:c r="H4600" s="19" t="str">
        <x:v>D:/Codex/GRL研究/outputs/grid88/GRID88_report.md</x:v>
      </x:c>
    </x:row>
    <x:row r="4601" ht="36" customHeight="1">
      <x:c r="A4601" s="19" t="str">
        <x:v>GRID88</x:v>
      </x:c>
      <x:c r="B4601" s="19" t="str">
        <x:v>GRID88_report.md</x:v>
      </x:c>
      <x:c r="C4601" s="19" t="str">
        <x:v>3. 逐日期成本、查询、时间与延迟</x:v>
      </x:c>
      <x:c r="D4601" s="19" t="str">
        <x:v>日期=2035-05-14_14；方法=FRAME_GUARD</x:v>
      </x:c>
      <x:c r="E4601" s="19" t="str">
        <x:v>查询</x:v>
      </x:c>
      <x:c r="F4601" s="19" t="str">
        <x:v>0</x:v>
      </x:c>
      <x:c r="G4601" s="19" t="str">
        <x:v>速度/计算</x:v>
      </x:c>
      <x:c r="H4601" s="19" t="str">
        <x:v>D:/Codex/GRL研究/outputs/grid88/GRID88_report.md</x:v>
      </x:c>
    </x:row>
    <x:row r="4602" ht="36" customHeight="1">
      <x:c r="A4602" s="19" t="str">
        <x:v>GRID88</x:v>
      </x:c>
      <x:c r="B4602" s="19" t="str">
        <x:v>GRID88_report.md</x:v>
      </x:c>
      <x:c r="C4602" s="19" t="str">
        <x:v>3. 逐日期成本、查询、时间与延迟</x:v>
      </x:c>
      <x:c r="D4602" s="19" t="str">
        <x:v>日期=2035-05-14_14；方法=FRAME_GUARD</x:v>
      </x:c>
      <x:c r="E4602" s="19" t="str">
        <x:v>控制秒均值[最小,最大]</x:v>
      </x:c>
      <x:c r="F4602" s="19" t="str">
        <x:v>6.711[6.669,6.752]</x:v>
      </x:c>
      <x:c r="G4602" s="19" t="str">
        <x:v>速度/计算</x:v>
      </x:c>
      <x:c r="H4602" s="19" t="str">
        <x:v>D:/Codex/GRL研究/outputs/grid88/GRID88_report.md</x:v>
      </x:c>
    </x:row>
    <x:row r="4603" ht="36" customHeight="1">
      <x:c r="A4603" s="19" t="str">
        <x:v>GRID88</x:v>
      </x:c>
      <x:c r="B4603" s="19" t="str">
        <x:v>GRID88_report.md</x:v>
      </x:c>
      <x:c r="C4603" s="19" t="str">
        <x:v>3. 逐日期成本、查询、时间与延迟</x:v>
      </x:c>
      <x:c r="D4603" s="19" t="str">
        <x:v>日期=2035-05-14_14；方法=FRAME_GUARD</x:v>
      </x:c>
      <x:c r="E4603" s="19" t="str">
        <x:v>P95秒</x:v>
      </x:c>
      <x:c r="F4603" s="19" t="str">
        <x:v>0.0079</x:v>
      </x:c>
      <x:c r="G4603" s="19" t="str">
        <x:v>速度/计算</x:v>
      </x:c>
      <x:c r="H4603" s="19" t="str">
        <x:v>D:/Codex/GRL研究/outputs/grid88/GRID88_report.md</x:v>
      </x:c>
    </x:row>
    <x:row r="4604" ht="36" customHeight="1">
      <x:c r="A4604" s="19" t="str">
        <x:v>GRID88</x:v>
      </x:c>
      <x:c r="B4604" s="19" t="str">
        <x:v>GRID88_report.md</x:v>
      </x:c>
      <x:c r="C4604" s="19" t="str">
        <x:v>3. 逐日期成本、查询、时间与延迟</x:v>
      </x:c>
      <x:c r="D4604" s="19" t="str">
        <x:v>日期=2035-05-14_14；方法=FIXED_512</x:v>
      </x:c>
      <x:c r="E4604" s="19" t="str">
        <x:v>方法</x:v>
      </x:c>
      <x:c r="F4604" s="19" t="str">
        <x:v>FIXED_512</x:v>
      </x:c>
      <x:c r="G4604" s="19" t="str">
        <x:v>其他/配置</x:v>
      </x:c>
      <x:c r="H4604" s="19" t="str">
        <x:v>D:/Codex/GRL研究/outputs/grid88/GRID88_report.md</x:v>
      </x:c>
    </x:row>
    <x:row r="4605" ht="36" customHeight="1">
      <x:c r="A4605" s="19" t="str">
        <x:v>GRID88</x:v>
      </x:c>
      <x:c r="B4605" s="19" t="str">
        <x:v>GRID88_report.md</x:v>
      </x:c>
      <x:c r="C4605" s="19" t="str">
        <x:v>3. 逐日期成本、查询、时间与延迟</x:v>
      </x:c>
      <x:c r="D4605" s="19" t="str">
        <x:v>日期=2035-05-14_14；方法=FIXED_512</x:v>
      </x:c>
      <x:c r="E4605" s="19" t="str">
        <x:v>完成/步数</x:v>
      </x:c>
      <x:c r="F4605" s="19" t="str">
        <x:v>False/747</x:v>
      </x:c>
      <x:c r="G4605" s="19" t="str">
        <x:v>质量/成本</x:v>
      </x:c>
      <x:c r="H4605" s="19" t="str">
        <x:v>D:/Codex/GRL研究/outputs/grid88/GRID88_report.md</x:v>
      </x:c>
    </x:row>
    <x:row r="4606" ht="36" customHeight="1">
      <x:c r="A4606" s="19" t="str">
        <x:v>GRID88</x:v>
      </x:c>
      <x:c r="B4606" s="19" t="str">
        <x:v>GRID88_report.md</x:v>
      </x:c>
      <x:c r="C4606" s="19" t="str">
        <x:v>3. 逐日期成本、查询、时间与延迟</x:v>
      </x:c>
      <x:c r="D4606" s="19" t="str">
        <x:v>日期=2035-05-14_14；方法=FIXED_512</x:v>
      </x:c>
      <x:c r="E4606" s="19" t="str">
        <x:v>完整周成本相对FULL</x:v>
      </x:c>
      <x:c r="F4606" s="19" t="str">
        <x:v>未双方完成</x:v>
      </x:c>
      <x:c r="G4606" s="19" t="str">
        <x:v>质量/成本</x:v>
      </x:c>
      <x:c r="H4606" s="19" t="str">
        <x:v>D:/Codex/GRL研究/outputs/grid88/GRID88_report.md</x:v>
      </x:c>
    </x:row>
    <x:row r="4607" ht="36" customHeight="1">
      <x:c r="A4607" s="19" t="str">
        <x:v>GRID88</x:v>
      </x:c>
      <x:c r="B4607" s="19" t="str">
        <x:v>GRID88_report.md</x:v>
      </x:c>
      <x:c r="C4607" s="19" t="str">
        <x:v>3. 逐日期成本、查询、时间与延迟</x:v>
      </x:c>
      <x:c r="D4607" s="19" t="str">
        <x:v>日期=2035-05-14_14；方法=FIXED_512</x:v>
      </x:c>
      <x:c r="E4607" s="19" t="str">
        <x:v>质量通过</x:v>
      </x:c>
      <x:c r="F4607" s="19" t="str">
        <x:v>True</x:v>
      </x:c>
      <x:c r="G4607" s="19" t="str">
        <x:v>质量/成本</x:v>
      </x:c>
      <x:c r="H4607" s="19" t="str">
        <x:v>D:/Codex/GRL研究/outputs/grid88/GRID88_report.md</x:v>
      </x:c>
    </x:row>
    <x:row r="4608" ht="36" customHeight="1">
      <x:c r="A4608" s="19" t="str">
        <x:v>GRID88</x:v>
      </x:c>
      <x:c r="B4608" s="19" t="str">
        <x:v>GRID88_report.md</x:v>
      </x:c>
      <x:c r="C4608" s="19" t="str">
        <x:v>3. 逐日期成本、查询、时间与延迟</x:v>
      </x:c>
      <x:c r="D4608" s="19" t="str">
        <x:v>日期=2035-05-14_14；方法=FIXED_512</x:v>
      </x:c>
      <x:c r="E4608" s="19" t="str">
        <x:v>查询</x:v>
      </x:c>
      <x:c r="F4608" s="19" t="str">
        <x:v>0</x:v>
      </x:c>
      <x:c r="G4608" s="19" t="str">
        <x:v>速度/计算</x:v>
      </x:c>
      <x:c r="H4608" s="19" t="str">
        <x:v>D:/Codex/GRL研究/outputs/grid88/GRID88_report.md</x:v>
      </x:c>
    </x:row>
    <x:row r="4609" ht="36" customHeight="1">
      <x:c r="A4609" s="19" t="str">
        <x:v>GRID88</x:v>
      </x:c>
      <x:c r="B4609" s="19" t="str">
        <x:v>GRID88_report.md</x:v>
      </x:c>
      <x:c r="C4609" s="19" t="str">
        <x:v>3. 逐日期成本、查询、时间与延迟</x:v>
      </x:c>
      <x:c r="D4609" s="19" t="str">
        <x:v>日期=2035-05-14_14；方法=FIXED_512</x:v>
      </x:c>
      <x:c r="E4609" s="19" t="str">
        <x:v>控制秒均值[最小,最大]</x:v>
      </x:c>
      <x:c r="F4609" s="19" t="str">
        <x:v>6.623[6.621,6.625]</x:v>
      </x:c>
      <x:c r="G4609" s="19" t="str">
        <x:v>速度/计算</x:v>
      </x:c>
      <x:c r="H4609" s="19" t="str">
        <x:v>D:/Codex/GRL研究/outputs/grid88/GRID88_report.md</x:v>
      </x:c>
    </x:row>
    <x:row r="4610" ht="36" customHeight="1">
      <x:c r="A4610" s="19" t="str">
        <x:v>GRID88</x:v>
      </x:c>
      <x:c r="B4610" s="19" t="str">
        <x:v>GRID88_report.md</x:v>
      </x:c>
      <x:c r="C4610" s="19" t="str">
        <x:v>3. 逐日期成本、查询、时间与延迟</x:v>
      </x:c>
      <x:c r="D4610" s="19" t="str">
        <x:v>日期=2035-05-14_14；方法=FIXED_512</x:v>
      </x:c>
      <x:c r="E4610" s="19" t="str">
        <x:v>P95秒</x:v>
      </x:c>
      <x:c r="F4610" s="19" t="str">
        <x:v>0.0079</x:v>
      </x:c>
      <x:c r="G4610" s="19" t="str">
        <x:v>速度/计算</x:v>
      </x:c>
      <x:c r="H4610" s="19" t="str">
        <x:v>D:/Codex/GRL研究/outputs/grid88/GRID88_report.md</x:v>
      </x:c>
    </x:row>
    <x:row r="4611" ht="36" customHeight="1">
      <x:c r="A4611" s="19" t="str">
        <x:v>GRID88</x:v>
      </x:c>
      <x:c r="B4611" s="19" t="str">
        <x:v>GRID88_report.md</x:v>
      </x:c>
      <x:c r="C4611" s="19" t="str">
        <x:v>3. 逐日期成本、查询、时间与延迟</x:v>
      </x:c>
      <x:c r="D4611" s="19" t="str">
        <x:v>日期=2035-11-19_0；方法=FRAME_GUARD</x:v>
      </x:c>
      <x:c r="E4611" s="19" t="str">
        <x:v>方法</x:v>
      </x:c>
      <x:c r="F4611" s="19" t="str">
        <x:v>FRAME_GUARD</x:v>
      </x:c>
      <x:c r="G4611" s="19" t="str">
        <x:v>其他/配置</x:v>
      </x:c>
      <x:c r="H4611" s="19" t="str">
        <x:v>D:/Codex/GRL研究/outputs/grid88/GRID88_report.md</x:v>
      </x:c>
    </x:row>
    <x:row r="4612" ht="36" customHeight="1">
      <x:c r="A4612" s="19" t="str">
        <x:v>GRID88</x:v>
      </x:c>
      <x:c r="B4612" s="19" t="str">
        <x:v>GRID88_report.md</x:v>
      </x:c>
      <x:c r="C4612" s="19" t="str">
        <x:v>3. 逐日期成本、查询、时间与延迟</x:v>
      </x:c>
      <x:c r="D4612" s="19" t="str">
        <x:v>日期=2035-11-19_0；方法=FRAME_GUARD</x:v>
      </x:c>
      <x:c r="E4612" s="19" t="str">
        <x:v>完成/步数</x:v>
      </x:c>
      <x:c r="F4612" s="19" t="str">
        <x:v>True/2017</x:v>
      </x:c>
      <x:c r="G4612" s="19" t="str">
        <x:v>质量/成本</x:v>
      </x:c>
      <x:c r="H4612" s="19" t="str">
        <x:v>D:/Codex/GRL研究/outputs/grid88/GRID88_report.md</x:v>
      </x:c>
    </x:row>
    <x:row r="4613" ht="36" customHeight="1">
      <x:c r="A4613" s="19" t="str">
        <x:v>GRID88</x:v>
      </x:c>
      <x:c r="B4613" s="19" t="str">
        <x:v>GRID88_report.md</x:v>
      </x:c>
      <x:c r="C4613" s="19" t="str">
        <x:v>3. 逐日期成本、查询、时间与延迟</x:v>
      </x:c>
      <x:c r="D4613" s="19" t="str">
        <x:v>日期=2035-11-19_0；方法=FRAME_GUARD</x:v>
      </x:c>
      <x:c r="E4613" s="19" t="str">
        <x:v>完整周成本相对FULL</x:v>
      </x:c>
      <x:c r="F4613" s="19" t="str">
        <x:v>-0.0231%</x:v>
      </x:c>
      <x:c r="G4613" s="19" t="str">
        <x:v>质量/成本</x:v>
      </x:c>
      <x:c r="H4613" s="19" t="str">
        <x:v>D:/Codex/GRL研究/outputs/grid88/GRID88_report.md</x:v>
      </x:c>
    </x:row>
    <x:row r="4614" ht="36" customHeight="1">
      <x:c r="A4614" s="19" t="str">
        <x:v>GRID88</x:v>
      </x:c>
      <x:c r="B4614" s="19" t="str">
        <x:v>GRID88_report.md</x:v>
      </x:c>
      <x:c r="C4614" s="19" t="str">
        <x:v>3. 逐日期成本、查询、时间与延迟</x:v>
      </x:c>
      <x:c r="D4614" s="19" t="str">
        <x:v>日期=2035-11-19_0；方法=FRAME_GUARD</x:v>
      </x:c>
      <x:c r="E4614" s="19" t="str">
        <x:v>质量通过</x:v>
      </x:c>
      <x:c r="F4614" s="19" t="str">
        <x:v>True</x:v>
      </x:c>
      <x:c r="G4614" s="19" t="str">
        <x:v>质量/成本</x:v>
      </x:c>
      <x:c r="H4614" s="19" t="str">
        <x:v>D:/Codex/GRL研究/outputs/grid88/GRID88_report.md</x:v>
      </x:c>
    </x:row>
    <x:row r="4615" ht="36" customHeight="1">
      <x:c r="A4615" s="19" t="str">
        <x:v>GRID88</x:v>
      </x:c>
      <x:c r="B4615" s="19" t="str">
        <x:v>GRID88_report.md</x:v>
      </x:c>
      <x:c r="C4615" s="19" t="str">
        <x:v>3. 逐日期成本、查询、时间与延迟</x:v>
      </x:c>
      <x:c r="D4615" s="19" t="str">
        <x:v>日期=2035-11-19_0；方法=FRAME_GUARD</x:v>
      </x:c>
      <x:c r="E4615" s="19" t="str">
        <x:v>查询</x:v>
      </x:c>
      <x:c r="F4615" s="19" t="str">
        <x:v>921</x:v>
      </x:c>
      <x:c r="G4615" s="19" t="str">
        <x:v>速度/计算</x:v>
      </x:c>
      <x:c r="H4615" s="19" t="str">
        <x:v>D:/Codex/GRL研究/outputs/grid88/GRID88_report.md</x:v>
      </x:c>
    </x:row>
    <x:row r="4616" ht="36" customHeight="1">
      <x:c r="A4616" s="19" t="str">
        <x:v>GRID88</x:v>
      </x:c>
      <x:c r="B4616" s="19" t="str">
        <x:v>GRID88_report.md</x:v>
      </x:c>
      <x:c r="C4616" s="19" t="str">
        <x:v>3. 逐日期成本、查询、时间与延迟</x:v>
      </x:c>
      <x:c r="D4616" s="19" t="str">
        <x:v>日期=2035-11-19_0；方法=FRAME_GUARD</x:v>
      </x:c>
      <x:c r="E4616" s="19" t="str">
        <x:v>控制秒均值[最小,最大]</x:v>
      </x:c>
      <x:c r="F4616" s="19" t="str">
        <x:v>65.729[65.181,66.277]</x:v>
      </x:c>
      <x:c r="G4616" s="19" t="str">
        <x:v>速度/计算</x:v>
      </x:c>
      <x:c r="H4616" s="19" t="str">
        <x:v>D:/Codex/GRL研究/outputs/grid88/GRID88_report.md</x:v>
      </x:c>
    </x:row>
    <x:row r="4617" ht="36" customHeight="1">
      <x:c r="A4617" s="19" t="str">
        <x:v>GRID88</x:v>
      </x:c>
      <x:c r="B4617" s="19" t="str">
        <x:v>GRID88_report.md</x:v>
      </x:c>
      <x:c r="C4617" s="19" t="str">
        <x:v>3. 逐日期成本、查询、时间与延迟</x:v>
      </x:c>
      <x:c r="D4617" s="19" t="str">
        <x:v>日期=2035-11-19_0；方法=FRAME_GUARD</x:v>
      </x:c>
      <x:c r="E4617" s="19" t="str">
        <x:v>P95秒</x:v>
      </x:c>
      <x:c r="F4617" s="19" t="str">
        <x:v>0.0350</x:v>
      </x:c>
      <x:c r="G4617" s="19" t="str">
        <x:v>速度/计算</x:v>
      </x:c>
      <x:c r="H4617" s="19" t="str">
        <x:v>D:/Codex/GRL研究/outputs/grid88/GRID88_report.md</x:v>
      </x:c>
    </x:row>
    <x:row r="4618" ht="36" customHeight="1">
      <x:c r="A4618" s="19" t="str">
        <x:v>GRID88</x:v>
      </x:c>
      <x:c r="B4618" s="19" t="str">
        <x:v>GRID88_report.md</x:v>
      </x:c>
      <x:c r="C4618" s="19" t="str">
        <x:v>3. 逐日期成本、查询、时间与延迟</x:v>
      </x:c>
      <x:c r="D4618" s="19" t="str">
        <x:v>日期=2035-11-19_0；方法=FIXED_512</x:v>
      </x:c>
      <x:c r="E4618" s="19" t="str">
        <x:v>方法</x:v>
      </x:c>
      <x:c r="F4618" s="19" t="str">
        <x:v>FIXED_512</x:v>
      </x:c>
      <x:c r="G4618" s="19" t="str">
        <x:v>其他/配置</x:v>
      </x:c>
      <x:c r="H4618" s="19" t="str">
        <x:v>D:/Codex/GRL研究/outputs/grid88/GRID88_report.md</x:v>
      </x:c>
    </x:row>
    <x:row r="4619" ht="36" customHeight="1">
      <x:c r="A4619" s="19" t="str">
        <x:v>GRID88</x:v>
      </x:c>
      <x:c r="B4619" s="19" t="str">
        <x:v>GRID88_report.md</x:v>
      </x:c>
      <x:c r="C4619" s="19" t="str">
        <x:v>3. 逐日期成本、查询、时间与延迟</x:v>
      </x:c>
      <x:c r="D4619" s="19" t="str">
        <x:v>日期=2035-11-19_0；方法=FIXED_512</x:v>
      </x:c>
      <x:c r="E4619" s="19" t="str">
        <x:v>完成/步数</x:v>
      </x:c>
      <x:c r="F4619" s="19" t="str">
        <x:v>True/2017</x:v>
      </x:c>
      <x:c r="G4619" s="19" t="str">
        <x:v>质量/成本</x:v>
      </x:c>
      <x:c r="H4619" s="19" t="str">
        <x:v>D:/Codex/GRL研究/outputs/grid88/GRID88_report.md</x:v>
      </x:c>
    </x:row>
    <x:row r="4620" ht="36" customHeight="1">
      <x:c r="A4620" s="19" t="str">
        <x:v>GRID88</x:v>
      </x:c>
      <x:c r="B4620" s="19" t="str">
        <x:v>GRID88_report.md</x:v>
      </x:c>
      <x:c r="C4620" s="19" t="str">
        <x:v>3. 逐日期成本、查询、时间与延迟</x:v>
      </x:c>
      <x:c r="D4620" s="19" t="str">
        <x:v>日期=2035-11-19_0；方法=FIXED_512</x:v>
      </x:c>
      <x:c r="E4620" s="19" t="str">
        <x:v>完整周成本相对FULL</x:v>
      </x:c>
      <x:c r="F4620" s="19" t="str">
        <x:v>-0.0118%</x:v>
      </x:c>
      <x:c r="G4620" s="19" t="str">
        <x:v>质量/成本</x:v>
      </x:c>
      <x:c r="H4620" s="19" t="str">
        <x:v>D:/Codex/GRL研究/outputs/grid88/GRID88_report.md</x:v>
      </x:c>
    </x:row>
    <x:row r="4621" ht="36" customHeight="1">
      <x:c r="A4621" s="19" t="str">
        <x:v>GRID88</x:v>
      </x:c>
      <x:c r="B4621" s="19" t="str">
        <x:v>GRID88_report.md</x:v>
      </x:c>
      <x:c r="C4621" s="19" t="str">
        <x:v>3. 逐日期成本、查询、时间与延迟</x:v>
      </x:c>
      <x:c r="D4621" s="19" t="str">
        <x:v>日期=2035-11-19_0；方法=FIXED_512</x:v>
      </x:c>
      <x:c r="E4621" s="19" t="str">
        <x:v>质量通过</x:v>
      </x:c>
      <x:c r="F4621" s="19" t="str">
        <x:v>True</x:v>
      </x:c>
      <x:c r="G4621" s="19" t="str">
        <x:v>质量/成本</x:v>
      </x:c>
      <x:c r="H4621" s="19" t="str">
        <x:v>D:/Codex/GRL研究/outputs/grid88/GRID88_report.md</x:v>
      </x:c>
    </x:row>
    <x:row r="4622" ht="36" customHeight="1">
      <x:c r="A4622" s="19" t="str">
        <x:v>GRID88</x:v>
      </x:c>
      <x:c r="B4622" s="19" t="str">
        <x:v>GRID88_report.md</x:v>
      </x:c>
      <x:c r="C4622" s="19" t="str">
        <x:v>3. 逐日期成本、查询、时间与延迟</x:v>
      </x:c>
      <x:c r="D4622" s="19" t="str">
        <x:v>日期=2035-11-19_0；方法=FIXED_512</x:v>
      </x:c>
      <x:c r="E4622" s="19" t="str">
        <x:v>查询</x:v>
      </x:c>
      <x:c r="F4622" s="19" t="str">
        <x:v>1536</x:v>
      </x:c>
      <x:c r="G4622" s="19" t="str">
        <x:v>速度/计算</x:v>
      </x:c>
      <x:c r="H4622" s="19" t="str">
        <x:v>D:/Codex/GRL研究/outputs/grid88/GRID88_report.md</x:v>
      </x:c>
    </x:row>
    <x:row r="4623" ht="36" customHeight="1">
      <x:c r="A4623" s="19" t="str">
        <x:v>GRID88</x:v>
      </x:c>
      <x:c r="B4623" s="19" t="str">
        <x:v>GRID88_report.md</x:v>
      </x:c>
      <x:c r="C4623" s="19" t="str">
        <x:v>3. 逐日期成本、查询、时间与延迟</x:v>
      </x:c>
      <x:c r="D4623" s="19" t="str">
        <x:v>日期=2035-11-19_0；方法=FIXED_512</x:v>
      </x:c>
      <x:c r="E4623" s="19" t="str">
        <x:v>控制秒均值[最小,最大]</x:v>
      </x:c>
      <x:c r="F4623" s="19" t="str">
        <x:v>67.321[67.090,67.552]</x:v>
      </x:c>
      <x:c r="G4623" s="19" t="str">
        <x:v>速度/计算</x:v>
      </x:c>
      <x:c r="H4623" s="19" t="str">
        <x:v>D:/Codex/GRL研究/outputs/grid88/GRID88_report.md</x:v>
      </x:c>
    </x:row>
    <x:row r="4624" ht="36" customHeight="1">
      <x:c r="A4624" s="19" t="str">
        <x:v>GRID88</x:v>
      </x:c>
      <x:c r="B4624" s="19" t="str">
        <x:v>GRID88_report.md</x:v>
      </x:c>
      <x:c r="C4624" s="19" t="str">
        <x:v>3. 逐日期成本、查询、时间与延迟</x:v>
      </x:c>
      <x:c r="D4624" s="19" t="str">
        <x:v>日期=2035-11-19_0；方法=FIXED_512</x:v>
      </x:c>
      <x:c r="E4624" s="19" t="str">
        <x:v>P95秒</x:v>
      </x:c>
      <x:c r="F4624" s="19" t="str">
        <x:v>0.0346</x:v>
      </x:c>
      <x:c r="G4624" s="19" t="str">
        <x:v>速度/计算</x:v>
      </x:c>
      <x:c r="H4624" s="19" t="str">
        <x:v>D:/Codex/GRL研究/outputs/grid88/GRID88_report.md</x:v>
      </x:c>
    </x:row>
    <x:row r="4625" ht="36" customHeight="1">
      <x:c r="A4625" s="19" t="str">
        <x:v>GRID88</x:v>
      </x:c>
      <x:c r="B4625" s="19" t="str">
        <x:v>GRID88_report.md</x:v>
      </x:c>
      <x:c r="C4625" s="19" t="str">
        <x:v>3. 逐日期成本、查询、时间与延迟</x:v>
      </x:c>
      <x:c r="D4625" s="19" t="str">
        <x:v>日期=2035-01-01_8；方法=FRAME_GUARD</x:v>
      </x:c>
      <x:c r="E4625" s="19" t="str">
        <x:v>方法</x:v>
      </x:c>
      <x:c r="F4625" s="19" t="str">
        <x:v>FRAME_GUARD</x:v>
      </x:c>
      <x:c r="G4625" s="19" t="str">
        <x:v>其他/配置</x:v>
      </x:c>
      <x:c r="H4625" s="19" t="str">
        <x:v>D:/Codex/GRL研究/outputs/grid88/GRID88_report.md</x:v>
      </x:c>
    </x:row>
    <x:row r="4626" ht="36" customHeight="1">
      <x:c r="A4626" s="19" t="str">
        <x:v>GRID88</x:v>
      </x:c>
      <x:c r="B4626" s="19" t="str">
        <x:v>GRID88_report.md</x:v>
      </x:c>
      <x:c r="C4626" s="19" t="str">
        <x:v>3. 逐日期成本、查询、时间与延迟</x:v>
      </x:c>
      <x:c r="D4626" s="19" t="str">
        <x:v>日期=2035-01-01_8；方法=FRAME_GUARD</x:v>
      </x:c>
      <x:c r="E4626" s="19" t="str">
        <x:v>完成/步数</x:v>
      </x:c>
      <x:c r="F4626" s="19" t="str">
        <x:v>True/2017</x:v>
      </x:c>
      <x:c r="G4626" s="19" t="str">
        <x:v>质量/成本</x:v>
      </x:c>
      <x:c r="H4626" s="19" t="str">
        <x:v>D:/Codex/GRL研究/outputs/grid88/GRID88_report.md</x:v>
      </x:c>
    </x:row>
    <x:row r="4627" ht="36" customHeight="1">
      <x:c r="A4627" s="19" t="str">
        <x:v>GRID88</x:v>
      </x:c>
      <x:c r="B4627" s="19" t="str">
        <x:v>GRID88_report.md</x:v>
      </x:c>
      <x:c r="C4627" s="19" t="str">
        <x:v>3. 逐日期成本、查询、时间与延迟</x:v>
      </x:c>
      <x:c r="D4627" s="19" t="str">
        <x:v>日期=2035-01-01_8；方法=FRAME_GUARD</x:v>
      </x:c>
      <x:c r="E4627" s="19" t="str">
        <x:v>完整周成本相对FULL</x:v>
      </x:c>
      <x:c r="F4627" s="19" t="str">
        <x:v>+0.0000%</x:v>
      </x:c>
      <x:c r="G4627" s="19" t="str">
        <x:v>质量/成本</x:v>
      </x:c>
      <x:c r="H4627" s="19" t="str">
        <x:v>D:/Codex/GRL研究/outputs/grid88/GRID88_report.md</x:v>
      </x:c>
    </x:row>
    <x:row r="4628" ht="36" customHeight="1">
      <x:c r="A4628" s="19" t="str">
        <x:v>GRID88</x:v>
      </x:c>
      <x:c r="B4628" s="19" t="str">
        <x:v>GRID88_report.md</x:v>
      </x:c>
      <x:c r="C4628" s="19" t="str">
        <x:v>3. 逐日期成本、查询、时间与延迟</x:v>
      </x:c>
      <x:c r="D4628" s="19" t="str">
        <x:v>日期=2035-01-01_8；方法=FRAME_GUARD</x:v>
      </x:c>
      <x:c r="E4628" s="19" t="str">
        <x:v>质量通过</x:v>
      </x:c>
      <x:c r="F4628" s="19" t="str">
        <x:v>True</x:v>
      </x:c>
      <x:c r="G4628" s="19" t="str">
        <x:v>质量/成本</x:v>
      </x:c>
      <x:c r="H4628" s="19" t="str">
        <x:v>D:/Codex/GRL研究/outputs/grid88/GRID88_report.md</x:v>
      </x:c>
    </x:row>
    <x:row r="4629" ht="36" customHeight="1">
      <x:c r="A4629" s="19" t="str">
        <x:v>GRID88</x:v>
      </x:c>
      <x:c r="B4629" s="19" t="str">
        <x:v>GRID88_report.md</x:v>
      </x:c>
      <x:c r="C4629" s="19" t="str">
        <x:v>3. 逐日期成本、查询、时间与延迟</x:v>
      </x:c>
      <x:c r="D4629" s="19" t="str">
        <x:v>日期=2035-01-01_8；方法=FRAME_GUARD</x:v>
      </x:c>
      <x:c r="E4629" s="19" t="str">
        <x:v>查询</x:v>
      </x:c>
      <x:c r="F4629" s="19" t="str">
        <x:v>767</x:v>
      </x:c>
      <x:c r="G4629" s="19" t="str">
        <x:v>速度/计算</x:v>
      </x:c>
      <x:c r="H4629" s="19" t="str">
        <x:v>D:/Codex/GRL研究/outputs/grid88/GRID88_report.md</x:v>
      </x:c>
    </x:row>
    <x:row r="4630" ht="36" customHeight="1">
      <x:c r="A4630" s="19" t="str">
        <x:v>GRID88</x:v>
      </x:c>
      <x:c r="B4630" s="19" t="str">
        <x:v>GRID88_report.md</x:v>
      </x:c>
      <x:c r="C4630" s="19" t="str">
        <x:v>3. 逐日期成本、查询、时间与延迟</x:v>
      </x:c>
      <x:c r="D4630" s="19" t="str">
        <x:v>日期=2035-01-01_8；方法=FRAME_GUARD</x:v>
      </x:c>
      <x:c r="E4630" s="19" t="str">
        <x:v>控制秒均值[最小,最大]</x:v>
      </x:c>
      <x:c r="F4630" s="19" t="str">
        <x:v>83.529[82.726,84.332]</x:v>
      </x:c>
      <x:c r="G4630" s="19" t="str">
        <x:v>速度/计算</x:v>
      </x:c>
      <x:c r="H4630" s="19" t="str">
        <x:v>D:/Codex/GRL研究/outputs/grid88/GRID88_report.md</x:v>
      </x:c>
    </x:row>
    <x:row r="4631" ht="36" customHeight="1">
      <x:c r="A4631" s="19" t="str">
        <x:v>GRID88</x:v>
      </x:c>
      <x:c r="B4631" s="19" t="str">
        <x:v>GRID88_report.md</x:v>
      </x:c>
      <x:c r="C4631" s="19" t="str">
        <x:v>3. 逐日期成本、查询、时间与延迟</x:v>
      </x:c>
      <x:c r="D4631" s="19" t="str">
        <x:v>日期=2035-01-01_8；方法=FRAME_GUARD</x:v>
      </x:c>
      <x:c r="E4631" s="19" t="str">
        <x:v>P95秒</x:v>
      </x:c>
      <x:c r="F4631" s="19" t="str">
        <x:v>0.0360</x:v>
      </x:c>
      <x:c r="G4631" s="19" t="str">
        <x:v>速度/计算</x:v>
      </x:c>
      <x:c r="H4631" s="19" t="str">
        <x:v>D:/Codex/GRL研究/outputs/grid88/GRID88_report.md</x:v>
      </x:c>
    </x:row>
    <x:row r="4632" ht="36" customHeight="1">
      <x:c r="A4632" s="19" t="str">
        <x:v>GRID88</x:v>
      </x:c>
      <x:c r="B4632" s="19" t="str">
        <x:v>GRID88_report.md</x:v>
      </x:c>
      <x:c r="C4632" s="19" t="str">
        <x:v>3. 逐日期成本、查询、时间与延迟</x:v>
      </x:c>
      <x:c r="D4632" s="19" t="str">
        <x:v>日期=2035-01-01_8；方法=FIXED_512</x:v>
      </x:c>
      <x:c r="E4632" s="19" t="str">
        <x:v>方法</x:v>
      </x:c>
      <x:c r="F4632" s="19" t="str">
        <x:v>FIXED_512</x:v>
      </x:c>
      <x:c r="G4632" s="19" t="str">
        <x:v>其他/配置</x:v>
      </x:c>
      <x:c r="H4632" s="19" t="str">
        <x:v>D:/Codex/GRL研究/outputs/grid88/GRID88_report.md</x:v>
      </x:c>
    </x:row>
    <x:row r="4633" ht="36" customHeight="1">
      <x:c r="A4633" s="19" t="str">
        <x:v>GRID88</x:v>
      </x:c>
      <x:c r="B4633" s="19" t="str">
        <x:v>GRID88_report.md</x:v>
      </x:c>
      <x:c r="C4633" s="19" t="str">
        <x:v>3. 逐日期成本、查询、时间与延迟</x:v>
      </x:c>
      <x:c r="D4633" s="19" t="str">
        <x:v>日期=2035-01-01_8；方法=FIXED_512</x:v>
      </x:c>
      <x:c r="E4633" s="19" t="str">
        <x:v>完成/步数</x:v>
      </x:c>
      <x:c r="F4633" s="19" t="str">
        <x:v>True/2017</x:v>
      </x:c>
      <x:c r="G4633" s="19" t="str">
        <x:v>质量/成本</x:v>
      </x:c>
      <x:c r="H4633" s="19" t="str">
        <x:v>D:/Codex/GRL研究/outputs/grid88/GRID88_report.md</x:v>
      </x:c>
    </x:row>
    <x:row r="4634" ht="36" customHeight="1">
      <x:c r="A4634" s="19" t="str">
        <x:v>GRID88</x:v>
      </x:c>
      <x:c r="B4634" s="19" t="str">
        <x:v>GRID88_report.md</x:v>
      </x:c>
      <x:c r="C4634" s="19" t="str">
        <x:v>3. 逐日期成本、查询、时间与延迟</x:v>
      </x:c>
      <x:c r="D4634" s="19" t="str">
        <x:v>日期=2035-01-01_8；方法=FIXED_512</x:v>
      </x:c>
      <x:c r="E4634" s="19" t="str">
        <x:v>完整周成本相对FULL</x:v>
      </x:c>
      <x:c r="F4634" s="19" t="str">
        <x:v>+0.0000%</x:v>
      </x:c>
      <x:c r="G4634" s="19" t="str">
        <x:v>质量/成本</x:v>
      </x:c>
      <x:c r="H4634" s="19" t="str">
        <x:v>D:/Codex/GRL研究/outputs/grid88/GRID88_report.md</x:v>
      </x:c>
    </x:row>
    <x:row r="4635" ht="36" customHeight="1">
      <x:c r="A4635" s="19" t="str">
        <x:v>GRID88</x:v>
      </x:c>
      <x:c r="B4635" s="19" t="str">
        <x:v>GRID88_report.md</x:v>
      </x:c>
      <x:c r="C4635" s="19" t="str">
        <x:v>3. 逐日期成本、查询、时间与延迟</x:v>
      </x:c>
      <x:c r="D4635" s="19" t="str">
        <x:v>日期=2035-01-01_8；方法=FIXED_512</x:v>
      </x:c>
      <x:c r="E4635" s="19" t="str">
        <x:v>质量通过</x:v>
      </x:c>
      <x:c r="F4635" s="19" t="str">
        <x:v>True</x:v>
      </x:c>
      <x:c r="G4635" s="19" t="str">
        <x:v>质量/成本</x:v>
      </x:c>
      <x:c r="H4635" s="19" t="str">
        <x:v>D:/Codex/GRL研究/outputs/grid88/GRID88_report.md</x:v>
      </x:c>
    </x:row>
    <x:row r="4636" ht="36" customHeight="1">
      <x:c r="A4636" s="19" t="str">
        <x:v>GRID88</x:v>
      </x:c>
      <x:c r="B4636" s="19" t="str">
        <x:v>GRID88_report.md</x:v>
      </x:c>
      <x:c r="C4636" s="19" t="str">
        <x:v>3. 逐日期成本、查询、时间与延迟</x:v>
      </x:c>
      <x:c r="D4636" s="19" t="str">
        <x:v>日期=2035-01-01_8；方法=FIXED_512</x:v>
      </x:c>
      <x:c r="E4636" s="19" t="str">
        <x:v>查询</x:v>
      </x:c>
      <x:c r="F4636" s="19" t="str">
        <x:v>1024</x:v>
      </x:c>
      <x:c r="G4636" s="19" t="str">
        <x:v>速度/计算</x:v>
      </x:c>
      <x:c r="H4636" s="19" t="str">
        <x:v>D:/Codex/GRL研究/outputs/grid88/GRID88_report.md</x:v>
      </x:c>
    </x:row>
    <x:row r="4637" ht="36" customHeight="1">
      <x:c r="A4637" s="19" t="str">
        <x:v>GRID88</x:v>
      </x:c>
      <x:c r="B4637" s="19" t="str">
        <x:v>GRID88_report.md</x:v>
      </x:c>
      <x:c r="C4637" s="19" t="str">
        <x:v>3. 逐日期成本、查询、时间与延迟</x:v>
      </x:c>
      <x:c r="D4637" s="19" t="str">
        <x:v>日期=2035-01-01_8；方法=FIXED_512</x:v>
      </x:c>
      <x:c r="E4637" s="19" t="str">
        <x:v>控制秒均值[最小,最大]</x:v>
      </x:c>
      <x:c r="F4637" s="19" t="str">
        <x:v>84.004[83.618,84.390]</x:v>
      </x:c>
      <x:c r="G4637" s="19" t="str">
        <x:v>速度/计算</x:v>
      </x:c>
      <x:c r="H4637" s="19" t="str">
        <x:v>D:/Codex/GRL研究/outputs/grid88/GRID88_report.md</x:v>
      </x:c>
    </x:row>
    <x:row r="4638" ht="36" customHeight="1">
      <x:c r="A4638" s="19" t="str">
        <x:v>GRID88</x:v>
      </x:c>
      <x:c r="B4638" s="19" t="str">
        <x:v>GRID88_report.md</x:v>
      </x:c>
      <x:c r="C4638" s="19" t="str">
        <x:v>3. 逐日期成本、查询、时间与延迟</x:v>
      </x:c>
      <x:c r="D4638" s="19" t="str">
        <x:v>日期=2035-01-01_8；方法=FIXED_512</x:v>
      </x:c>
      <x:c r="E4638" s="19" t="str">
        <x:v>P95秒</x:v>
      </x:c>
      <x:c r="F4638" s="19" t="str">
        <x:v>0.0362</x:v>
      </x:c>
      <x:c r="G4638" s="19" t="str">
        <x:v>速度/计算</x:v>
      </x:c>
      <x:c r="H4638" s="19" t="str">
        <x:v>D:/Codex/GRL研究/outputs/grid88/GRID88_report.md</x:v>
      </x:c>
    </x:row>
    <x:row r="4639" ht="36" customHeight="1">
      <x:c r="A4639" s="19" t="str">
        <x:v>GRID88</x:v>
      </x:c>
      <x:c r="B4639" s="19" t="str">
        <x:v>GRID88_report.md</x:v>
      </x:c>
      <x:c r="C4639" s="19" t="str">
        <x:v>3. 逐日期成本、查询、时间与延迟</x:v>
      </x:c>
      <x:c r="D4639" s="19" t="str">
        <x:v>日期=2035-02-19_8；方法=FRAME_GUARD</x:v>
      </x:c>
      <x:c r="E4639" s="19" t="str">
        <x:v>方法</x:v>
      </x:c>
      <x:c r="F4639" s="19" t="str">
        <x:v>FRAME_GUARD</x:v>
      </x:c>
      <x:c r="G4639" s="19" t="str">
        <x:v>其他/配置</x:v>
      </x:c>
      <x:c r="H4639" s="19" t="str">
        <x:v>D:/Codex/GRL研究/outputs/grid88/GRID88_report.md</x:v>
      </x:c>
    </x:row>
    <x:row r="4640" ht="36" customHeight="1">
      <x:c r="A4640" s="19" t="str">
        <x:v>GRID88</x:v>
      </x:c>
      <x:c r="B4640" s="19" t="str">
        <x:v>GRID88_report.md</x:v>
      </x:c>
      <x:c r="C4640" s="19" t="str">
        <x:v>3. 逐日期成本、查询、时间与延迟</x:v>
      </x:c>
      <x:c r="D4640" s="19" t="str">
        <x:v>日期=2035-02-19_8；方法=FRAME_GUARD</x:v>
      </x:c>
      <x:c r="E4640" s="19" t="str">
        <x:v>完成/步数</x:v>
      </x:c>
      <x:c r="F4640" s="19" t="str">
        <x:v>True/2017</x:v>
      </x:c>
      <x:c r="G4640" s="19" t="str">
        <x:v>质量/成本</x:v>
      </x:c>
      <x:c r="H4640" s="19" t="str">
        <x:v>D:/Codex/GRL研究/outputs/grid88/GRID88_report.md</x:v>
      </x:c>
    </x:row>
    <x:row r="4641" ht="36" customHeight="1">
      <x:c r="A4641" s="19" t="str">
        <x:v>GRID88</x:v>
      </x:c>
      <x:c r="B4641" s="19" t="str">
        <x:v>GRID88_report.md</x:v>
      </x:c>
      <x:c r="C4641" s="19" t="str">
        <x:v>3. 逐日期成本、查询、时间与延迟</x:v>
      </x:c>
      <x:c r="D4641" s="19" t="str">
        <x:v>日期=2035-02-19_8；方法=FRAME_GUARD</x:v>
      </x:c>
      <x:c r="E4641" s="19" t="str">
        <x:v>完整周成本相对FULL</x:v>
      </x:c>
      <x:c r="F4641" s="19" t="str">
        <x:v>-2.2392%</x:v>
      </x:c>
      <x:c r="G4641" s="19" t="str">
        <x:v>质量/成本</x:v>
      </x:c>
      <x:c r="H4641" s="19" t="str">
        <x:v>D:/Codex/GRL研究/outputs/grid88/GRID88_report.md</x:v>
      </x:c>
    </x:row>
    <x:row r="4642" ht="36" customHeight="1">
      <x:c r="A4642" s="19" t="str">
        <x:v>GRID88</x:v>
      </x:c>
      <x:c r="B4642" s="19" t="str">
        <x:v>GRID88_report.md</x:v>
      </x:c>
      <x:c r="C4642" s="19" t="str">
        <x:v>3. 逐日期成本、查询、时间与延迟</x:v>
      </x:c>
      <x:c r="D4642" s="19" t="str">
        <x:v>日期=2035-02-19_8；方法=FRAME_GUARD</x:v>
      </x:c>
      <x:c r="E4642" s="19" t="str">
        <x:v>质量通过</x:v>
      </x:c>
      <x:c r="F4642" s="19" t="str">
        <x:v>True</x:v>
      </x:c>
      <x:c r="G4642" s="19" t="str">
        <x:v>质量/成本</x:v>
      </x:c>
      <x:c r="H4642" s="19" t="str">
        <x:v>D:/Codex/GRL研究/outputs/grid88/GRID88_report.md</x:v>
      </x:c>
    </x:row>
    <x:row r="4643" ht="36" customHeight="1">
      <x:c r="A4643" s="19" t="str">
        <x:v>GRID88</x:v>
      </x:c>
      <x:c r="B4643" s="19" t="str">
        <x:v>GRID88_report.md</x:v>
      </x:c>
      <x:c r="C4643" s="19" t="str">
        <x:v>3. 逐日期成本、查询、时间与延迟</x:v>
      </x:c>
      <x:c r="D4643" s="19" t="str">
        <x:v>日期=2035-02-19_8；方法=FRAME_GUARD</x:v>
      </x:c>
      <x:c r="E4643" s="19" t="str">
        <x:v>查询</x:v>
      </x:c>
      <x:c r="F4643" s="19" t="str">
        <x:v>6853</x:v>
      </x:c>
      <x:c r="G4643" s="19" t="str">
        <x:v>速度/计算</x:v>
      </x:c>
      <x:c r="H4643" s="19" t="str">
        <x:v>D:/Codex/GRL研究/outputs/grid88/GRID88_report.md</x:v>
      </x:c>
    </x:row>
    <x:row r="4644" ht="36" customHeight="1">
      <x:c r="A4644" s="19" t="str">
        <x:v>GRID88</x:v>
      </x:c>
      <x:c r="B4644" s="19" t="str">
        <x:v>GRID88_report.md</x:v>
      </x:c>
      <x:c r="C4644" s="19" t="str">
        <x:v>3. 逐日期成本、查询、时间与延迟</x:v>
      </x:c>
      <x:c r="D4644" s="19" t="str">
        <x:v>日期=2035-02-19_8；方法=FRAME_GUARD</x:v>
      </x:c>
      <x:c r="E4644" s="19" t="str">
        <x:v>控制秒均值[最小,最大]</x:v>
      </x:c>
      <x:c r="F4644" s="19" t="str">
        <x:v>149.777[149.582,149.973]</x:v>
      </x:c>
      <x:c r="G4644" s="19" t="str">
        <x:v>速度/计算</x:v>
      </x:c>
      <x:c r="H4644" s="19" t="str">
        <x:v>D:/Codex/GRL研究/outputs/grid88/GRID88_report.md</x:v>
      </x:c>
    </x:row>
    <x:row r="4645" ht="36" customHeight="1">
      <x:c r="A4645" s="19" t="str">
        <x:v>GRID88</x:v>
      </x:c>
      <x:c r="B4645" s="19" t="str">
        <x:v>GRID88_report.md</x:v>
      </x:c>
      <x:c r="C4645" s="19" t="str">
        <x:v>3. 逐日期成本、查询、时间与延迟</x:v>
      </x:c>
      <x:c r="D4645" s="19" t="str">
        <x:v>日期=2035-02-19_8；方法=FRAME_GUARD</x:v>
      </x:c>
      <x:c r="E4645" s="19" t="str">
        <x:v>P95秒</x:v>
      </x:c>
      <x:c r="F4645" s="19" t="str">
        <x:v>0.0553</x:v>
      </x:c>
      <x:c r="G4645" s="19" t="str">
        <x:v>速度/计算</x:v>
      </x:c>
      <x:c r="H4645" s="19" t="str">
        <x:v>D:/Codex/GRL研究/outputs/grid88/GRID88_report.md</x:v>
      </x:c>
    </x:row>
    <x:row r="4646" ht="36" customHeight="1">
      <x:c r="A4646" s="19" t="str">
        <x:v>GRID88</x:v>
      </x:c>
      <x:c r="B4646" s="19" t="str">
        <x:v>GRID88_report.md</x:v>
      </x:c>
      <x:c r="C4646" s="19" t="str">
        <x:v>3. 逐日期成本、查询、时间与延迟</x:v>
      </x:c>
      <x:c r="D4646" s="19" t="str">
        <x:v>日期=2035-02-19_8；方法=FIXED_512</x:v>
      </x:c>
      <x:c r="E4646" s="19" t="str">
        <x:v>方法</x:v>
      </x:c>
      <x:c r="F4646" s="19" t="str">
        <x:v>FIXED_512</x:v>
      </x:c>
      <x:c r="G4646" s="19" t="str">
        <x:v>其他/配置</x:v>
      </x:c>
      <x:c r="H4646" s="19" t="str">
        <x:v>D:/Codex/GRL研究/outputs/grid88/GRID88_report.md</x:v>
      </x:c>
    </x:row>
    <x:row r="4647" ht="36" customHeight="1">
      <x:c r="A4647" s="19" t="str">
        <x:v>GRID88</x:v>
      </x:c>
      <x:c r="B4647" s="19" t="str">
        <x:v>GRID88_report.md</x:v>
      </x:c>
      <x:c r="C4647" s="19" t="str">
        <x:v>3. 逐日期成本、查询、时间与延迟</x:v>
      </x:c>
      <x:c r="D4647" s="19" t="str">
        <x:v>日期=2035-02-19_8；方法=FIXED_512</x:v>
      </x:c>
      <x:c r="E4647" s="19" t="str">
        <x:v>完成/步数</x:v>
      </x:c>
      <x:c r="F4647" s="19" t="str">
        <x:v>True/2017</x:v>
      </x:c>
      <x:c r="G4647" s="19" t="str">
        <x:v>质量/成本</x:v>
      </x:c>
      <x:c r="H4647" s="19" t="str">
        <x:v>D:/Codex/GRL研究/outputs/grid88/GRID88_report.md</x:v>
      </x:c>
    </x:row>
    <x:row r="4648" ht="36" customHeight="1">
      <x:c r="A4648" s="19" t="str">
        <x:v>GRID88</x:v>
      </x:c>
      <x:c r="B4648" s="19" t="str">
        <x:v>GRID88_report.md</x:v>
      </x:c>
      <x:c r="C4648" s="19" t="str">
        <x:v>3. 逐日期成本、查询、时间与延迟</x:v>
      </x:c>
      <x:c r="D4648" s="19" t="str">
        <x:v>日期=2035-02-19_8；方法=FIXED_512</x:v>
      </x:c>
      <x:c r="E4648" s="19" t="str">
        <x:v>完整周成本相对FULL</x:v>
      </x:c>
      <x:c r="F4648" s="19" t="str">
        <x:v>+0.4233%</x:v>
      </x:c>
      <x:c r="G4648" s="19" t="str">
        <x:v>质量/成本</x:v>
      </x:c>
      <x:c r="H4648" s="19" t="str">
        <x:v>D:/Codex/GRL研究/outputs/grid88/GRID88_report.md</x:v>
      </x:c>
    </x:row>
    <x:row r="4649" ht="36" customHeight="1">
      <x:c r="A4649" s="19" t="str">
        <x:v>GRID88</x:v>
      </x:c>
      <x:c r="B4649" s="19" t="str">
        <x:v>GRID88_report.md</x:v>
      </x:c>
      <x:c r="C4649" s="19" t="str">
        <x:v>3. 逐日期成本、查询、时间与延迟</x:v>
      </x:c>
      <x:c r="D4649" s="19" t="str">
        <x:v>日期=2035-02-19_8；方法=FIXED_512</x:v>
      </x:c>
      <x:c r="E4649" s="19" t="str">
        <x:v>质量通过</x:v>
      </x:c>
      <x:c r="F4649" s="19" t="str">
        <x:v>True</x:v>
      </x:c>
      <x:c r="G4649" s="19" t="str">
        <x:v>质量/成本</x:v>
      </x:c>
      <x:c r="H4649" s="19" t="str">
        <x:v>D:/Codex/GRL研究/outputs/grid88/GRID88_report.md</x:v>
      </x:c>
    </x:row>
    <x:row r="4650" ht="36" customHeight="1">
      <x:c r="A4650" s="19" t="str">
        <x:v>GRID88</x:v>
      </x:c>
      <x:c r="B4650" s="19" t="str">
        <x:v>GRID88_report.md</x:v>
      </x:c>
      <x:c r="C4650" s="19" t="str">
        <x:v>3. 逐日期成本、查询、时间与延迟</x:v>
      </x:c>
      <x:c r="D4650" s="19" t="str">
        <x:v>日期=2035-02-19_8；方法=FIXED_512</x:v>
      </x:c>
      <x:c r="E4650" s="19" t="str">
        <x:v>查询</x:v>
      </x:c>
      <x:c r="F4650" s="19" t="str">
        <x:v>9728</x:v>
      </x:c>
      <x:c r="G4650" s="19" t="str">
        <x:v>速度/计算</x:v>
      </x:c>
      <x:c r="H4650" s="19" t="str">
        <x:v>D:/Codex/GRL研究/outputs/grid88/GRID88_report.md</x:v>
      </x:c>
    </x:row>
    <x:row r="4651" ht="36" customHeight="1">
      <x:c r="A4651" s="19" t="str">
        <x:v>GRID88</x:v>
      </x:c>
      <x:c r="B4651" s="19" t="str">
        <x:v>GRID88_report.md</x:v>
      </x:c>
      <x:c r="C4651" s="19" t="str">
        <x:v>3. 逐日期成本、查询、时间与延迟</x:v>
      </x:c>
      <x:c r="D4651" s="19" t="str">
        <x:v>日期=2035-02-19_8；方法=FIXED_512</x:v>
      </x:c>
      <x:c r="E4651" s="19" t="str">
        <x:v>控制秒均值[最小,最大]</x:v>
      </x:c>
      <x:c r="F4651" s="19" t="str">
        <x:v>169.113[168.981,169.246]</x:v>
      </x:c>
      <x:c r="G4651" s="19" t="str">
        <x:v>速度/计算</x:v>
      </x:c>
      <x:c r="H4651" s="19" t="str">
        <x:v>D:/Codex/GRL研究/outputs/grid88/GRID88_report.md</x:v>
      </x:c>
    </x:row>
    <x:row r="4652" ht="36" customHeight="1">
      <x:c r="A4652" s="19" t="str">
        <x:v>GRID88</x:v>
      </x:c>
      <x:c r="B4652" s="19" t="str">
        <x:v>GRID88_report.md</x:v>
      </x:c>
      <x:c r="C4652" s="19" t="str">
        <x:v>3. 逐日期成本、查询、时间与延迟</x:v>
      </x:c>
      <x:c r="D4652" s="19" t="str">
        <x:v>日期=2035-02-19_8；方法=FIXED_512</x:v>
      </x:c>
      <x:c r="E4652" s="19" t="str">
        <x:v>P95秒</x:v>
      </x:c>
      <x:c r="F4652" s="19" t="str">
        <x:v>0.0727</x:v>
      </x:c>
      <x:c r="G4652" s="19" t="str">
        <x:v>速度/计算</x:v>
      </x:c>
      <x:c r="H4652" s="19" t="str">
        <x:v>D:/Codex/GRL研究/outputs/grid88/GRID88_report.md</x:v>
      </x:c>
    </x:row>
    <x:row r="4653" ht="36" customHeight="1">
      <x:c r="A4653" s="19" t="str">
        <x:v>GRID88</x:v>
      </x:c>
      <x:c r="B4653" s="19" t="str">
        <x:v>GRID88_report.md</x:v>
      </x:c>
      <x:c r="C4653" s="19" t="str">
        <x:v>3. 逐日期成本、查询、时间与延迟</x:v>
      </x:c>
      <x:c r="D4653" s="19" t="str">
        <x:v>日期=2035-04-02_9；方法=FRAME_GUARD</x:v>
      </x:c>
      <x:c r="E4653" s="19" t="str">
        <x:v>方法</x:v>
      </x:c>
      <x:c r="F4653" s="19" t="str">
        <x:v>FRAME_GUARD</x:v>
      </x:c>
      <x:c r="G4653" s="19" t="str">
        <x:v>其他/配置</x:v>
      </x:c>
      <x:c r="H4653" s="19" t="str">
        <x:v>D:/Codex/GRL研究/outputs/grid88/GRID88_report.md</x:v>
      </x:c>
    </x:row>
    <x:row r="4654" ht="36" customHeight="1">
      <x:c r="A4654" s="19" t="str">
        <x:v>GRID88</x:v>
      </x:c>
      <x:c r="B4654" s="19" t="str">
        <x:v>GRID88_report.md</x:v>
      </x:c>
      <x:c r="C4654" s="19" t="str">
        <x:v>3. 逐日期成本、查询、时间与延迟</x:v>
      </x:c>
      <x:c r="D4654" s="19" t="str">
        <x:v>日期=2035-04-02_9；方法=FRAME_GUARD</x:v>
      </x:c>
      <x:c r="E4654" s="19" t="str">
        <x:v>完成/步数</x:v>
      </x:c>
      <x:c r="F4654" s="19" t="str">
        <x:v>True/2017</x:v>
      </x:c>
      <x:c r="G4654" s="19" t="str">
        <x:v>质量/成本</x:v>
      </x:c>
      <x:c r="H4654" s="19" t="str">
        <x:v>D:/Codex/GRL研究/outputs/grid88/GRID88_report.md</x:v>
      </x:c>
    </x:row>
    <x:row r="4655" ht="36" customHeight="1">
      <x:c r="A4655" s="19" t="str">
        <x:v>GRID88</x:v>
      </x:c>
      <x:c r="B4655" s="19" t="str">
        <x:v>GRID88_report.md</x:v>
      </x:c>
      <x:c r="C4655" s="19" t="str">
        <x:v>3. 逐日期成本、查询、时间与延迟</x:v>
      </x:c>
      <x:c r="D4655" s="19" t="str">
        <x:v>日期=2035-04-02_9；方法=FRAME_GUARD</x:v>
      </x:c>
      <x:c r="E4655" s="19" t="str">
        <x:v>完整周成本相对FULL</x:v>
      </x:c>
      <x:c r="F4655" s="19" t="str">
        <x:v>-3.1580%</x:v>
      </x:c>
      <x:c r="G4655" s="19" t="str">
        <x:v>质量/成本</x:v>
      </x:c>
      <x:c r="H4655" s="19" t="str">
        <x:v>D:/Codex/GRL研究/outputs/grid88/GRID88_report.md</x:v>
      </x:c>
    </x:row>
    <x:row r="4656" ht="36" customHeight="1">
      <x:c r="A4656" s="19" t="str">
        <x:v>GRID88</x:v>
      </x:c>
      <x:c r="B4656" s="19" t="str">
        <x:v>GRID88_report.md</x:v>
      </x:c>
      <x:c r="C4656" s="19" t="str">
        <x:v>3. 逐日期成本、查询、时间与延迟</x:v>
      </x:c>
      <x:c r="D4656" s="19" t="str">
        <x:v>日期=2035-04-02_9；方法=FRAME_GUARD</x:v>
      </x:c>
      <x:c r="E4656" s="19" t="str">
        <x:v>质量通过</x:v>
      </x:c>
      <x:c r="F4656" s="19" t="str">
        <x:v>True</x:v>
      </x:c>
      <x:c r="G4656" s="19" t="str">
        <x:v>质量/成本</x:v>
      </x:c>
      <x:c r="H4656" s="19" t="str">
        <x:v>D:/Codex/GRL研究/outputs/grid88/GRID88_report.md</x:v>
      </x:c>
    </x:row>
    <x:row r="4657" ht="36" customHeight="1">
      <x:c r="A4657" s="19" t="str">
        <x:v>GRID88</x:v>
      </x:c>
      <x:c r="B4657" s="19" t="str">
        <x:v>GRID88_report.md</x:v>
      </x:c>
      <x:c r="C4657" s="19" t="str">
        <x:v>3. 逐日期成本、查询、时间与延迟</x:v>
      </x:c>
      <x:c r="D4657" s="19" t="str">
        <x:v>日期=2035-04-02_9；方法=FRAME_GUARD</x:v>
      </x:c>
      <x:c r="E4657" s="19" t="str">
        <x:v>查询</x:v>
      </x:c>
      <x:c r="F4657" s="19" t="str">
        <x:v>2619</x:v>
      </x:c>
      <x:c r="G4657" s="19" t="str">
        <x:v>速度/计算</x:v>
      </x:c>
      <x:c r="H4657" s="19" t="str">
        <x:v>D:/Codex/GRL研究/outputs/grid88/GRID88_report.md</x:v>
      </x:c>
    </x:row>
    <x:row r="4658" ht="36" customHeight="1">
      <x:c r="A4658" s="19" t="str">
        <x:v>GRID88</x:v>
      </x:c>
      <x:c r="B4658" s="19" t="str">
        <x:v>GRID88_report.md</x:v>
      </x:c>
      <x:c r="C4658" s="19" t="str">
        <x:v>3. 逐日期成本、查询、时间与延迟</x:v>
      </x:c>
      <x:c r="D4658" s="19" t="str">
        <x:v>日期=2035-04-02_9；方法=FRAME_GUARD</x:v>
      </x:c>
      <x:c r="E4658" s="19" t="str">
        <x:v>控制秒均值[最小,最大]</x:v>
      </x:c>
      <x:c r="F4658" s="19" t="str">
        <x:v>60.187[59.930,60.445]</x:v>
      </x:c>
      <x:c r="G4658" s="19" t="str">
        <x:v>速度/计算</x:v>
      </x:c>
      <x:c r="H4658" s="19" t="str">
        <x:v>D:/Codex/GRL研究/outputs/grid88/GRID88_report.md</x:v>
      </x:c>
    </x:row>
    <x:row r="4659" ht="36" customHeight="1">
      <x:c r="A4659" s="19" t="str">
        <x:v>GRID88</x:v>
      </x:c>
      <x:c r="B4659" s="19" t="str">
        <x:v>GRID88_report.md</x:v>
      </x:c>
      <x:c r="C4659" s="19" t="str">
        <x:v>3. 逐日期成本、查询、时间与延迟</x:v>
      </x:c>
      <x:c r="D4659" s="19" t="str">
        <x:v>日期=2035-04-02_9；方法=FRAME_GUARD</x:v>
      </x:c>
      <x:c r="E4659" s="19" t="str">
        <x:v>P95秒</x:v>
      </x:c>
      <x:c r="F4659" s="19" t="str">
        <x:v>0.0345</x:v>
      </x:c>
      <x:c r="G4659" s="19" t="str">
        <x:v>速度/计算</x:v>
      </x:c>
      <x:c r="H4659" s="19" t="str">
        <x:v>D:/Codex/GRL研究/outputs/grid88/GRID88_report.md</x:v>
      </x:c>
    </x:row>
    <x:row r="4660" ht="36" customHeight="1">
      <x:c r="A4660" s="19" t="str">
        <x:v>GRID88</x:v>
      </x:c>
      <x:c r="B4660" s="19" t="str">
        <x:v>GRID88_report.md</x:v>
      </x:c>
      <x:c r="C4660" s="19" t="str">
        <x:v>3. 逐日期成本、查询、时间与延迟</x:v>
      </x:c>
      <x:c r="D4660" s="19" t="str">
        <x:v>日期=2035-04-02_9；方法=FIXED_512</x:v>
      </x:c>
      <x:c r="E4660" s="19" t="str">
        <x:v>方法</x:v>
      </x:c>
      <x:c r="F4660" s="19" t="str">
        <x:v>FIXED_512</x:v>
      </x:c>
      <x:c r="G4660" s="19" t="str">
        <x:v>其他/配置</x:v>
      </x:c>
      <x:c r="H4660" s="19" t="str">
        <x:v>D:/Codex/GRL研究/outputs/grid88/GRID88_report.md</x:v>
      </x:c>
    </x:row>
    <x:row r="4661" ht="36" customHeight="1">
      <x:c r="A4661" s="19" t="str">
        <x:v>GRID88</x:v>
      </x:c>
      <x:c r="B4661" s="19" t="str">
        <x:v>GRID88_report.md</x:v>
      </x:c>
      <x:c r="C4661" s="19" t="str">
        <x:v>3. 逐日期成本、查询、时间与延迟</x:v>
      </x:c>
      <x:c r="D4661" s="19" t="str">
        <x:v>日期=2035-04-02_9；方法=FIXED_512</x:v>
      </x:c>
      <x:c r="E4661" s="19" t="str">
        <x:v>完成/步数</x:v>
      </x:c>
      <x:c r="F4661" s="19" t="str">
        <x:v>True/2017</x:v>
      </x:c>
      <x:c r="G4661" s="19" t="str">
        <x:v>质量/成本</x:v>
      </x:c>
      <x:c r="H4661" s="19" t="str">
        <x:v>D:/Codex/GRL研究/outputs/grid88/GRID88_report.md</x:v>
      </x:c>
    </x:row>
    <x:row r="4662" ht="36" customHeight="1">
      <x:c r="A4662" s="19" t="str">
        <x:v>GRID88</x:v>
      </x:c>
      <x:c r="B4662" s="19" t="str">
        <x:v>GRID88_report.md</x:v>
      </x:c>
      <x:c r="C4662" s="19" t="str">
        <x:v>3. 逐日期成本、查询、时间与延迟</x:v>
      </x:c>
      <x:c r="D4662" s="19" t="str">
        <x:v>日期=2035-04-02_9；方法=FIXED_512</x:v>
      </x:c>
      <x:c r="E4662" s="19" t="str">
        <x:v>完整周成本相对FULL</x:v>
      </x:c>
      <x:c r="F4662" s="19" t="str">
        <x:v>-4.5851%</x:v>
      </x:c>
      <x:c r="G4662" s="19" t="str">
        <x:v>质量/成本</x:v>
      </x:c>
      <x:c r="H4662" s="19" t="str">
        <x:v>D:/Codex/GRL研究/outputs/grid88/GRID88_report.md</x:v>
      </x:c>
    </x:row>
    <x:row r="4663" ht="36" customHeight="1">
      <x:c r="A4663" s="19" t="str">
        <x:v>GRID88</x:v>
      </x:c>
      <x:c r="B4663" s="19" t="str">
        <x:v>GRID88_report.md</x:v>
      </x:c>
      <x:c r="C4663" s="19" t="str">
        <x:v>3. 逐日期成本、查询、时间与延迟</x:v>
      </x:c>
      <x:c r="D4663" s="19" t="str">
        <x:v>日期=2035-04-02_9；方法=FIXED_512</x:v>
      </x:c>
      <x:c r="E4663" s="19" t="str">
        <x:v>质量通过</x:v>
      </x:c>
      <x:c r="F4663" s="19" t="str">
        <x:v>True</x:v>
      </x:c>
      <x:c r="G4663" s="19" t="str">
        <x:v>质量/成本</x:v>
      </x:c>
      <x:c r="H4663" s="19" t="str">
        <x:v>D:/Codex/GRL研究/outputs/grid88/GRID88_report.md</x:v>
      </x:c>
    </x:row>
    <x:row r="4664" ht="36" customHeight="1">
      <x:c r="A4664" s="19" t="str">
        <x:v>GRID88</x:v>
      </x:c>
      <x:c r="B4664" s="19" t="str">
        <x:v>GRID88_report.md</x:v>
      </x:c>
      <x:c r="C4664" s="19" t="str">
        <x:v>3. 逐日期成本、查询、时间与延迟</x:v>
      </x:c>
      <x:c r="D4664" s="19" t="str">
        <x:v>日期=2035-04-02_9；方法=FIXED_512</x:v>
      </x:c>
      <x:c r="E4664" s="19" t="str">
        <x:v>查询</x:v>
      </x:c>
      <x:c r="F4664" s="19" t="str">
        <x:v>4608</x:v>
      </x:c>
      <x:c r="G4664" s="19" t="str">
        <x:v>速度/计算</x:v>
      </x:c>
      <x:c r="H4664" s="19" t="str">
        <x:v>D:/Codex/GRL研究/outputs/grid88/GRID88_report.md</x:v>
      </x:c>
    </x:row>
    <x:row r="4665" ht="36" customHeight="1">
      <x:c r="A4665" s="19" t="str">
        <x:v>GRID88</x:v>
      </x:c>
      <x:c r="B4665" s="19" t="str">
        <x:v>GRID88_report.md</x:v>
      </x:c>
      <x:c r="C4665" s="19" t="str">
        <x:v>3. 逐日期成本、查询、时间与延迟</x:v>
      </x:c>
      <x:c r="D4665" s="19" t="str">
        <x:v>日期=2035-04-02_9；方法=FIXED_512</x:v>
      </x:c>
      <x:c r="E4665" s="19" t="str">
        <x:v>控制秒均值[最小,最大]</x:v>
      </x:c>
      <x:c r="F4665" s="19" t="str">
        <x:v>67.112[66.998,67.227]</x:v>
      </x:c>
      <x:c r="G4665" s="19" t="str">
        <x:v>速度/计算</x:v>
      </x:c>
      <x:c r="H4665" s="19" t="str">
        <x:v>D:/Codex/GRL研究/outputs/grid88/GRID88_report.md</x:v>
      </x:c>
    </x:row>
    <x:row r="4666" ht="36" customHeight="1">
      <x:c r="A4666" s="19" t="str">
        <x:v>GRID88</x:v>
      </x:c>
      <x:c r="B4666" s="19" t="str">
        <x:v>GRID88_report.md</x:v>
      </x:c>
      <x:c r="C4666" s="19" t="str">
        <x:v>3. 逐日期成本、查询、时间与延迟</x:v>
      </x:c>
      <x:c r="D4666" s="19" t="str">
        <x:v>日期=2035-04-02_9；方法=FIXED_512</x:v>
      </x:c>
      <x:c r="E4666" s="19" t="str">
        <x:v>P95秒</x:v>
      </x:c>
      <x:c r="F4666" s="19" t="str">
        <x:v>0.0355</x:v>
      </x:c>
      <x:c r="G4666" s="19" t="str">
        <x:v>速度/计算</x:v>
      </x:c>
      <x:c r="H4666" s="19" t="str">
        <x:v>D:/Codex/GRL研究/outputs/grid88/GRID88_report.md</x:v>
      </x:c>
    </x:row>
    <x:row r="4667" ht="36" customHeight="1">
      <x:c r="A4667" s="19" t="str">
        <x:v>GRID88</x:v>
      </x:c>
      <x:c r="B4667" s="19" t="str">
        <x:v>GRID88_report.md</x:v>
      </x:c>
      <x:c r="C4667" s="19" t="str">
        <x:v>3. 逐日期成本、查询、时间与延迟</x:v>
      </x:c>
      <x:c r="D4667" s="19" t="str">
        <x:v>日期=2035-07-09_2；方法=FRAME_GUARD</x:v>
      </x:c>
      <x:c r="E4667" s="19" t="str">
        <x:v>方法</x:v>
      </x:c>
      <x:c r="F4667" s="19" t="str">
        <x:v>FRAME_GUARD</x:v>
      </x:c>
      <x:c r="G4667" s="19" t="str">
        <x:v>其他/配置</x:v>
      </x:c>
      <x:c r="H4667" s="19" t="str">
        <x:v>D:/Codex/GRL研究/outputs/grid88/GRID88_report.md</x:v>
      </x:c>
    </x:row>
    <x:row r="4668" ht="36" customHeight="1">
      <x:c r="A4668" s="19" t="str">
        <x:v>GRID88</x:v>
      </x:c>
      <x:c r="B4668" s="19" t="str">
        <x:v>GRID88_report.md</x:v>
      </x:c>
      <x:c r="C4668" s="19" t="str">
        <x:v>3. 逐日期成本、查询、时间与延迟</x:v>
      </x:c>
      <x:c r="D4668" s="19" t="str">
        <x:v>日期=2035-07-09_2；方法=FRAME_GUARD</x:v>
      </x:c>
      <x:c r="E4668" s="19" t="str">
        <x:v>完成/步数</x:v>
      </x:c>
      <x:c r="F4668" s="19" t="str">
        <x:v>True/2017</x:v>
      </x:c>
      <x:c r="G4668" s="19" t="str">
        <x:v>质量/成本</x:v>
      </x:c>
      <x:c r="H4668" s="19" t="str">
        <x:v>D:/Codex/GRL研究/outputs/grid88/GRID88_report.md</x:v>
      </x:c>
    </x:row>
    <x:row r="4669" ht="36" customHeight="1">
      <x:c r="A4669" s="19" t="str">
        <x:v>GRID88</x:v>
      </x:c>
      <x:c r="B4669" s="19" t="str">
        <x:v>GRID88_report.md</x:v>
      </x:c>
      <x:c r="C4669" s="19" t="str">
        <x:v>3. 逐日期成本、查询、时间与延迟</x:v>
      </x:c>
      <x:c r="D4669" s="19" t="str">
        <x:v>日期=2035-07-09_2；方法=FRAME_GUARD</x:v>
      </x:c>
      <x:c r="E4669" s="19" t="str">
        <x:v>完整周成本相对FULL</x:v>
      </x:c>
      <x:c r="F4669" s="19" t="str">
        <x:v>-0.2504%</x:v>
      </x:c>
      <x:c r="G4669" s="19" t="str">
        <x:v>质量/成本</x:v>
      </x:c>
      <x:c r="H4669" s="19" t="str">
        <x:v>D:/Codex/GRL研究/outputs/grid88/GRID88_report.md</x:v>
      </x:c>
    </x:row>
    <x:row r="4670" ht="36" customHeight="1">
      <x:c r="A4670" s="19" t="str">
        <x:v>GRID88</x:v>
      </x:c>
      <x:c r="B4670" s="19" t="str">
        <x:v>GRID88_report.md</x:v>
      </x:c>
      <x:c r="C4670" s="19" t="str">
        <x:v>3. 逐日期成本、查询、时间与延迟</x:v>
      </x:c>
      <x:c r="D4670" s="19" t="str">
        <x:v>日期=2035-07-09_2；方法=FRAME_GUARD</x:v>
      </x:c>
      <x:c r="E4670" s="19" t="str">
        <x:v>质量通过</x:v>
      </x:c>
      <x:c r="F4670" s="19" t="str">
        <x:v>True</x:v>
      </x:c>
      <x:c r="G4670" s="19" t="str">
        <x:v>质量/成本</x:v>
      </x:c>
      <x:c r="H4670" s="19" t="str">
        <x:v>D:/Codex/GRL研究/outputs/grid88/GRID88_report.md</x:v>
      </x:c>
    </x:row>
    <x:row r="4671" ht="36" customHeight="1">
      <x:c r="A4671" s="19" t="str">
        <x:v>GRID88</x:v>
      </x:c>
      <x:c r="B4671" s="19" t="str">
        <x:v>GRID88_report.md</x:v>
      </x:c>
      <x:c r="C4671" s="19" t="str">
        <x:v>3. 逐日期成本、查询、时间与延迟</x:v>
      </x:c>
      <x:c r="D4671" s="19" t="str">
        <x:v>日期=2035-07-09_2；方法=FRAME_GUARD</x:v>
      </x:c>
      <x:c r="E4671" s="19" t="str">
        <x:v>查询</x:v>
      </x:c>
      <x:c r="F4671" s="19" t="str">
        <x:v>5120</x:v>
      </x:c>
      <x:c r="G4671" s="19" t="str">
        <x:v>速度/计算</x:v>
      </x:c>
      <x:c r="H4671" s="19" t="str">
        <x:v>D:/Codex/GRL研究/outputs/grid88/GRID88_report.md</x:v>
      </x:c>
    </x:row>
    <x:row r="4672" ht="36" customHeight="1">
      <x:c r="A4672" s="19" t="str">
        <x:v>GRID88</x:v>
      </x:c>
      <x:c r="B4672" s="19" t="str">
        <x:v>GRID88_report.md</x:v>
      </x:c>
      <x:c r="C4672" s="19" t="str">
        <x:v>3. 逐日期成本、查询、时间与延迟</x:v>
      </x:c>
      <x:c r="D4672" s="19" t="str">
        <x:v>日期=2035-07-09_2；方法=FRAME_GUARD</x:v>
      </x:c>
      <x:c r="E4672" s="19" t="str">
        <x:v>控制秒均值[最小,最大]</x:v>
      </x:c>
      <x:c r="F4672" s="19" t="str">
        <x:v>40.341[40.325,40.358]</x:v>
      </x:c>
      <x:c r="G4672" s="19" t="str">
        <x:v>速度/计算</x:v>
      </x:c>
      <x:c r="H4672" s="19" t="str">
        <x:v>D:/Codex/GRL研究/outputs/grid88/GRID88_report.md</x:v>
      </x:c>
    </x:row>
    <x:row r="4673" ht="36" customHeight="1">
      <x:c r="A4673" s="19" t="str">
        <x:v>GRID88</x:v>
      </x:c>
      <x:c r="B4673" s="19" t="str">
        <x:v>GRID88_report.md</x:v>
      </x:c>
      <x:c r="C4673" s="19" t="str">
        <x:v>3. 逐日期成本、查询、时间与延迟</x:v>
      </x:c>
      <x:c r="D4673" s="19" t="str">
        <x:v>日期=2035-07-09_2；方法=FRAME_GUARD</x:v>
      </x:c>
      <x:c r="E4673" s="19" t="str">
        <x:v>P95秒</x:v>
      </x:c>
      <x:c r="F4673" s="19" t="str">
        <x:v>0.0123</x:v>
      </x:c>
      <x:c r="G4673" s="19" t="str">
        <x:v>速度/计算</x:v>
      </x:c>
      <x:c r="H4673" s="19" t="str">
        <x:v>D:/Codex/GRL研究/outputs/grid88/GRID88_report.md</x:v>
      </x:c>
    </x:row>
    <x:row r="4674" ht="36" customHeight="1">
      <x:c r="A4674" s="19" t="str">
        <x:v>GRID88</x:v>
      </x:c>
      <x:c r="B4674" s="19" t="str">
        <x:v>GRID88_report.md</x:v>
      </x:c>
      <x:c r="C4674" s="19" t="str">
        <x:v>3. 逐日期成本、查询、时间与延迟</x:v>
      </x:c>
      <x:c r="D4674" s="19" t="str">
        <x:v>日期=2035-07-09_2；方法=FIXED_512</x:v>
      </x:c>
      <x:c r="E4674" s="19" t="str">
        <x:v>方法</x:v>
      </x:c>
      <x:c r="F4674" s="19" t="str">
        <x:v>FIXED_512</x:v>
      </x:c>
      <x:c r="G4674" s="19" t="str">
        <x:v>其他/配置</x:v>
      </x:c>
      <x:c r="H4674" s="19" t="str">
        <x:v>D:/Codex/GRL研究/outputs/grid88/GRID88_report.md</x:v>
      </x:c>
    </x:row>
    <x:row r="4675" ht="36" customHeight="1">
      <x:c r="A4675" s="19" t="str">
        <x:v>GRID88</x:v>
      </x:c>
      <x:c r="B4675" s="19" t="str">
        <x:v>GRID88_report.md</x:v>
      </x:c>
      <x:c r="C4675" s="19" t="str">
        <x:v>3. 逐日期成本、查询、时间与延迟</x:v>
      </x:c>
      <x:c r="D4675" s="19" t="str">
        <x:v>日期=2035-07-09_2；方法=FIXED_512</x:v>
      </x:c>
      <x:c r="E4675" s="19" t="str">
        <x:v>完成/步数</x:v>
      </x:c>
      <x:c r="F4675" s="19" t="str">
        <x:v>True/2017</x:v>
      </x:c>
      <x:c r="G4675" s="19" t="str">
        <x:v>质量/成本</x:v>
      </x:c>
      <x:c r="H4675" s="19" t="str">
        <x:v>D:/Codex/GRL研究/outputs/grid88/GRID88_report.md</x:v>
      </x:c>
    </x:row>
    <x:row r="4676" ht="36" customHeight="1">
      <x:c r="A4676" s="19" t="str">
        <x:v>GRID88</x:v>
      </x:c>
      <x:c r="B4676" s="19" t="str">
        <x:v>GRID88_report.md</x:v>
      </x:c>
      <x:c r="C4676" s="19" t="str">
        <x:v>3. 逐日期成本、查询、时间与延迟</x:v>
      </x:c>
      <x:c r="D4676" s="19" t="str">
        <x:v>日期=2035-07-09_2；方法=FIXED_512</x:v>
      </x:c>
      <x:c r="E4676" s="19" t="str">
        <x:v>完整周成本相对FULL</x:v>
      </x:c>
      <x:c r="F4676" s="19" t="str">
        <x:v>+1.4550%</x:v>
      </x:c>
      <x:c r="G4676" s="19" t="str">
        <x:v>质量/成本</x:v>
      </x:c>
      <x:c r="H4676" s="19" t="str">
        <x:v>D:/Codex/GRL研究/outputs/grid88/GRID88_report.md</x:v>
      </x:c>
    </x:row>
    <x:row r="4677" ht="36" customHeight="1">
      <x:c r="A4677" s="19" t="str">
        <x:v>GRID88</x:v>
      </x:c>
      <x:c r="B4677" s="19" t="str">
        <x:v>GRID88_report.md</x:v>
      </x:c>
      <x:c r="C4677" s="19" t="str">
        <x:v>3. 逐日期成本、查询、时间与延迟</x:v>
      </x:c>
      <x:c r="D4677" s="19" t="str">
        <x:v>日期=2035-07-09_2；方法=FIXED_512</x:v>
      </x:c>
      <x:c r="E4677" s="19" t="str">
        <x:v>质量通过</x:v>
      </x:c>
      <x:c r="F4677" s="19" t="str">
        <x:v>False</x:v>
      </x:c>
      <x:c r="G4677" s="19" t="str">
        <x:v>质量/成本</x:v>
      </x:c>
      <x:c r="H4677" s="19" t="str">
        <x:v>D:/Codex/GRL研究/outputs/grid88/GRID88_report.md</x:v>
      </x:c>
    </x:row>
    <x:row r="4678" ht="36" customHeight="1">
      <x:c r="A4678" s="19" t="str">
        <x:v>GRID88</x:v>
      </x:c>
      <x:c r="B4678" s="19" t="str">
        <x:v>GRID88_report.md</x:v>
      </x:c>
      <x:c r="C4678" s="19" t="str">
        <x:v>3. 逐日期成本、查询、时间与延迟</x:v>
      </x:c>
      <x:c r="D4678" s="19" t="str">
        <x:v>日期=2035-07-09_2；方法=FIXED_512</x:v>
      </x:c>
      <x:c r="E4678" s="19" t="str">
        <x:v>查询</x:v>
      </x:c>
      <x:c r="F4678" s="19" t="str">
        <x:v>5120</x:v>
      </x:c>
      <x:c r="G4678" s="19" t="str">
        <x:v>速度/计算</x:v>
      </x:c>
      <x:c r="H4678" s="19" t="str">
        <x:v>D:/Codex/GRL研究/outputs/grid88/GRID88_report.md</x:v>
      </x:c>
    </x:row>
    <x:row r="4679" ht="36" customHeight="1">
      <x:c r="A4679" s="19" t="str">
        <x:v>GRID88</x:v>
      </x:c>
      <x:c r="B4679" s="19" t="str">
        <x:v>GRID88_report.md</x:v>
      </x:c>
      <x:c r="C4679" s="19" t="str">
        <x:v>3. 逐日期成本、查询、时间与延迟</x:v>
      </x:c>
      <x:c r="D4679" s="19" t="str">
        <x:v>日期=2035-07-09_2；方法=FIXED_512</x:v>
      </x:c>
      <x:c r="E4679" s="19" t="str">
        <x:v>控制秒均值[最小,最大]</x:v>
      </x:c>
      <x:c r="F4679" s="19" t="str">
        <x:v>34.941[34.406,35.477]</x:v>
      </x:c>
      <x:c r="G4679" s="19" t="str">
        <x:v>速度/计算</x:v>
      </x:c>
      <x:c r="H4679" s="19" t="str">
        <x:v>D:/Codex/GRL研究/outputs/grid88/GRID88_report.md</x:v>
      </x:c>
    </x:row>
    <x:row r="4680" ht="36" customHeight="1">
      <x:c r="A4680" s="19" t="str">
        <x:v>GRID88</x:v>
      </x:c>
      <x:c r="B4680" s="19" t="str">
        <x:v>GRID88_report.md</x:v>
      </x:c>
      <x:c r="C4680" s="19" t="str">
        <x:v>3. 逐日期成本、查询、时间与延迟</x:v>
      </x:c>
      <x:c r="D4680" s="19" t="str">
        <x:v>日期=2035-07-09_2；方法=FIXED_512</x:v>
      </x:c>
      <x:c r="E4680" s="19" t="str">
        <x:v>P95秒</x:v>
      </x:c>
      <x:c r="F4680" s="19" t="str">
        <x:v>0.0081</x:v>
      </x:c>
      <x:c r="G4680" s="19" t="str">
        <x:v>速度/计算</x:v>
      </x:c>
      <x:c r="H4680" s="19" t="str">
        <x:v>D:/Codex/GRL研究/outputs/grid88/GRID88_report.md</x:v>
      </x:c>
    </x:row>
    <x:row r="4681" ht="36" customHeight="1">
      <x:c r="A4681" s="19" t="str">
        <x:v>GRID88</x:v>
      </x:c>
      <x:c r="B4681" s="19" t="str">
        <x:v>GRID88_report.md</x:v>
      </x:c>
      <x:c r="C4681" s="19" t="str">
        <x:v>3. 逐日期成本、查询、时间与延迟</x:v>
      </x:c>
      <x:c r="D4681" s="19" t="str">
        <x:v>日期=2035-12-10_6；方法=FRAME_GUARD</x:v>
      </x:c>
      <x:c r="E4681" s="19" t="str">
        <x:v>方法</x:v>
      </x:c>
      <x:c r="F4681" s="19" t="str">
        <x:v>FRAME_GUARD</x:v>
      </x:c>
      <x:c r="G4681" s="19" t="str">
        <x:v>其他/配置</x:v>
      </x:c>
      <x:c r="H4681" s="19" t="str">
        <x:v>D:/Codex/GRL研究/outputs/grid88/GRID88_report.md</x:v>
      </x:c>
    </x:row>
    <x:row r="4682" ht="36" customHeight="1">
      <x:c r="A4682" s="19" t="str">
        <x:v>GRID88</x:v>
      </x:c>
      <x:c r="B4682" s="19" t="str">
        <x:v>GRID88_report.md</x:v>
      </x:c>
      <x:c r="C4682" s="19" t="str">
        <x:v>3. 逐日期成本、查询、时间与延迟</x:v>
      </x:c>
      <x:c r="D4682" s="19" t="str">
        <x:v>日期=2035-12-10_6；方法=FRAME_GUARD</x:v>
      </x:c>
      <x:c r="E4682" s="19" t="str">
        <x:v>完成/步数</x:v>
      </x:c>
      <x:c r="F4682" s="19" t="str">
        <x:v>True/2017</x:v>
      </x:c>
      <x:c r="G4682" s="19" t="str">
        <x:v>质量/成本</x:v>
      </x:c>
      <x:c r="H4682" s="19" t="str">
        <x:v>D:/Codex/GRL研究/outputs/grid88/GRID88_report.md</x:v>
      </x:c>
    </x:row>
    <x:row r="4683" ht="36" customHeight="1">
      <x:c r="A4683" s="19" t="str">
        <x:v>GRID88</x:v>
      </x:c>
      <x:c r="B4683" s="19" t="str">
        <x:v>GRID88_report.md</x:v>
      </x:c>
      <x:c r="C4683" s="19" t="str">
        <x:v>3. 逐日期成本、查询、时间与延迟</x:v>
      </x:c>
      <x:c r="D4683" s="19" t="str">
        <x:v>日期=2035-12-10_6；方法=FRAME_GUARD</x:v>
      </x:c>
      <x:c r="E4683" s="19" t="str">
        <x:v>完整周成本相对FULL</x:v>
      </x:c>
      <x:c r="F4683" s="19" t="str">
        <x:v>-0.0313%</x:v>
      </x:c>
      <x:c r="G4683" s="19" t="str">
        <x:v>质量/成本</x:v>
      </x:c>
      <x:c r="H4683" s="19" t="str">
        <x:v>D:/Codex/GRL研究/outputs/grid88/GRID88_report.md</x:v>
      </x:c>
    </x:row>
    <x:row r="4684" ht="36" customHeight="1">
      <x:c r="A4684" s="19" t="str">
        <x:v>GRID88</x:v>
      </x:c>
      <x:c r="B4684" s="19" t="str">
        <x:v>GRID88_report.md</x:v>
      </x:c>
      <x:c r="C4684" s="19" t="str">
        <x:v>3. 逐日期成本、查询、时间与延迟</x:v>
      </x:c>
      <x:c r="D4684" s="19" t="str">
        <x:v>日期=2035-12-10_6；方法=FRAME_GUARD</x:v>
      </x:c>
      <x:c r="E4684" s="19" t="str">
        <x:v>质量通过</x:v>
      </x:c>
      <x:c r="F4684" s="19" t="str">
        <x:v>True</x:v>
      </x:c>
      <x:c r="G4684" s="19" t="str">
        <x:v>质量/成本</x:v>
      </x:c>
      <x:c r="H4684" s="19" t="str">
        <x:v>D:/Codex/GRL研究/outputs/grid88/GRID88_report.md</x:v>
      </x:c>
    </x:row>
    <x:row r="4685" ht="36" customHeight="1">
      <x:c r="A4685" s="19" t="str">
        <x:v>GRID88</x:v>
      </x:c>
      <x:c r="B4685" s="19" t="str">
        <x:v>GRID88_report.md</x:v>
      </x:c>
      <x:c r="C4685" s="19" t="str">
        <x:v>3. 逐日期成本、查询、时间与延迟</x:v>
      </x:c>
      <x:c r="D4685" s="19" t="str">
        <x:v>日期=2035-12-10_6；方法=FRAME_GUARD</x:v>
      </x:c>
      <x:c r="E4685" s="19" t="str">
        <x:v>查询</x:v>
      </x:c>
      <x:c r="F4685" s="19" t="str">
        <x:v>4351</x:v>
      </x:c>
      <x:c r="G4685" s="19" t="str">
        <x:v>速度/计算</x:v>
      </x:c>
      <x:c r="H4685" s="19" t="str">
        <x:v>D:/Codex/GRL研究/outputs/grid88/GRID88_report.md</x:v>
      </x:c>
    </x:row>
    <x:row r="4686" ht="36" customHeight="1">
      <x:c r="A4686" s="19" t="str">
        <x:v>GRID88</x:v>
      </x:c>
      <x:c r="B4686" s="19" t="str">
        <x:v>GRID88_report.md</x:v>
      </x:c>
      <x:c r="C4686" s="19" t="str">
        <x:v>3. 逐日期成本、查询、时间与延迟</x:v>
      </x:c>
      <x:c r="D4686" s="19" t="str">
        <x:v>日期=2035-12-10_6；方法=FRAME_GUARD</x:v>
      </x:c>
      <x:c r="E4686" s="19" t="str">
        <x:v>控制秒均值[最小,最大]</x:v>
      </x:c>
      <x:c r="F4686" s="19" t="str">
        <x:v>126.823[124.633,129.013]</x:v>
      </x:c>
      <x:c r="G4686" s="19" t="str">
        <x:v>速度/计算</x:v>
      </x:c>
      <x:c r="H4686" s="19" t="str">
        <x:v>D:/Codex/GRL研究/outputs/grid88/GRID88_report.md</x:v>
      </x:c>
    </x:row>
    <x:row r="4687" ht="36" customHeight="1">
      <x:c r="A4687" s="19" t="str">
        <x:v>GRID88</x:v>
      </x:c>
      <x:c r="B4687" s="19" t="str">
        <x:v>GRID88_report.md</x:v>
      </x:c>
      <x:c r="C4687" s="19" t="str">
        <x:v>3. 逐日期成本、查询、时间与延迟</x:v>
      </x:c>
      <x:c r="D4687" s="19" t="str">
        <x:v>日期=2035-12-10_6；方法=FRAME_GUARD</x:v>
      </x:c>
      <x:c r="E4687" s="19" t="str">
        <x:v>P95秒</x:v>
      </x:c>
      <x:c r="F4687" s="19" t="str">
        <x:v>0.0684</x:v>
      </x:c>
      <x:c r="G4687" s="19" t="str">
        <x:v>速度/计算</x:v>
      </x:c>
      <x:c r="H4687" s="19" t="str">
        <x:v>D:/Codex/GRL研究/outputs/grid88/GRID88_report.md</x:v>
      </x:c>
    </x:row>
    <x:row r="4688" ht="36" customHeight="1">
      <x:c r="A4688" s="19" t="str">
        <x:v>GRID88</x:v>
      </x:c>
      <x:c r="B4688" s="19" t="str">
        <x:v>GRID88_report.md</x:v>
      </x:c>
      <x:c r="C4688" s="19" t="str">
        <x:v>3. 逐日期成本、查询、时间与延迟</x:v>
      </x:c>
      <x:c r="D4688" s="19" t="str">
        <x:v>日期=2035-12-10_6；方法=FIXED_512</x:v>
      </x:c>
      <x:c r="E4688" s="19" t="str">
        <x:v>方法</x:v>
      </x:c>
      <x:c r="F4688" s="19" t="str">
        <x:v>FIXED_512</x:v>
      </x:c>
      <x:c r="G4688" s="19" t="str">
        <x:v>其他/配置</x:v>
      </x:c>
      <x:c r="H4688" s="19" t="str">
        <x:v>D:/Codex/GRL研究/outputs/grid88/GRID88_report.md</x:v>
      </x:c>
    </x:row>
    <x:row r="4689" ht="36" customHeight="1">
      <x:c r="A4689" s="19" t="str">
        <x:v>GRID88</x:v>
      </x:c>
      <x:c r="B4689" s="19" t="str">
        <x:v>GRID88_report.md</x:v>
      </x:c>
      <x:c r="C4689" s="19" t="str">
        <x:v>3. 逐日期成本、查询、时间与延迟</x:v>
      </x:c>
      <x:c r="D4689" s="19" t="str">
        <x:v>日期=2035-12-10_6；方法=FIXED_512</x:v>
      </x:c>
      <x:c r="E4689" s="19" t="str">
        <x:v>完成/步数</x:v>
      </x:c>
      <x:c r="F4689" s="19" t="str">
        <x:v>True/2017</x:v>
      </x:c>
      <x:c r="G4689" s="19" t="str">
        <x:v>质量/成本</x:v>
      </x:c>
      <x:c r="H4689" s="19" t="str">
        <x:v>D:/Codex/GRL研究/outputs/grid88/GRID88_report.md</x:v>
      </x:c>
    </x:row>
    <x:row r="4690" ht="36" customHeight="1">
      <x:c r="A4690" s="19" t="str">
        <x:v>GRID88</x:v>
      </x:c>
      <x:c r="B4690" s="19" t="str">
        <x:v>GRID88_report.md</x:v>
      </x:c>
      <x:c r="C4690" s="19" t="str">
        <x:v>3. 逐日期成本、查询、时间与延迟</x:v>
      </x:c>
      <x:c r="D4690" s="19" t="str">
        <x:v>日期=2035-12-10_6；方法=FIXED_512</x:v>
      </x:c>
      <x:c r="E4690" s="19" t="str">
        <x:v>完整周成本相对FULL</x:v>
      </x:c>
      <x:c r="F4690" s="19" t="str">
        <x:v>+0.5064%</x:v>
      </x:c>
      <x:c r="G4690" s="19" t="str">
        <x:v>质量/成本</x:v>
      </x:c>
      <x:c r="H4690" s="19" t="str">
        <x:v>D:/Codex/GRL研究/outputs/grid88/GRID88_report.md</x:v>
      </x:c>
    </x:row>
    <x:row r="4691" ht="36" customHeight="1">
      <x:c r="A4691" s="19" t="str">
        <x:v>GRID88</x:v>
      </x:c>
      <x:c r="B4691" s="19" t="str">
        <x:v>GRID88_report.md</x:v>
      </x:c>
      <x:c r="C4691" s="19" t="str">
        <x:v>3. 逐日期成本、查询、时间与延迟</x:v>
      </x:c>
      <x:c r="D4691" s="19" t="str">
        <x:v>日期=2035-12-10_6；方法=FIXED_512</x:v>
      </x:c>
      <x:c r="E4691" s="19" t="str">
        <x:v>质量通过</x:v>
      </x:c>
      <x:c r="F4691" s="19" t="str">
        <x:v>False</x:v>
      </x:c>
      <x:c r="G4691" s="19" t="str">
        <x:v>质量/成本</x:v>
      </x:c>
      <x:c r="H4691" s="19" t="str">
        <x:v>D:/Codex/GRL研究/outputs/grid88/GRID88_report.md</x:v>
      </x:c>
    </x:row>
    <x:row r="4692" ht="36" customHeight="1">
      <x:c r="A4692" s="19" t="str">
        <x:v>GRID88</x:v>
      </x:c>
      <x:c r="B4692" s="19" t="str">
        <x:v>GRID88_report.md</x:v>
      </x:c>
      <x:c r="C4692" s="19" t="str">
        <x:v>3. 逐日期成本、查询、时间与延迟</x:v>
      </x:c>
      <x:c r="D4692" s="19" t="str">
        <x:v>日期=2035-12-10_6；方法=FIXED_512</x:v>
      </x:c>
      <x:c r="E4692" s="19" t="str">
        <x:v>查询</x:v>
      </x:c>
      <x:c r="F4692" s="19" t="str">
        <x:v>7168</x:v>
      </x:c>
      <x:c r="G4692" s="19" t="str">
        <x:v>速度/计算</x:v>
      </x:c>
      <x:c r="H4692" s="19" t="str">
        <x:v>D:/Codex/GRL研究/outputs/grid88/GRID88_report.md</x:v>
      </x:c>
    </x:row>
    <x:row r="4693" ht="36" customHeight="1">
      <x:c r="A4693" s="19" t="str">
        <x:v>GRID88</x:v>
      </x:c>
      <x:c r="B4693" s="19" t="str">
        <x:v>GRID88_report.md</x:v>
      </x:c>
      <x:c r="C4693" s="19" t="str">
        <x:v>3. 逐日期成本、查询、时间与延迟</x:v>
      </x:c>
      <x:c r="D4693" s="19" t="str">
        <x:v>日期=2035-12-10_6；方法=FIXED_512</x:v>
      </x:c>
      <x:c r="E4693" s="19" t="str">
        <x:v>控制秒均值[最小,最大]</x:v>
      </x:c>
      <x:c r="F4693" s="19" t="str">
        <x:v>140.802[139.094,142.511]</x:v>
      </x:c>
      <x:c r="G4693" s="19" t="str">
        <x:v>速度/计算</x:v>
      </x:c>
      <x:c r="H4693" s="19" t="str">
        <x:v>D:/Codex/GRL研究/outputs/grid88/GRID88_report.md</x:v>
      </x:c>
    </x:row>
    <x:row r="4694" ht="36" customHeight="1">
      <x:c r="A4694" s="19" t="str">
        <x:v>GRID88</x:v>
      </x:c>
      <x:c r="B4694" s="19" t="str">
        <x:v>GRID88_report.md</x:v>
      </x:c>
      <x:c r="C4694" s="19" t="str">
        <x:v>3. 逐日期成本、查询、时间与延迟</x:v>
      </x:c>
      <x:c r="D4694" s="19" t="str">
        <x:v>日期=2035-12-10_6；方法=FIXED_512</x:v>
      </x:c>
      <x:c r="E4694" s="19" t="str">
        <x:v>P95秒</x:v>
      </x:c>
      <x:c r="F4694" s="19" t="str">
        <x:v>0.0980</x:v>
      </x:c>
      <x:c r="G4694" s="19" t="str">
        <x:v>速度/计算</x:v>
      </x:c>
      <x:c r="H4694" s="19" t="str">
        <x:v>D:/Codex/GRL研究/outputs/grid88/GRID88_report.md</x:v>
      </x:c>
    </x:row>
    <x:row r="4695" ht="36" customHeight="1">
      <x:c r="A4695" s="19" t="str">
        <x:v>GRID88</x:v>
      </x:c>
      <x:c r="B4695" s="19" t="str">
        <x:v>GRID88_report.md</x:v>
      </x:c>
      <x:c r="C4695" s="19" t="str">
        <x:v>3. 逐日期成本、查询、时间与延迟</x:v>
      </x:c>
      <x:c r="D4695" s="19" t="str">
        <x:v>日期=2035-12-17_1；方法=FRAME_GUARD</x:v>
      </x:c>
      <x:c r="E4695" s="19" t="str">
        <x:v>方法</x:v>
      </x:c>
      <x:c r="F4695" s="19" t="str">
        <x:v>FRAME_GUARD</x:v>
      </x:c>
      <x:c r="G4695" s="19" t="str">
        <x:v>其他/配置</x:v>
      </x:c>
      <x:c r="H4695" s="19" t="str">
        <x:v>D:/Codex/GRL研究/outputs/grid88/GRID88_report.md</x:v>
      </x:c>
    </x:row>
    <x:row r="4696" ht="36" customHeight="1">
      <x:c r="A4696" s="19" t="str">
        <x:v>GRID88</x:v>
      </x:c>
      <x:c r="B4696" s="19" t="str">
        <x:v>GRID88_report.md</x:v>
      </x:c>
      <x:c r="C4696" s="19" t="str">
        <x:v>3. 逐日期成本、查询、时间与延迟</x:v>
      </x:c>
      <x:c r="D4696" s="19" t="str">
        <x:v>日期=2035-12-17_1；方法=FRAME_GUARD</x:v>
      </x:c>
      <x:c r="E4696" s="19" t="str">
        <x:v>完成/步数</x:v>
      </x:c>
      <x:c r="F4696" s="19" t="str">
        <x:v>True/2017</x:v>
      </x:c>
      <x:c r="G4696" s="19" t="str">
        <x:v>质量/成本</x:v>
      </x:c>
      <x:c r="H4696" s="19" t="str">
        <x:v>D:/Codex/GRL研究/outputs/grid88/GRID88_report.md</x:v>
      </x:c>
    </x:row>
    <x:row r="4697" ht="36" customHeight="1">
      <x:c r="A4697" s="19" t="str">
        <x:v>GRID88</x:v>
      </x:c>
      <x:c r="B4697" s="19" t="str">
        <x:v>GRID88_report.md</x:v>
      </x:c>
      <x:c r="C4697" s="19" t="str">
        <x:v>3. 逐日期成本、查询、时间与延迟</x:v>
      </x:c>
      <x:c r="D4697" s="19" t="str">
        <x:v>日期=2035-12-17_1；方法=FRAME_GUARD</x:v>
      </x:c>
      <x:c r="E4697" s="19" t="str">
        <x:v>完整周成本相对FULL</x:v>
      </x:c>
      <x:c r="F4697" s="19" t="str">
        <x:v>-0.1089%</x:v>
      </x:c>
      <x:c r="G4697" s="19" t="str">
        <x:v>质量/成本</x:v>
      </x:c>
      <x:c r="H4697" s="19" t="str">
        <x:v>D:/Codex/GRL研究/outputs/grid88/GRID88_report.md</x:v>
      </x:c>
    </x:row>
    <x:row r="4698" ht="36" customHeight="1">
      <x:c r="A4698" s="19" t="str">
        <x:v>GRID88</x:v>
      </x:c>
      <x:c r="B4698" s="19" t="str">
        <x:v>GRID88_report.md</x:v>
      </x:c>
      <x:c r="C4698" s="19" t="str">
        <x:v>3. 逐日期成本、查询、时间与延迟</x:v>
      </x:c>
      <x:c r="D4698" s="19" t="str">
        <x:v>日期=2035-12-17_1；方法=FRAME_GUARD</x:v>
      </x:c>
      <x:c r="E4698" s="19" t="str">
        <x:v>质量通过</x:v>
      </x:c>
      <x:c r="F4698" s="19" t="str">
        <x:v>True</x:v>
      </x:c>
      <x:c r="G4698" s="19" t="str">
        <x:v>质量/成本</x:v>
      </x:c>
      <x:c r="H4698" s="19" t="str">
        <x:v>D:/Codex/GRL研究/outputs/grid88/GRID88_report.md</x:v>
      </x:c>
    </x:row>
    <x:row r="4699" ht="36" customHeight="1">
      <x:c r="A4699" s="19" t="str">
        <x:v>GRID88</x:v>
      </x:c>
      <x:c r="B4699" s="19" t="str">
        <x:v>GRID88_report.md</x:v>
      </x:c>
      <x:c r="C4699" s="19" t="str">
        <x:v>3. 逐日期成本、查询、时间与延迟</x:v>
      </x:c>
      <x:c r="D4699" s="19" t="str">
        <x:v>日期=2035-12-17_1；方法=FRAME_GUARD</x:v>
      </x:c>
      <x:c r="E4699" s="19" t="str">
        <x:v>查询</x:v>
      </x:c>
      <x:c r="F4699" s="19" t="str">
        <x:v>4286</x:v>
      </x:c>
      <x:c r="G4699" s="19" t="str">
        <x:v>速度/计算</x:v>
      </x:c>
      <x:c r="H4699" s="19" t="str">
        <x:v>D:/Codex/GRL研究/outputs/grid88/GRID88_report.md</x:v>
      </x:c>
    </x:row>
    <x:row r="4700" ht="36" customHeight="1">
      <x:c r="A4700" s="19" t="str">
        <x:v>GRID88</x:v>
      </x:c>
      <x:c r="B4700" s="19" t="str">
        <x:v>GRID88_report.md</x:v>
      </x:c>
      <x:c r="C4700" s="19" t="str">
        <x:v>3. 逐日期成本、查询、时间与延迟</x:v>
      </x:c>
      <x:c r="D4700" s="19" t="str">
        <x:v>日期=2035-12-17_1；方法=FRAME_GUARD</x:v>
      </x:c>
      <x:c r="E4700" s="19" t="str">
        <x:v>控制秒均值[最小,最大]</x:v>
      </x:c>
      <x:c r="F4700" s="19" t="str">
        <x:v>123.287[122.357,124.216]</x:v>
      </x:c>
      <x:c r="G4700" s="19" t="str">
        <x:v>速度/计算</x:v>
      </x:c>
      <x:c r="H4700" s="19" t="str">
        <x:v>D:/Codex/GRL研究/outputs/grid88/GRID88_report.md</x:v>
      </x:c>
    </x:row>
    <x:row r="4701" ht="36" customHeight="1">
      <x:c r="A4701" s="19" t="str">
        <x:v>GRID88</x:v>
      </x:c>
      <x:c r="B4701" s="19" t="str">
        <x:v>GRID88_report.md</x:v>
      </x:c>
      <x:c r="C4701" s="19" t="str">
        <x:v>3. 逐日期成本、查询、时间与延迟</x:v>
      </x:c>
      <x:c r="D4701" s="19" t="str">
        <x:v>日期=2035-12-17_1；方法=FRAME_GUARD</x:v>
      </x:c>
      <x:c r="E4701" s="19" t="str">
        <x:v>P95秒</x:v>
      </x:c>
      <x:c r="F4701" s="19" t="str">
        <x:v>0.0497</x:v>
      </x:c>
      <x:c r="G4701" s="19" t="str">
        <x:v>速度/计算</x:v>
      </x:c>
      <x:c r="H4701" s="19" t="str">
        <x:v>D:/Codex/GRL研究/outputs/grid88/GRID88_report.md</x:v>
      </x:c>
    </x:row>
    <x:row r="4702" ht="36" customHeight="1">
      <x:c r="A4702" s="19" t="str">
        <x:v>GRID88</x:v>
      </x:c>
      <x:c r="B4702" s="19" t="str">
        <x:v>GRID88_report.md</x:v>
      </x:c>
      <x:c r="C4702" s="19" t="str">
        <x:v>3. 逐日期成本、查询、时间与延迟</x:v>
      </x:c>
      <x:c r="D4702" s="19" t="str">
        <x:v>日期=2035-12-17_1；方法=FIXED_512</x:v>
      </x:c>
      <x:c r="E4702" s="19" t="str">
        <x:v>方法</x:v>
      </x:c>
      <x:c r="F4702" s="19" t="str">
        <x:v>FIXED_512</x:v>
      </x:c>
      <x:c r="G4702" s="19" t="str">
        <x:v>其他/配置</x:v>
      </x:c>
      <x:c r="H4702" s="19" t="str">
        <x:v>D:/Codex/GRL研究/outputs/grid88/GRID88_report.md</x:v>
      </x:c>
    </x:row>
    <x:row r="4703" ht="36" customHeight="1">
      <x:c r="A4703" s="19" t="str">
        <x:v>GRID88</x:v>
      </x:c>
      <x:c r="B4703" s="19" t="str">
        <x:v>GRID88_report.md</x:v>
      </x:c>
      <x:c r="C4703" s="19" t="str">
        <x:v>3. 逐日期成本、查询、时间与延迟</x:v>
      </x:c>
      <x:c r="D4703" s="19" t="str">
        <x:v>日期=2035-12-17_1；方法=FIXED_512</x:v>
      </x:c>
      <x:c r="E4703" s="19" t="str">
        <x:v>完成/步数</x:v>
      </x:c>
      <x:c r="F4703" s="19" t="str">
        <x:v>True/2017</x:v>
      </x:c>
      <x:c r="G4703" s="19" t="str">
        <x:v>质量/成本</x:v>
      </x:c>
      <x:c r="H4703" s="19" t="str">
        <x:v>D:/Codex/GRL研究/outputs/grid88/GRID88_report.md</x:v>
      </x:c>
    </x:row>
    <x:row r="4704" ht="36" customHeight="1">
      <x:c r="A4704" s="19" t="str">
        <x:v>GRID88</x:v>
      </x:c>
      <x:c r="B4704" s="19" t="str">
        <x:v>GRID88_report.md</x:v>
      </x:c>
      <x:c r="C4704" s="19" t="str">
        <x:v>3. 逐日期成本、查询、时间与延迟</x:v>
      </x:c>
      <x:c r="D4704" s="19" t="str">
        <x:v>日期=2035-12-17_1；方法=FIXED_512</x:v>
      </x:c>
      <x:c r="E4704" s="19" t="str">
        <x:v>完整周成本相对FULL</x:v>
      </x:c>
      <x:c r="F4704" s="19" t="str">
        <x:v>-0.2110%</x:v>
      </x:c>
      <x:c r="G4704" s="19" t="str">
        <x:v>质量/成本</x:v>
      </x:c>
      <x:c r="H4704" s="19" t="str">
        <x:v>D:/Codex/GRL研究/outputs/grid88/GRID88_report.md</x:v>
      </x:c>
    </x:row>
    <x:row r="4705" ht="36" customHeight="1">
      <x:c r="A4705" s="19" t="str">
        <x:v>GRID88</x:v>
      </x:c>
      <x:c r="B4705" s="19" t="str">
        <x:v>GRID88_report.md</x:v>
      </x:c>
      <x:c r="C4705" s="19" t="str">
        <x:v>3. 逐日期成本、查询、时间与延迟</x:v>
      </x:c>
      <x:c r="D4705" s="19" t="str">
        <x:v>日期=2035-12-17_1；方法=FIXED_512</x:v>
      </x:c>
      <x:c r="E4705" s="19" t="str">
        <x:v>质量通过</x:v>
      </x:c>
      <x:c r="F4705" s="19" t="str">
        <x:v>True</x:v>
      </x:c>
      <x:c r="G4705" s="19" t="str">
        <x:v>质量/成本</x:v>
      </x:c>
      <x:c r="H4705" s="19" t="str">
        <x:v>D:/Codex/GRL研究/outputs/grid88/GRID88_report.md</x:v>
      </x:c>
    </x:row>
    <x:row r="4706" ht="36" customHeight="1">
      <x:c r="A4706" s="19" t="str">
        <x:v>GRID88</x:v>
      </x:c>
      <x:c r="B4706" s="19" t="str">
        <x:v>GRID88_report.md</x:v>
      </x:c>
      <x:c r="C4706" s="19" t="str">
        <x:v>3. 逐日期成本、查询、时间与延迟</x:v>
      </x:c>
      <x:c r="D4706" s="19" t="str">
        <x:v>日期=2035-12-17_1；方法=FIXED_512</x:v>
      </x:c>
      <x:c r="E4706" s="19" t="str">
        <x:v>查询</x:v>
      </x:c>
      <x:c r="F4706" s="19" t="str">
        <x:v>7168</x:v>
      </x:c>
      <x:c r="G4706" s="19" t="str">
        <x:v>速度/计算</x:v>
      </x:c>
      <x:c r="H4706" s="19" t="str">
        <x:v>D:/Codex/GRL研究/outputs/grid88/GRID88_report.md</x:v>
      </x:c>
    </x:row>
    <x:row r="4707" ht="36" customHeight="1">
      <x:c r="A4707" s="19" t="str">
        <x:v>GRID88</x:v>
      </x:c>
      <x:c r="B4707" s="19" t="str">
        <x:v>GRID88_report.md</x:v>
      </x:c>
      <x:c r="C4707" s="19" t="str">
        <x:v>3. 逐日期成本、查询、时间与延迟</x:v>
      </x:c>
      <x:c r="D4707" s="19" t="str">
        <x:v>日期=2035-12-17_1；方法=FIXED_512</x:v>
      </x:c>
      <x:c r="E4707" s="19" t="str">
        <x:v>控制秒均值[最小,最大]</x:v>
      </x:c>
      <x:c r="F4707" s="19" t="str">
        <x:v>128.139[127.848,128.430]</x:v>
      </x:c>
      <x:c r="G4707" s="19" t="str">
        <x:v>速度/计算</x:v>
      </x:c>
      <x:c r="H4707" s="19" t="str">
        <x:v>D:/Codex/GRL研究/outputs/grid88/GRID88_report.md</x:v>
      </x:c>
    </x:row>
    <x:row r="4708" ht="36" customHeight="1">
      <x:c r="A4708" s="19" t="str">
        <x:v>GRID88</x:v>
      </x:c>
      <x:c r="B4708" s="19" t="str">
        <x:v>GRID88_report.md</x:v>
      </x:c>
      <x:c r="C4708" s="19" t="str">
        <x:v>3. 逐日期成本、查询、时间与延迟</x:v>
      </x:c>
      <x:c r="D4708" s="19" t="str">
        <x:v>日期=2035-12-17_1；方法=FIXED_512</x:v>
      </x:c>
      <x:c r="E4708" s="19" t="str">
        <x:v>P95秒</x:v>
      </x:c>
      <x:c r="F4708" s="19" t="str">
        <x:v>0.0498</x:v>
      </x:c>
      <x:c r="G4708" s="19" t="str">
        <x:v>速度/计算</x:v>
      </x:c>
      <x:c r="H4708" s="19" t="str">
        <x:v>D:/Codex/GRL研究/outputs/grid88/GRID88_report.md</x:v>
      </x:c>
    </x:row>
    <x:row r="4709" ht="36" customHeight="1">
      <x:c r="A4709" s="19" t="str">
        <x:v>GRID88</x:v>
      </x:c>
      <x:c r="B4709" s="19" t="str">
        <x:v>GRID88_report.md</x:v>
      </x:c>
      <x:c r="C4709" s="19" t="str">
        <x:v>4. 查询使用与计算组成</x:v>
      </x:c>
      <x:c r="D4709" s="19" t="str">
        <x:v>方法=FRAME_GUARD；预测秒/日期=16.526</x:v>
      </x:c>
      <x:c r="E4709" s="19" t="str">
        <x:v>预测秒/日期</x:v>
      </x:c>
      <x:c r="F4709" s="19" t="str">
        <x:v>16.526</x:v>
      </x:c>
      <x:c r="G4709" s="19" t="str">
        <x:v>速度/计算</x:v>
      </x:c>
      <x:c r="H4709" s="19" t="str">
        <x:v>D:/Codex/GRL研究/outputs/grid88/GRID88_report.md</x:v>
      </x:c>
    </x:row>
    <x:row r="4710" ht="36" customHeight="1">
      <x:c r="A4710" s="19" t="str">
        <x:v>GRID88</x:v>
      </x:c>
      <x:c r="B4710" s="19" t="str">
        <x:v>GRID88_report.md</x:v>
      </x:c>
      <x:c r="C4710" s="19" t="str">
        <x:v>4. 查询使用与计算组成</x:v>
      </x:c>
      <x:c r="D4710" s="19" t="str">
        <x:v>方法=FRAME_GUARD；预测秒/日期=16.526</x:v>
      </x:c>
      <x:c r="E4710" s="19" t="str">
        <x:v>搜索非预测秒/日期</x:v>
      </x:c>
      <x:c r="F4710" s="19" t="str">
        <x:v>0.777</x:v>
      </x:c>
      <x:c r="G4710" s="19" t="str">
        <x:v>速度/计算</x:v>
      </x:c>
      <x:c r="H4710" s="19" t="str">
        <x:v>D:/Codex/GRL研究/outputs/grid88/GRID88_report.md</x:v>
      </x:c>
    </x:row>
    <x:row r="4711" ht="36" customHeight="1">
      <x:c r="A4711" s="19" t="str">
        <x:v>GRID88</x:v>
      </x:c>
      <x:c r="B4711" s="19" t="str">
        <x:v>GRID88_report.md</x:v>
      </x:c>
      <x:c r="C4711" s="19" t="str">
        <x:v>4. 查询使用与计算组成</x:v>
      </x:c>
      <x:c r="D4711" s="19" t="str">
        <x:v>方法=FRAME_GUARD；预测秒/日期=16.526</x:v>
      </x:c>
      <x:c r="E4711" s="19" t="str">
        <x:v>优化秒/日期</x:v>
      </x:c>
      <x:c r="F4711" s="19" t="str">
        <x:v>53.013</x:v>
      </x:c>
      <x:c r="G4711" s="19" t="str">
        <x:v>速度/计算</x:v>
      </x:c>
      <x:c r="H4711" s="19" t="str">
        <x:v>D:/Codex/GRL研究/outputs/grid88/GRID88_report.md</x:v>
      </x:c>
    </x:row>
    <x:row r="4712" ht="36" customHeight="1">
      <x:c r="A4712" s="19" t="str">
        <x:v>GRID88</x:v>
      </x:c>
      <x:c r="B4712" s="19" t="str">
        <x:v>GRID88_report.md</x:v>
      </x:c>
      <x:c r="C4712" s="19" t="str">
        <x:v>4. 查询使用与计算组成</x:v>
      </x:c>
      <x:c r="D4712" s="19" t="str">
        <x:v>方法=FRAME_GUARD；预测秒/日期=16.526</x:v>
      </x:c>
      <x:c r="E4712" s="19" t="str">
        <x:v>其余控制秒/日期</x:v>
      </x:c>
      <x:c r="F4712" s="19" t="str">
        <x:v>4.421</x:v>
      </x:c>
      <x:c r="G4712" s="19" t="str">
        <x:v>速度/计算</x:v>
      </x:c>
      <x:c r="H4712" s="19" t="str">
        <x:v>D:/Codex/GRL研究/outputs/grid88/GRID88_report.md</x:v>
      </x:c>
    </x:row>
    <x:row r="4713" ht="36" customHeight="1">
      <x:c r="A4713" s="19" t="str">
        <x:v>GRID88</x:v>
      </x:c>
      <x:c r="B4713" s="19" t="str">
        <x:v>GRID88_report.md</x:v>
      </x:c>
      <x:c r="C4713" s="19" t="str">
        <x:v>4. 查询使用与计算组成</x:v>
      </x:c>
      <x:c r="D4713" s="19" t="str">
        <x:v>方法=FIXED_512；预测秒/日期=19.968</x:v>
      </x:c>
      <x:c r="E4713" s="19" t="str">
        <x:v>预测秒/日期</x:v>
      </x:c>
      <x:c r="F4713" s="19" t="str">
        <x:v>19.968</x:v>
      </x:c>
      <x:c r="G4713" s="19" t="str">
        <x:v>速度/计算</x:v>
      </x:c>
      <x:c r="H4713" s="19" t="str">
        <x:v>D:/Codex/GRL研究/outputs/grid88/GRID88_report.md</x:v>
      </x:c>
    </x:row>
    <x:row r="4714" ht="36" customHeight="1">
      <x:c r="A4714" s="19" t="str">
        <x:v>GRID88</x:v>
      </x:c>
      <x:c r="B4714" s="19" t="str">
        <x:v>GRID88_report.md</x:v>
      </x:c>
      <x:c r="C4714" s="19" t="str">
        <x:v>4. 查询使用与计算组成</x:v>
      </x:c>
      <x:c r="D4714" s="19" t="str">
        <x:v>方法=FIXED_512；预测秒/日期=19.968</x:v>
      </x:c>
      <x:c r="E4714" s="19" t="str">
        <x:v>搜索非预测秒/日期</x:v>
      </x:c>
      <x:c r="F4714" s="19" t="str">
        <x:v>0.837</x:v>
      </x:c>
      <x:c r="G4714" s="19" t="str">
        <x:v>速度/计算</x:v>
      </x:c>
      <x:c r="H4714" s="19" t="str">
        <x:v>D:/Codex/GRL研究/outputs/grid88/GRID88_report.md</x:v>
      </x:c>
    </x:row>
    <x:row r="4715" ht="36" customHeight="1">
      <x:c r="A4715" s="19" t="str">
        <x:v>GRID88</x:v>
      </x:c>
      <x:c r="B4715" s="19" t="str">
        <x:v>GRID88_report.md</x:v>
      </x:c>
      <x:c r="C4715" s="19" t="str">
        <x:v>4. 查询使用与计算组成</x:v>
      </x:c>
      <x:c r="D4715" s="19" t="str">
        <x:v>方法=FIXED_512；预测秒/日期=19.968</x:v>
      </x:c>
      <x:c r="E4715" s="19" t="str">
        <x:v>优化秒/日期</x:v>
      </x:c>
      <x:c r="F4715" s="19" t="str">
        <x:v>53.723</x:v>
      </x:c>
      <x:c r="G4715" s="19" t="str">
        <x:v>速度/计算</x:v>
      </x:c>
      <x:c r="H4715" s="19" t="str">
        <x:v>D:/Codex/GRL研究/outputs/grid88/GRID88_report.md</x:v>
      </x:c>
    </x:row>
    <x:row r="4716" ht="36" customHeight="1">
      <x:c r="A4716" s="19" t="str">
        <x:v>GRID88</x:v>
      </x:c>
      <x:c r="B4716" s="19" t="str">
        <x:v>GRID88_report.md</x:v>
      </x:c>
      <x:c r="C4716" s="19" t="str">
        <x:v>4. 查询使用与计算组成</x:v>
      </x:c>
      <x:c r="D4716" s="19" t="str">
        <x:v>方法=FIXED_512；预测秒/日期=19.968</x:v>
      </x:c>
      <x:c r="E4716" s="19" t="str">
        <x:v>其余控制秒/日期</x:v>
      </x:c>
      <x:c r="F4716" s="19" t="str">
        <x:v>4.656</x:v>
      </x:c>
      <x:c r="G4716" s="19" t="str">
        <x:v>速度/计算</x:v>
      </x:c>
      <x:c r="H4716" s="19" t="str">
        <x:v>D:/Codex/GRL研究/outputs/grid88/GRID88_report.md</x:v>
      </x:c>
    </x:row>
  </x:sheetData>
  <x:pageMargins left="0.7" right="0.7" top="0.75" bottom="0.75" header="0.3" footer="0.3"/>
  <x:tableParts count="1">
    <x:tablePart xmlns:r="http://schemas.openxmlformats.org/officeDocument/2006/relationships" r:id="R65a452a410c24fe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.75" hidden="0" customWidth="1"/>
    <x:col min="2" max="2" width="38.75" hidden="0" customWidth="1"/>
    <x:col min="3" max="3" width="132.5" hidden="0" customWidth="1"/>
  </x:cols>
  <x:sheetData>
    <x:row r="2" ht="30" customHeight="1">
      <x:c r="A2" s="1" t="str">
        <x:v>读表所需的方法、场景与统计口径</x:v>
      </x:c>
    </x:row>
    <x:row r="4" ht="22.5" customHeight="1">
      <x:c r="A4" s="2" t="str">
        <x:v>先分清版本、场景和统计单位，再比较质量与速度。原表指标保留历史定义；新的标准化汇总在本表定义下计算。</x:v>
      </x:c>
    </x:row>
    <x:row r="6" ht="33" customHeight="1">
      <x:c r="A6" s="8" t="str">
        <x:v>类别</x:v>
      </x:c>
      <x:c r="B6" s="8" t="str">
        <x:v>名称</x:v>
      </x:c>
      <x:c r="C6" s="8" t="str">
        <x:v>含义</x:v>
      </x:c>
    </x:row>
    <x:row r="7" ht="43.5" customHeight="1">
      <x:c r="A7" s="19" t="str">
        <x:v>范围</x:v>
      </x:c>
      <x:c r="B7" s="19" t="str">
        <x:v>实验范围</x:v>
      </x:c>
      <x:c r="C7" s="19" t="str">
        <x:v>覆盖GRID00–GRID89及GRID29B/29C/35B/40B/42B/55B，共96轮。其他课题FA/LG/IM不混入FRAME。</x:v>
      </x:c>
    </x:row>
    <x:row r="8" ht="43.5" customHeight="1">
      <x:c r="A8" s="19" t="str">
        <x:v>版本</x:v>
      </x:c>
      <x:c r="B8" s="19" t="str">
        <x:v>当前FRAME</x:v>
      </x:c>
      <x:c r="C8" s="19" t="str">
        <x:v>当前中文V4的FRAME对应最终FRAME_GUARD，以GRID70实现为锚点。早期FRAME、GNN排序和上下文学习门控单独标识。</x:v>
      </x:c>
    </x:row>
    <x:row r="9" ht="43.5" customHeight="1">
      <x:c r="A9" s="19" t="str">
        <x:v>场景</x:v>
      </x:c>
      <x:c r="B9" s="19" t="str">
        <x:v>D组</x:v>
      </x:c>
      <x:c r="C9" s="19" t="str">
        <x:v>原13个2035日期，开发与质量回归，已暴露。早期仅4/7日期的子集在各轮另标。</x:v>
      </x:c>
    </x:row>
    <x:row r="10" ht="43.5" customHeight="1">
      <x:c r="A10" s="19" t="str">
        <x:v>场景</x:v>
      </x:c>
      <x:c r="B10" s="19" t="str">
        <x:v>G1</x:v>
      </x:c>
      <x:c r="C10" s="19" t="str">
        <x:v>主种子20261016生成，六个2036日历日期，同一公开电网。后续多轮复用，不能反复当新独立样本。</x:v>
      </x:c>
    </x:row>
    <x:row r="11" ht="43.5" customHeight="1">
      <x:c r="A11" s="19" t="str">
        <x:v>场景</x:v>
      </x:c>
      <x:c r="B11" s="19" t="str">
        <x:v>G2</x:v>
      </x:c>
      <x:c r="C11" s="19" t="str">
        <x:v>主种子20261017生成，同电网、同六个日历日期，随机时序不同；方法固定后作为主评价。不是第二电网或六个新增独立日历日期。</x:v>
      </x:c>
    </x:row>
    <x:row r="12" ht="43.5" customHeight="1">
      <x:c r="A12" s="19" t="str">
        <x:v>场景</x:v>
      </x:c>
      <x:c r="B12" s="19" t="str">
        <x:v>旧八日期确认</x:v>
      </x:c>
      <x:c r="C12" s="19" t="str">
        <x:v>GRID44与GRID52是不同八日期批次，使用的旧模型不同。GRID55/55B在已暴露日期重新配对，不能算又一次独立确认。</x:v>
      </x:c>
    </x:row>
    <x:row r="13" ht="43.5" customHeight="1">
      <x:c r="A13" s="19" t="str">
        <x:v>质量</x:v>
      </x:c>
      <x:c r="B13" s="19" t="str">
        <x:v>质量达标</x:v>
      </x:c>
      <x:c r="C13" s="19" t="str">
        <x:v>当前框架比较要求终止不早于FULL；双方完整周时成本≤FULL的100.5%。0.5%是预设实验容差。早期各轮门槛不同，按原报告保留。</x:v>
      </x:c>
    </x:row>
    <x:row r="14" ht="43.5" customHeight="1">
      <x:c r="A14" s="19" t="str">
        <x:v>质量</x:v>
      </x:c>
      <x:c r="B14" s="19" t="str">
        <x:v>完成整周</x:v>
      </x:c>
      <x:c r="C14" s="19" t="str">
        <x:v>达到2017条状态/步记录的整周结束条件；完整周数与质量通过数不同，若FULL提前结束，策略同一时刻结束也可能质量通过。</x:v>
      </x:c>
    </x:row>
    <x:row r="15" ht="43.5" customHeight="1">
      <x:c r="A15" s="19" t="str">
        <x:v>质量</x:v>
      </x:c>
      <x:c r="B15" s="19" t="str">
        <x:v>累计成本</x:v>
      </x:c>
      <x:c r="C15" s="19" t="str">
        <x:v>环境原生成本账目，包含网损、调节、储能、弃电等；失败轨迹仍保留累计值，但不拿较低失败累计成本当完整周优势。</x:v>
      </x:c>
    </x:row>
    <x:row r="16" ht="43.5" customHeight="1">
      <x:c r="A16" s="19" t="str">
        <x:v>质量</x:v>
      </x:c>
      <x:c r="B16" s="19" t="str">
        <x:v>完整周成本变化</x:v>
      </x:c>
      <x:c r="C16" s="19" t="str">
        <x:v>(本方法完整周成本/FULL完整周成本)−1。负值更低，正值更高；仅双方完整时可比。汇总平均/最大只取这些日期。</x:v>
      </x:c>
    </x:row>
    <x:row r="17" ht="43.5" customHeight="1">
      <x:c r="A17" s="19" t="str">
        <x:v>质量</x:v>
      </x:c>
      <x:c r="B17" s="19" t="str">
        <x:v>奖励遗憾</x:v>
      </x:c>
      <x:c r="C17" s="19" t="str">
        <x:v>FULL最佳可用候选的预测奖励减本方法所选奖励。一步代理指标；与整周成本、实际安全保证不同。</x:v>
      </x:c>
    </x:row>
    <x:row r="18" ht="43.5" customHeight="1">
      <x:c r="A18" s="19" t="str">
        <x:v>质量</x:v>
      </x:c>
      <x:c r="B18" s="19" t="str">
        <x:v>同FULL动作</x:v>
      </x:c>
      <x:c r="C18" s="19" t="str">
        <x:v>相同观测与基础动作上的选择一致数，分母是存在可用候选的状态数；不当作独立场景数。</x:v>
      </x:c>
    </x:row>
    <x:row r="19" ht="43.5" customHeight="1">
      <x:c r="A19" s="19" t="str">
        <x:v>速度</x:v>
      </x:c>
      <x:c r="B19" s="19" t="str">
        <x:v>查询</x:v>
      </x:c>
      <x:c r="C19" s="19" t="str">
        <x:v>一次候选仿真。汇总每日期仅计一次，不把时间重复的相同轨迹重复相加。</x:v>
      </x:c>
    </x:row>
    <x:row r="20" ht="43.5" customHeight="1">
      <x:c r="A20" s="19" t="str">
        <x:v>速度</x:v>
      </x:c>
      <x:c r="B20" s="19" t="str">
        <x:v>完整控制时间</x:v>
      </x:c>
      <x:c r="C20" s="19" t="str">
        <x:v>每次控制调用的耗时之和，含候选处理、预测、模型、连续优化、恢复、缓存等；初始化、物理环境推进、保存单列。</x:v>
      </x:c>
    </x:row>
    <x:row r="21" ht="43.5" customHeight="1">
      <x:c r="A21" s="19" t="str">
        <x:v>速度</x:v>
      </x:c>
      <x:c r="B21" s="19" t="str">
        <x:v>搜索耗时</x:v>
      </x:c>
      <x:c r="C21" s="19" t="str">
        <x:v>预测仿真加搜索中的其他计算。汇总表通过预测与搜索其他相加；不同早期报告的搜索模块范围按原文。</x:v>
      </x:c>
    </x:row>
    <x:row r="22" ht="43.5" customHeight="1">
      <x:c r="A22" s="19" t="str">
        <x:v>速度</x:v>
      </x:c>
      <x:c r="B22" s="19" t="str">
        <x:v>P95/P99</x:v>
      </x:c>
      <x:c r="C22" s="19" t="str">
        <x:v>控制步骤延迟的95/99分位数。全步骤与触发拓扑搜索的步骤分别统计，不能互换；秒为逐日期原单位，汇总转换毫秒。</x:v>
      </x:c>
    </x:row>
    <x:row r="23" ht="43.5" customHeight="1">
      <x:c r="A23" s="19" t="str">
        <x:v>速度</x:v>
      </x:c>
      <x:c r="B23" s="19" t="str">
        <x:v>重复标准差与CV</x:v>
      </x:c>
      <x:c r="C23" s="19" t="str">
        <x:v>在同一日期同一方法的计时重复上计算。CV=样本标准差/均值。单次计时留空，不用0表示无波动。</x:v>
      </x:c>
    </x:row>
    <x:row r="24" ht="43.5" customHeight="1">
      <x:c r="A24" s="19" t="str">
        <x:v>统计</x:v>
      </x:c>
      <x:c r="B24" s="19" t="str">
        <x:v>日期宏平均减少</x:v>
      </x:c>
      <x:c r="C24" s="19" t="str">
        <x:v>先在日期内平均计时重复，再计算1−本方法/参照，最后日期等权平均；不是总秒数比或查询总量比。</x:v>
      </x:c>
    </x:row>
    <x:row r="25" ht="43.5" customHeight="1">
      <x:c r="A25" s="19" t="str">
        <x:v>统计</x:v>
      </x:c>
      <x:c r="B25" s="19" t="str">
        <x:v>查询宏平均分母</x:v>
      </x:c>
      <x:c r="C25" s="19" t="str">
        <x:v>仅参照实际搜索非零且运行时域相同的日期；零查询日期不设成0%参与平均，故总查询比不等于报告宏平均。</x:v>
      </x:c>
    </x:row>
    <x:row r="26" ht="43.5" customHeight="1">
      <x:c r="A26" s="19" t="str">
        <x:v>统计</x:v>
      </x:c>
      <x:c r="B26" s="19" t="str">
        <x:v>速度参照</x:v>
      </x:c>
      <x:c r="C26" s="19" t="str">
        <x:v>质量速度汇总中明确列出同批参照。无同批FULL时，82/84/86/88及89-META以FRAME_GUARD作参照；87没有同批参照，速度比例留空。</x:v>
      </x:c>
    </x:row>
    <x:row r="27" ht="43.5" customHeight="1">
      <x:c r="A27" s="19" t="str">
        <x:v>统计</x:v>
      </x:c>
      <x:c r="B27" s="19" t="str">
        <x:v>公式方向</x:v>
      </x:c>
      <x:c r="C27" s="19" t="str">
        <x:v>汇总表的减少比例方向为“本行方法相对参照”。会议主张2.228%是FRAME相对各META的均值，见贡献总表和GRID84原表；不得反过来使用。</x:v>
      </x:c>
    </x:row>
    <x:row r="28" ht="43.5" customHeight="1">
      <x:c r="A28" s="19" t="str">
        <x:v>统计</x:v>
      </x:c>
      <x:c r="B28" s="19" t="str">
        <x:v>速度资格</x:v>
      </x:c>
      <x:c r="C28" s="19" t="str">
        <x:v>质量不足或时域不同仍列实际时间，但不能据此称全场景同质量提速。原冻结5%筛查不是显著性或等价检验。</x:v>
      </x:c>
    </x:row>
    <x:row r="29" ht="43.5" customHeight="1">
      <x:c r="A29" s="19" t="str">
        <x:v>方法</x:v>
      </x:c>
      <x:c r="B29" s="19" t="str">
        <x:v>FULL</x:v>
      </x:c>
      <x:c r="C29" s="19" t="str">
        <x:v>本轮全部代表候选搜索，仍受基础控制器的动作库、可用性与组合规则约束；不是全动作空间或长期全局最优。</x:v>
      </x:c>
    </x:row>
    <x:row r="30" ht="43.5" customHeight="1">
      <x:c r="A30" s="19" t="str">
        <x:v>方法</x:v>
      </x:c>
      <x:c r="B30" s="19" t="str">
        <x:v>FIXED_256 / FIXED_512</x:v>
      </x:c>
      <x:c r="C30" s="19" t="str">
        <x:v>只查询序列前min(cap,M)个代表；无额外反馈扩展，无可接纳动作时返回空给共同基础控制器。</x:v>
      </x:c>
    </x:row>
    <x:row r="31" ht="43.5" customHeight="1">
      <x:c r="A31" s="19" t="str">
        <x:v>方法</x:v>
      </x:c>
      <x:c r="B31" s="19" t="str">
        <x:v>NO_LOCAL</x:v>
      </x:c>
      <x:c r="C31" s="19" t="str">
        <x:v>取消同站补查，保留该版本全局筛查/核查；版本随实验轮次注明。</x:v>
      </x:c>
    </x:row>
    <x:row r="32" ht="43.5" customHeight="1">
      <x:c r="A32" s="19" t="str">
        <x:v>方法</x:v>
      </x:c>
      <x:c r="B32" s="19" t="str">
        <x:v>GLOBAL_MATCH</x:v>
      </x:c>
      <x:c r="C32" s="19" t="str">
        <x:v>保留同一版本全局过程，将同站补查替换为相同追加次数的全局续查。预算在同一状态一致，闭环分歧后整周查询总量可不同。</x:v>
      </x:c>
    </x:row>
    <x:row r="33" ht="43.5" customHeight="1">
      <x:c r="A33" s="19" t="str">
        <x:v>方法</x:v>
      </x:c>
      <x:c r="B33" s="19" t="str">
        <x:v>FIRST_SAFE_BEST</x:v>
      </x:c>
      <x:c r="C33" s="19" t="str">
        <x:v>早期达到控制器负载阈值的停止参照，耗尽回退按最佳可用动作处理。是搜索策略适配，不是SoftGNN整套复现。</x:v>
      </x:c>
    </x:row>
    <x:row r="34" ht="43.5" customHeight="1">
      <x:c r="A34" s="19" t="str">
        <x:v>方法</x:v>
      </x:c>
      <x:c r="B34" s="19" t="str">
        <x:v>STATIC_ID</x:v>
      </x:c>
      <x:c r="C34" s="19" t="str">
        <x:v>沿用作者动作资产教师频次顺序，过滤/等价合并保留相对顺序；并非任意随机编号。</x:v>
      </x:c>
    </x:row>
    <x:row r="35" ht="43.5" customHeight="1">
      <x:c r="A35" s="19" t="str">
        <x:v>方法</x:v>
      </x:c>
      <x:c r="B35" s="19" t="str">
        <x:v>META_DQN</x:v>
      </x:c>
      <x:c r="C35" s="19" t="str">
        <x:v>GRID64/65停止限定接口的ICAPS2022内核适配；与后续META_CONTEXT区分。</x:v>
      </x:c>
    </x:row>
    <x:row r="36" ht="43.5" customHeight="1">
      <x:c r="A36" s="19" t="str">
        <x:v>方法</x:v>
      </x:c>
      <x:c r="B36" s="19" t="str">
        <x:v>META_CONTEXT / META_COST</x:v>
      </x:c>
      <x:c r="C36" s="19" t="str">
        <x:v>GRID77后，25维公开上下文，返回/追加64/初始委托完整FRAME。ICAPS2022 DoubleDQN电网适配，不是A*/RRT*原任务完整复现。</x:v>
      </x:c>
    </x:row>
    <x:row r="37" ht="43.5" customHeight="1">
      <x:c r="A37" s="19" t="str">
        <x:v>方法</x:v>
      </x:c>
      <x:c r="B37" s="19" t="str">
        <x:v>META_COST0 / COST1</x:v>
      </x:c>
      <x:c r="C37" s="19" t="str">
        <x:v>GRID89命名中COST0=费用0，COST1=费用0.0025；SEED0–4是同一方法的训练随机种子，不是五种算法。</x:v>
      </x:c>
    </x:row>
    <x:row r="38" ht="43.5" customHeight="1">
      <x:c r="A38" s="19" t="str">
        <x:v>方法</x:v>
      </x:c>
      <x:c r="B38" s="19" t="str">
        <x:v>CONTEXT_GATE</x:v>
      </x:c>
      <x:c r="C38" s="19" t="str">
        <x:v>固定核查外增加普通电网上下文学习门控，用于跳过部分核查；最终固定FRAME不依赖该学习门控。</x:v>
      </x:c>
    </x:row>
    <x:row r="39" ht="43.5" customHeight="1">
      <x:c r="A39" s="19" t="str">
        <x:v>方法</x:v>
      </x:c>
      <x:c r="B39" s="19" t="str">
        <x:v>RANDOM_GATE0/1</x:v>
      </x:c>
      <x:c r="C39" s="19" t="str">
        <x:v>与门控合法范围一致的随机跳过参照，概率按旧校准预设；不是随机候选排序。</x:v>
      </x:c>
    </x:row>
    <x:row r="40" ht="43.5" customHeight="1">
      <x:c r="A40" s="19" t="str">
        <x:v>方法</x:v>
      </x:c>
      <x:c r="B40" s="19" t="str">
        <x:v>LOCAL_GNN / COMPRESSED_GNN</x:v>
      </x:c>
      <x:c r="C40" s="19" t="str">
        <x:v>旧GNN排序与软压缩评分版本，均有既定搜索规则；不是当前无需额外搜索训练的FRAME主体。</x:v>
      </x:c>
    </x:row>
    <x:row r="41" ht="43.5" customHeight="1">
      <x:c r="A41" s="19" t="str">
        <x:v>方法</x:v>
      </x:c>
      <x:c r="B41" s="19" t="str">
        <x:v>SOFTGNN</x:v>
      </x:c>
      <x:c r="C41" s="19" t="str">
        <x:v>外部图软标签模型的电网任务适配，保留训练修订/种子；不是作者原电网任务完整复现。</x:v>
      </x:c>
    </x:row>
    <x:row r="42" ht="43.5" customHeight="1">
      <x:c r="A42" s="19" t="str">
        <x:v>归因</x:v>
      </x:c>
      <x:c r="B42" s="19" t="str">
        <x:v>公共缓存</x:v>
      </x:c>
      <x:c r="C42" s="19" t="str">
        <x:v>DC、safeQP、public_prior元数据复用由各主对照共享。局部缓存节省不等于整套提速，也不计作GNN或FRAME独有贡献。</x:v>
      </x:c>
    </x:row>
    <x:row r="43" ht="43.5" customHeight="1">
      <x:c r="A43" s="19" t="str">
        <x:v>证据</x:v>
      </x:c>
      <x:c r="B43" s="19" t="str">
        <x:v>保存数据审计</x:v>
      </x:c>
      <x:c r="C43" s="19" t="str">
        <x:v>核对向量、合法反馈、查询、成本与冻结规则。不是重新训练、独立AC重求解或新的独立评价场景。</x:v>
      </x:c>
    </x:row>
    <x:row r="44" ht="43.5" customHeight="1">
      <x:c r="A44" s="19" t="str">
        <x:v>原表</x:v>
      </x:c>
      <x:c r="B44" s="19" t="str">
        <x:v>原报告指标页</x:v>
      </x:c>
      <x:c r="C44" s="19" t="str">
        <x:v>保留各报告的原列名、原值和出处；同一轮的pilot、RAW、修正版都标源文件，不能当额外独立实验合并。</x:v>
      </x:c>
    </x:row>
    <x:row r="45" ht="43.5" customHeight="1">
      <x:c r="A45" s="19" t="str">
        <x:v>原表</x:v>
      </x:c>
      <x:c r="B45" s="19" t="str">
        <x:v>源文冲突</x:v>
      </x:c>
      <x:c r="C45" s="19" t="str">
        <x:v>GRID50报告叙述称种子1查询下降，但数值表为7530→7728。历轮摘要按数值表记录，并保留原文。</x:v>
      </x:c>
    </x:row>
    <x:row r="46" ht="43.5" customHeight="1">
      <x:c r="A46" s="19" t="str">
        <x:v>来源</x:v>
      </x:c>
      <x:c r="B46" s="19" t="str">
        <x:v>中文V4</x:v>
      </x:c>
      <x:c r="C46" s="19" t="str">
        <x:v>D:/Codex/GRL研究/outputs/frame_cn_v4_20261018/FRAME_ICAPS2027_中文重写稿_V4.md</x:v>
      </x:c>
    </x:row>
  </x:sheetData>
  <x:pageMargins left="0.7" right="0.7" top="0.75" bottom="0.75" header="0.3" footer="0.3"/>
  <x:tableParts count="1">
    <x:tablePart xmlns:r="http://schemas.openxmlformats.org/officeDocument/2006/relationships" r:id="Rf040442411b24746"/>
  </x:tableParts>
</x:worksheet>
</file>